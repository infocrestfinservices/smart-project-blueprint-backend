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5c318cdbf8860bb/ISHA/Financial Model/Blank Template/"/>
    </mc:Choice>
  </mc:AlternateContent>
  <xr:revisionPtr revIDLastSave="0" documentId="8_{A33CBFA6-2742-4A87-9706-08CFFB3320AF}" xr6:coauthVersionLast="47" xr6:coauthVersionMax="47" xr10:uidLastSave="{00000000-0000-0000-0000-000000000000}"/>
  <bookViews>
    <workbookView xWindow="-120" yWindow="-120" windowWidth="20730" windowHeight="11040" tabRatio="500" firstSheet="1" activeTab="6" xr2:uid="{00000000-000D-0000-FFFF-FFFF00000000}"/>
  </bookViews>
  <sheets>
    <sheet name="Cover" sheetId="1" r:id="rId1"/>
    <sheet name="Assumptions" sheetId="2" r:id="rId2"/>
    <sheet name="Production" sheetId="3" r:id="rId3"/>
    <sheet name="Sales" sheetId="4" r:id="rId4"/>
    <sheet name="Expenses" sheetId="5" r:id="rId5"/>
    <sheet name="P&amp;L" sheetId="6" r:id="rId6"/>
    <sheet name="Cash Flow" sheetId="7" r:id="rId7"/>
    <sheet name="Annual Summary" sheetId="8" r:id="rId8"/>
    <sheet name="Investment &amp; ROI" sheetId="9" r:id="rId9"/>
    <sheet name="Dashboard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" i="10" l="1"/>
  <c r="D41" i="9"/>
  <c r="D38" i="9"/>
  <c r="D35" i="9"/>
  <c r="D34" i="9"/>
  <c r="D36" i="9" s="1"/>
  <c r="D37" i="9" s="1"/>
  <c r="D17" i="9"/>
  <c r="D20" i="9" s="1"/>
  <c r="D16" i="9"/>
  <c r="D18" i="9" s="1"/>
  <c r="D15" i="9"/>
  <c r="D10" i="9"/>
  <c r="D9" i="9"/>
  <c r="D8" i="9"/>
  <c r="D7" i="9"/>
  <c r="D6" i="9"/>
  <c r="D5" i="9"/>
  <c r="B23" i="7"/>
  <c r="BI20" i="7"/>
  <c r="BH20" i="7"/>
  <c r="BG20" i="7"/>
  <c r="BF20" i="7"/>
  <c r="BE20" i="7"/>
  <c r="BD20" i="7"/>
  <c r="BC20" i="7"/>
  <c r="BB20" i="7"/>
  <c r="BA20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BI19" i="7"/>
  <c r="BH19" i="7"/>
  <c r="BG19" i="7"/>
  <c r="BF19" i="7"/>
  <c r="BE19" i="7"/>
  <c r="BD19" i="7"/>
  <c r="BC19" i="7"/>
  <c r="BB19" i="7"/>
  <c r="BA19" i="7"/>
  <c r="AZ19" i="7"/>
  <c r="AY19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BI17" i="7"/>
  <c r="BH17" i="7"/>
  <c r="BG17" i="7"/>
  <c r="BF17" i="7"/>
  <c r="BE17" i="7"/>
  <c r="BD17" i="7"/>
  <c r="BC17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BI6" i="7"/>
  <c r="BH6" i="7"/>
  <c r="BG6" i="7"/>
  <c r="BF6" i="7"/>
  <c r="BE6" i="7"/>
  <c r="BD6" i="7"/>
  <c r="BC6" i="7"/>
  <c r="BB6" i="7"/>
  <c r="BA6" i="7"/>
  <c r="AZ6" i="7"/>
  <c r="AY6" i="7"/>
  <c r="AX6" i="7"/>
  <c r="AW6" i="7"/>
  <c r="AV6" i="7"/>
  <c r="AU6" i="7"/>
  <c r="AT6" i="7"/>
  <c r="AS6" i="7"/>
  <c r="AR6" i="7"/>
  <c r="AQ6" i="7"/>
  <c r="AP6" i="7"/>
  <c r="AO6" i="7"/>
  <c r="AN6" i="7"/>
  <c r="AM6" i="7"/>
  <c r="AL6" i="7"/>
  <c r="AK6" i="7"/>
  <c r="AJ6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AE15" i="6"/>
  <c r="AE9" i="7" s="1"/>
  <c r="AD15" i="6"/>
  <c r="AD9" i="7" s="1"/>
  <c r="AC15" i="6"/>
  <c r="AC9" i="7" s="1"/>
  <c r="BI6" i="6"/>
  <c r="BH6" i="6"/>
  <c r="BG6" i="6"/>
  <c r="BF6" i="6"/>
  <c r="BE6" i="6"/>
  <c r="BD6" i="6"/>
  <c r="BC6" i="6"/>
  <c r="BB6" i="6"/>
  <c r="BA6" i="6"/>
  <c r="AZ6" i="6"/>
  <c r="AY6" i="6"/>
  <c r="AX6" i="6"/>
  <c r="AW6" i="6"/>
  <c r="AV6" i="6"/>
  <c r="AU6" i="6"/>
  <c r="AT6" i="6"/>
  <c r="AS6" i="6"/>
  <c r="AR6" i="6"/>
  <c r="AQ6" i="6"/>
  <c r="AP6" i="6"/>
  <c r="AO6" i="6"/>
  <c r="AN6" i="6"/>
  <c r="AM6" i="6"/>
  <c r="AL6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B32" i="5"/>
  <c r="B28" i="5" s="1"/>
  <c r="B17" i="6" s="1"/>
  <c r="B31" i="5"/>
  <c r="BI27" i="5"/>
  <c r="BI15" i="6" s="1"/>
  <c r="BI9" i="7" s="1"/>
  <c r="BH27" i="5"/>
  <c r="BH15" i="6" s="1"/>
  <c r="BH9" i="7" s="1"/>
  <c r="BG27" i="5"/>
  <c r="BG15" i="6" s="1"/>
  <c r="BG9" i="7" s="1"/>
  <c r="BF27" i="5"/>
  <c r="BF15" i="6" s="1"/>
  <c r="BF9" i="7" s="1"/>
  <c r="BE27" i="5"/>
  <c r="BE15" i="6" s="1"/>
  <c r="BE9" i="7" s="1"/>
  <c r="BD27" i="5"/>
  <c r="BD15" i="6" s="1"/>
  <c r="BD9" i="7" s="1"/>
  <c r="BC27" i="5"/>
  <c r="BC15" i="6" s="1"/>
  <c r="BC9" i="7" s="1"/>
  <c r="BB27" i="5"/>
  <c r="BB15" i="6" s="1"/>
  <c r="BB9" i="7" s="1"/>
  <c r="BA27" i="5"/>
  <c r="BA15" i="6" s="1"/>
  <c r="BA9" i="7" s="1"/>
  <c r="AZ27" i="5"/>
  <c r="AZ15" i="6" s="1"/>
  <c r="AZ9" i="7" s="1"/>
  <c r="AY27" i="5"/>
  <c r="AY15" i="6" s="1"/>
  <c r="AY9" i="7" s="1"/>
  <c r="AX27" i="5"/>
  <c r="AX15" i="6" s="1"/>
  <c r="AW27" i="5"/>
  <c r="AW15" i="6" s="1"/>
  <c r="AW9" i="7" s="1"/>
  <c r="AV27" i="5"/>
  <c r="AV15" i="6" s="1"/>
  <c r="AV9" i="7" s="1"/>
  <c r="AU27" i="5"/>
  <c r="AU15" i="6" s="1"/>
  <c r="AU9" i="7" s="1"/>
  <c r="AT27" i="5"/>
  <c r="AT15" i="6" s="1"/>
  <c r="AT9" i="7" s="1"/>
  <c r="AS27" i="5"/>
  <c r="AS15" i="6" s="1"/>
  <c r="AS9" i="7" s="1"/>
  <c r="AR27" i="5"/>
  <c r="AR15" i="6" s="1"/>
  <c r="AR9" i="7" s="1"/>
  <c r="AQ27" i="5"/>
  <c r="AQ15" i="6" s="1"/>
  <c r="AQ9" i="7" s="1"/>
  <c r="AP27" i="5"/>
  <c r="AP15" i="6" s="1"/>
  <c r="AP9" i="7" s="1"/>
  <c r="AO27" i="5"/>
  <c r="AO15" i="6" s="1"/>
  <c r="AO9" i="7" s="1"/>
  <c r="AN27" i="5"/>
  <c r="AN15" i="6" s="1"/>
  <c r="AN9" i="7" s="1"/>
  <c r="AM27" i="5"/>
  <c r="AM15" i="6" s="1"/>
  <c r="AM9" i="7" s="1"/>
  <c r="AL27" i="5"/>
  <c r="AL15" i="6" s="1"/>
  <c r="AK27" i="5"/>
  <c r="AK15" i="6" s="1"/>
  <c r="AK9" i="7" s="1"/>
  <c r="AJ27" i="5"/>
  <c r="AJ15" i="6" s="1"/>
  <c r="AJ9" i="7" s="1"/>
  <c r="AI27" i="5"/>
  <c r="AI15" i="6" s="1"/>
  <c r="AI9" i="7" s="1"/>
  <c r="AH27" i="5"/>
  <c r="AH15" i="6" s="1"/>
  <c r="AH9" i="7" s="1"/>
  <c r="AG27" i="5"/>
  <c r="AG15" i="6" s="1"/>
  <c r="AG9" i="7" s="1"/>
  <c r="AF27" i="5"/>
  <c r="AF15" i="6" s="1"/>
  <c r="AF9" i="7" s="1"/>
  <c r="AE27" i="5"/>
  <c r="AD27" i="5"/>
  <c r="AC27" i="5"/>
  <c r="AB27" i="5"/>
  <c r="AB15" i="6" s="1"/>
  <c r="AB9" i="7" s="1"/>
  <c r="AA27" i="5"/>
  <c r="AA15" i="6" s="1"/>
  <c r="AA9" i="7" s="1"/>
  <c r="Z27" i="5"/>
  <c r="Z15" i="6" s="1"/>
  <c r="Y27" i="5"/>
  <c r="Y15" i="6" s="1"/>
  <c r="Y9" i="7" s="1"/>
  <c r="X27" i="5"/>
  <c r="X15" i="6" s="1"/>
  <c r="X9" i="7" s="1"/>
  <c r="W27" i="5"/>
  <c r="W15" i="6" s="1"/>
  <c r="W9" i="7" s="1"/>
  <c r="V27" i="5"/>
  <c r="V15" i="6" s="1"/>
  <c r="V9" i="7" s="1"/>
  <c r="U27" i="5"/>
  <c r="U15" i="6" s="1"/>
  <c r="U9" i="7" s="1"/>
  <c r="T27" i="5"/>
  <c r="T15" i="6" s="1"/>
  <c r="T9" i="7" s="1"/>
  <c r="S27" i="5"/>
  <c r="S15" i="6" s="1"/>
  <c r="S9" i="7" s="1"/>
  <c r="R27" i="5"/>
  <c r="R15" i="6" s="1"/>
  <c r="R9" i="7" s="1"/>
  <c r="Q27" i="5"/>
  <c r="Q15" i="6" s="1"/>
  <c r="Q9" i="7" s="1"/>
  <c r="P27" i="5"/>
  <c r="P15" i="6" s="1"/>
  <c r="P9" i="7" s="1"/>
  <c r="O27" i="5"/>
  <c r="O15" i="6" s="1"/>
  <c r="O9" i="7" s="1"/>
  <c r="N27" i="5"/>
  <c r="N15" i="6" s="1"/>
  <c r="M27" i="5"/>
  <c r="M15" i="6" s="1"/>
  <c r="M9" i="7" s="1"/>
  <c r="L27" i="5"/>
  <c r="L15" i="6" s="1"/>
  <c r="L9" i="7" s="1"/>
  <c r="K27" i="5"/>
  <c r="K15" i="6" s="1"/>
  <c r="K9" i="7" s="1"/>
  <c r="J27" i="5"/>
  <c r="J15" i="6" s="1"/>
  <c r="J9" i="7" s="1"/>
  <c r="I27" i="5"/>
  <c r="I15" i="6" s="1"/>
  <c r="I9" i="7" s="1"/>
  <c r="H27" i="5"/>
  <c r="H15" i="6" s="1"/>
  <c r="H9" i="7" s="1"/>
  <c r="G27" i="5"/>
  <c r="G15" i="6" s="1"/>
  <c r="G9" i="7" s="1"/>
  <c r="F27" i="5"/>
  <c r="F15" i="6" s="1"/>
  <c r="F9" i="7" s="1"/>
  <c r="E27" i="5"/>
  <c r="E15" i="6" s="1"/>
  <c r="E9" i="7" s="1"/>
  <c r="D27" i="5"/>
  <c r="D15" i="6" s="1"/>
  <c r="D9" i="7" s="1"/>
  <c r="C27" i="5"/>
  <c r="C15" i="6" s="1"/>
  <c r="C9" i="7" s="1"/>
  <c r="B27" i="5"/>
  <c r="B15" i="6" s="1"/>
  <c r="BI24" i="5"/>
  <c r="BH24" i="5"/>
  <c r="BG24" i="5"/>
  <c r="BF24" i="5"/>
  <c r="BE24" i="5"/>
  <c r="BD24" i="5"/>
  <c r="BC24" i="5"/>
  <c r="BB24" i="5"/>
  <c r="BA24" i="5"/>
  <c r="AZ24" i="5"/>
  <c r="AY24" i="5"/>
  <c r="AX24" i="5"/>
  <c r="AW24" i="5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BI23" i="5"/>
  <c r="BH23" i="5"/>
  <c r="BG23" i="5"/>
  <c r="BF23" i="5"/>
  <c r="BE23" i="5"/>
  <c r="BD23" i="5"/>
  <c r="BC23" i="5"/>
  <c r="BB23" i="5"/>
  <c r="BA23" i="5"/>
  <c r="AZ23" i="5"/>
  <c r="AY23" i="5"/>
  <c r="AX23" i="5"/>
  <c r="AW23" i="5"/>
  <c r="AV23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BI22" i="5"/>
  <c r="BH22" i="5"/>
  <c r="BG22" i="5"/>
  <c r="BF22" i="5"/>
  <c r="BE22" i="5"/>
  <c r="BD22" i="5"/>
  <c r="BC22" i="5"/>
  <c r="BB22" i="5"/>
  <c r="BA22" i="5"/>
  <c r="AZ22" i="5"/>
  <c r="AY22" i="5"/>
  <c r="AX22" i="5"/>
  <c r="AW22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BI19" i="5"/>
  <c r="BH19" i="5"/>
  <c r="BG19" i="5"/>
  <c r="BF19" i="5"/>
  <c r="BE19" i="5"/>
  <c r="BD19" i="5"/>
  <c r="BC19" i="5"/>
  <c r="BB19" i="5"/>
  <c r="BA19" i="5"/>
  <c r="AZ19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BI16" i="5"/>
  <c r="BH16" i="5"/>
  <c r="BG16" i="5"/>
  <c r="BF16" i="5"/>
  <c r="BE16" i="5"/>
  <c r="BD16" i="5"/>
  <c r="BC16" i="5"/>
  <c r="BB16" i="5"/>
  <c r="BA16" i="5"/>
  <c r="AZ16" i="5"/>
  <c r="AY16" i="5"/>
  <c r="AX16" i="5"/>
  <c r="AW16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BI15" i="5"/>
  <c r="BH15" i="5"/>
  <c r="BG15" i="5"/>
  <c r="BF15" i="5"/>
  <c r="BE15" i="5"/>
  <c r="BD15" i="5"/>
  <c r="BC15" i="5"/>
  <c r="BB15" i="5"/>
  <c r="BA15" i="5"/>
  <c r="AZ15" i="5"/>
  <c r="AY15" i="5"/>
  <c r="AX15" i="5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BI14" i="5"/>
  <c r="BH14" i="5"/>
  <c r="BG14" i="5"/>
  <c r="BF14" i="5"/>
  <c r="BE14" i="5"/>
  <c r="BD14" i="5"/>
  <c r="BC14" i="5"/>
  <c r="BB14" i="5"/>
  <c r="BA14" i="5"/>
  <c r="AZ14" i="5"/>
  <c r="AY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BI13" i="5"/>
  <c r="BH13" i="5"/>
  <c r="BG13" i="5"/>
  <c r="BF13" i="5"/>
  <c r="BE13" i="5"/>
  <c r="BD13" i="5"/>
  <c r="BC13" i="5"/>
  <c r="BB13" i="5"/>
  <c r="BA13" i="5"/>
  <c r="AZ13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BI12" i="5"/>
  <c r="BH12" i="5"/>
  <c r="BG12" i="5"/>
  <c r="BF12" i="5"/>
  <c r="BE12" i="5"/>
  <c r="BD12" i="5"/>
  <c r="BC12" i="5"/>
  <c r="BB12" i="5"/>
  <c r="BA12" i="5"/>
  <c r="AZ12" i="5"/>
  <c r="AY12" i="5"/>
  <c r="AX12" i="5"/>
  <c r="AW12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BI11" i="5"/>
  <c r="Y10" i="5"/>
  <c r="J10" i="5"/>
  <c r="AK9" i="5"/>
  <c r="AW8" i="5"/>
  <c r="BI6" i="5"/>
  <c r="BH6" i="5"/>
  <c r="BG6" i="5"/>
  <c r="BF6" i="5"/>
  <c r="BE6" i="5"/>
  <c r="BD6" i="5"/>
  <c r="BC6" i="5"/>
  <c r="BB6" i="5"/>
  <c r="BA6" i="5"/>
  <c r="AZ6" i="5"/>
  <c r="AY6" i="5"/>
  <c r="AX6" i="5"/>
  <c r="AW6" i="5"/>
  <c r="AV6" i="5"/>
  <c r="AU6" i="5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BI11" i="4"/>
  <c r="BH11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BI9" i="4"/>
  <c r="BH9" i="4"/>
  <c r="BG9" i="4"/>
  <c r="BF9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BI6" i="4"/>
  <c r="BH6" i="4"/>
  <c r="BG6" i="4"/>
  <c r="BF6" i="4"/>
  <c r="BE6" i="4"/>
  <c r="BD6" i="4"/>
  <c r="BC6" i="4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AA12" i="3"/>
  <c r="AA8" i="4" s="1"/>
  <c r="AA10" i="4" s="1"/>
  <c r="AA12" i="4" s="1"/>
  <c r="BI11" i="3"/>
  <c r="BH11" i="3"/>
  <c r="BG11" i="3"/>
  <c r="BF11" i="3"/>
  <c r="BE11" i="3"/>
  <c r="BD11" i="3"/>
  <c r="BC11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Y10" i="3"/>
  <c r="AY12" i="3" s="1"/>
  <c r="AY8" i="4" s="1"/>
  <c r="AY10" i="4" s="1"/>
  <c r="AY12" i="4" s="1"/>
  <c r="AA10" i="3"/>
  <c r="O10" i="3"/>
  <c r="BI9" i="3"/>
  <c r="BH9" i="3"/>
  <c r="BG9" i="3"/>
  <c r="BF9" i="3"/>
  <c r="BE9" i="3"/>
  <c r="BD9" i="3"/>
  <c r="BC9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BI8" i="3"/>
  <c r="BI10" i="3" s="1"/>
  <c r="BH8" i="3"/>
  <c r="BH10" i="3" s="1"/>
  <c r="BG8" i="3"/>
  <c r="BG10" i="3" s="1"/>
  <c r="BF8" i="3"/>
  <c r="BF10" i="3" s="1"/>
  <c r="BF10" i="5" s="1"/>
  <c r="BE8" i="3"/>
  <c r="BE10" i="3" s="1"/>
  <c r="BD8" i="3"/>
  <c r="BD10" i="3" s="1"/>
  <c r="BC8" i="3"/>
  <c r="BC10" i="3" s="1"/>
  <c r="BB8" i="3"/>
  <c r="BB10" i="3" s="1"/>
  <c r="BA8" i="3"/>
  <c r="BA10" i="3" s="1"/>
  <c r="AZ8" i="3"/>
  <c r="AZ10" i="3" s="1"/>
  <c r="AY8" i="3"/>
  <c r="AX8" i="3"/>
  <c r="AW8" i="3"/>
  <c r="AW10" i="3" s="1"/>
  <c r="AV8" i="3"/>
  <c r="AV10" i="3" s="1"/>
  <c r="AU8" i="3"/>
  <c r="AU10" i="3" s="1"/>
  <c r="AT8" i="3"/>
  <c r="AT10" i="3" s="1"/>
  <c r="AS8" i="3"/>
  <c r="AS10" i="3" s="1"/>
  <c r="AR8" i="3"/>
  <c r="AR10" i="3" s="1"/>
  <c r="AQ8" i="3"/>
  <c r="AQ10" i="3" s="1"/>
  <c r="AP8" i="3"/>
  <c r="AP10" i="3" s="1"/>
  <c r="AO8" i="3"/>
  <c r="AO10" i="3" s="1"/>
  <c r="AN8" i="3"/>
  <c r="AN10" i="3" s="1"/>
  <c r="AM8" i="3"/>
  <c r="AM10" i="3" s="1"/>
  <c r="AL8" i="3"/>
  <c r="AK8" i="3"/>
  <c r="AK10" i="3" s="1"/>
  <c r="AJ8" i="3"/>
  <c r="AJ10" i="3" s="1"/>
  <c r="AI8" i="3"/>
  <c r="AI10" i="3" s="1"/>
  <c r="AH8" i="3"/>
  <c r="AH10" i="3" s="1"/>
  <c r="AG8" i="3"/>
  <c r="AG10" i="3" s="1"/>
  <c r="AF8" i="3"/>
  <c r="AF10" i="3" s="1"/>
  <c r="AE8" i="3"/>
  <c r="AE10" i="3" s="1"/>
  <c r="AD8" i="3"/>
  <c r="AD10" i="3" s="1"/>
  <c r="AC8" i="3"/>
  <c r="AC10" i="3" s="1"/>
  <c r="AB8" i="3"/>
  <c r="AB10" i="3" s="1"/>
  <c r="AA8" i="3"/>
  <c r="Z8" i="3"/>
  <c r="Y8" i="3"/>
  <c r="Y10" i="3" s="1"/>
  <c r="X8" i="3"/>
  <c r="X10" i="3" s="1"/>
  <c r="W8" i="3"/>
  <c r="W10" i="3" s="1"/>
  <c r="V8" i="3"/>
  <c r="V10" i="3" s="1"/>
  <c r="U8" i="3"/>
  <c r="U10" i="3" s="1"/>
  <c r="T8" i="3"/>
  <c r="T10" i="3" s="1"/>
  <c r="S8" i="3"/>
  <c r="S10" i="3" s="1"/>
  <c r="R8" i="3"/>
  <c r="R10" i="3" s="1"/>
  <c r="Q8" i="3"/>
  <c r="Q10" i="3" s="1"/>
  <c r="P8" i="3"/>
  <c r="P10" i="3" s="1"/>
  <c r="O8" i="3"/>
  <c r="N8" i="3"/>
  <c r="M8" i="3"/>
  <c r="M10" i="3" s="1"/>
  <c r="M11" i="5" s="1"/>
  <c r="L8" i="3"/>
  <c r="L10" i="3" s="1"/>
  <c r="K8" i="3"/>
  <c r="K10" i="3" s="1"/>
  <c r="J8" i="3"/>
  <c r="J10" i="3" s="1"/>
  <c r="I8" i="3"/>
  <c r="I10" i="3" s="1"/>
  <c r="H8" i="3"/>
  <c r="H10" i="3" s="1"/>
  <c r="G8" i="3"/>
  <c r="G10" i="3" s="1"/>
  <c r="F8" i="3"/>
  <c r="F10" i="3" s="1"/>
  <c r="E8" i="3"/>
  <c r="E10" i="3" s="1"/>
  <c r="D8" i="3"/>
  <c r="D10" i="3" s="1"/>
  <c r="C8" i="3"/>
  <c r="C10" i="3" s="1"/>
  <c r="B8" i="3"/>
  <c r="BI6" i="3"/>
  <c r="BH6" i="3"/>
  <c r="BG6" i="3"/>
  <c r="BF6" i="3"/>
  <c r="BE6" i="3"/>
  <c r="BD6" i="3"/>
  <c r="BC6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D14" i="1"/>
  <c r="D13" i="1"/>
  <c r="B7" i="1"/>
  <c r="B6" i="1"/>
  <c r="B5" i="1"/>
  <c r="C9" i="5" l="1"/>
  <c r="C10" i="5"/>
  <c r="C11" i="5"/>
  <c r="C8" i="5"/>
  <c r="C17" i="5" s="1"/>
  <c r="C12" i="3"/>
  <c r="C8" i="4" s="1"/>
  <c r="C10" i="4" s="1"/>
  <c r="C12" i="4" s="1"/>
  <c r="AM10" i="5"/>
  <c r="AM11" i="5"/>
  <c r="AM8" i="5"/>
  <c r="AM9" i="5"/>
  <c r="AM12" i="3"/>
  <c r="AM8" i="4" s="1"/>
  <c r="AM10" i="4" s="1"/>
  <c r="AM12" i="4" s="1"/>
  <c r="AB8" i="5"/>
  <c r="AB17" i="5" s="1"/>
  <c r="AB9" i="5"/>
  <c r="AB10" i="5"/>
  <c r="AB12" i="3"/>
  <c r="AB8" i="4" s="1"/>
  <c r="AB10" i="4" s="1"/>
  <c r="AB12" i="4" s="1"/>
  <c r="AB11" i="5"/>
  <c r="AY13" i="4"/>
  <c r="AY14" i="4" s="1"/>
  <c r="D10" i="5"/>
  <c r="D11" i="5"/>
  <c r="D8" i="5"/>
  <c r="D17" i="5" s="1"/>
  <c r="D9" i="5"/>
  <c r="D12" i="3"/>
  <c r="D8" i="4" s="1"/>
  <c r="D10" i="4" s="1"/>
  <c r="D12" i="4" s="1"/>
  <c r="P9" i="5"/>
  <c r="P10" i="5"/>
  <c r="P11" i="5"/>
  <c r="P8" i="5"/>
  <c r="P12" i="3"/>
  <c r="P8" i="4" s="1"/>
  <c r="P10" i="4" s="1"/>
  <c r="P12" i="4" s="1"/>
  <c r="AN11" i="5"/>
  <c r="AN8" i="5"/>
  <c r="AN9" i="5"/>
  <c r="AN10" i="5"/>
  <c r="AN12" i="3"/>
  <c r="AN8" i="4" s="1"/>
  <c r="AN10" i="4" s="1"/>
  <c r="AN12" i="4" s="1"/>
  <c r="AA13" i="4"/>
  <c r="AA14" i="4" s="1"/>
  <c r="AZ10" i="5"/>
  <c r="AZ11" i="5"/>
  <c r="AZ8" i="5"/>
  <c r="AZ9" i="5"/>
  <c r="AZ12" i="3"/>
  <c r="AZ8" i="4" s="1"/>
  <c r="AZ10" i="4" s="1"/>
  <c r="AZ12" i="4" s="1"/>
  <c r="E11" i="5"/>
  <c r="E10" i="5"/>
  <c r="E9" i="5"/>
  <c r="E8" i="5"/>
  <c r="E17" i="5" s="1"/>
  <c r="E12" i="3"/>
  <c r="E8" i="4" s="1"/>
  <c r="E10" i="4" s="1"/>
  <c r="E12" i="4" s="1"/>
  <c r="X10" i="5"/>
  <c r="X12" i="3"/>
  <c r="X8" i="4" s="1"/>
  <c r="X10" i="4" s="1"/>
  <c r="X12" i="4" s="1"/>
  <c r="X11" i="5"/>
  <c r="X8" i="5"/>
  <c r="X9" i="5"/>
  <c r="AO11" i="5"/>
  <c r="AO10" i="5"/>
  <c r="AO9" i="5"/>
  <c r="AO8" i="5"/>
  <c r="AO12" i="3"/>
  <c r="AO8" i="4" s="1"/>
  <c r="AO10" i="4" s="1"/>
  <c r="AO12" i="4" s="1"/>
  <c r="R11" i="5"/>
  <c r="R10" i="5"/>
  <c r="R9" i="5"/>
  <c r="R8" i="5"/>
  <c r="R12" i="3"/>
  <c r="R8" i="4" s="1"/>
  <c r="R10" i="4" s="1"/>
  <c r="R12" i="4" s="1"/>
  <c r="AA11" i="5"/>
  <c r="AA8" i="5"/>
  <c r="AA9" i="5"/>
  <c r="AA10" i="5"/>
  <c r="S11" i="5"/>
  <c r="S10" i="5"/>
  <c r="S9" i="5"/>
  <c r="S8" i="5"/>
  <c r="S12" i="3"/>
  <c r="S8" i="4" s="1"/>
  <c r="S10" i="4" s="1"/>
  <c r="S12" i="4" s="1"/>
  <c r="AE11" i="5"/>
  <c r="AE10" i="5"/>
  <c r="AE9" i="5"/>
  <c r="AE8" i="5"/>
  <c r="AE12" i="3"/>
  <c r="AE8" i="4" s="1"/>
  <c r="AE10" i="4" s="1"/>
  <c r="AE12" i="4" s="1"/>
  <c r="AQ11" i="5"/>
  <c r="AQ10" i="5"/>
  <c r="AQ9" i="5"/>
  <c r="AQ8" i="5"/>
  <c r="AQ17" i="5" s="1"/>
  <c r="AQ12" i="3"/>
  <c r="AQ8" i="4" s="1"/>
  <c r="AQ10" i="4" s="1"/>
  <c r="AQ12" i="4" s="1"/>
  <c r="BC11" i="5"/>
  <c r="BC10" i="5"/>
  <c r="BC9" i="5"/>
  <c r="BC8" i="5"/>
  <c r="BC12" i="3"/>
  <c r="BC8" i="4" s="1"/>
  <c r="BC10" i="4" s="1"/>
  <c r="BC12" i="4" s="1"/>
  <c r="Q11" i="5"/>
  <c r="Q10" i="5"/>
  <c r="Q9" i="5"/>
  <c r="Q8" i="5"/>
  <c r="Q12" i="3"/>
  <c r="Q8" i="4" s="1"/>
  <c r="Q10" i="4" s="1"/>
  <c r="Q12" i="4" s="1"/>
  <c r="AD11" i="5"/>
  <c r="AD10" i="5"/>
  <c r="AD9" i="5"/>
  <c r="AD8" i="5"/>
  <c r="AD12" i="3"/>
  <c r="AD8" i="4" s="1"/>
  <c r="AD10" i="4" s="1"/>
  <c r="AD12" i="4" s="1"/>
  <c r="G11" i="5"/>
  <c r="G10" i="5"/>
  <c r="G9" i="5"/>
  <c r="G8" i="5"/>
  <c r="G12" i="3"/>
  <c r="G8" i="4" s="1"/>
  <c r="G10" i="4" s="1"/>
  <c r="G12" i="4" s="1"/>
  <c r="H10" i="5"/>
  <c r="H11" i="5"/>
  <c r="H9" i="5"/>
  <c r="H12" i="3"/>
  <c r="H8" i="4" s="1"/>
  <c r="H10" i="4" s="1"/>
  <c r="H12" i="4" s="1"/>
  <c r="H8" i="5"/>
  <c r="T8" i="5"/>
  <c r="T17" i="5" s="1"/>
  <c r="T9" i="5"/>
  <c r="T10" i="5"/>
  <c r="T12" i="3"/>
  <c r="T8" i="4" s="1"/>
  <c r="T10" i="4" s="1"/>
  <c r="T12" i="4" s="1"/>
  <c r="T11" i="5"/>
  <c r="AF8" i="5"/>
  <c r="AF9" i="5"/>
  <c r="AF12" i="3"/>
  <c r="AF8" i="4" s="1"/>
  <c r="AF10" i="4" s="1"/>
  <c r="AF12" i="4" s="1"/>
  <c r="AF10" i="5"/>
  <c r="AF11" i="5"/>
  <c r="AR11" i="5"/>
  <c r="AR10" i="5"/>
  <c r="AR8" i="5"/>
  <c r="AR12" i="3"/>
  <c r="AR8" i="4" s="1"/>
  <c r="AR10" i="4" s="1"/>
  <c r="AR12" i="4" s="1"/>
  <c r="AR9" i="5"/>
  <c r="BD10" i="5"/>
  <c r="BD11" i="5"/>
  <c r="BD9" i="5"/>
  <c r="BD12" i="3"/>
  <c r="BD8" i="4" s="1"/>
  <c r="BD10" i="4" s="1"/>
  <c r="BD12" i="4" s="1"/>
  <c r="BD8" i="5"/>
  <c r="BB11" i="5"/>
  <c r="BB10" i="5"/>
  <c r="BB9" i="5"/>
  <c r="BB8" i="5"/>
  <c r="BB12" i="3"/>
  <c r="BB8" i="4" s="1"/>
  <c r="BB10" i="4" s="1"/>
  <c r="BB12" i="4" s="1"/>
  <c r="I10" i="5"/>
  <c r="I11" i="5"/>
  <c r="I12" i="3"/>
  <c r="I8" i="4" s="1"/>
  <c r="I10" i="4" s="1"/>
  <c r="I12" i="4" s="1"/>
  <c r="I8" i="5"/>
  <c r="I9" i="5"/>
  <c r="U9" i="5"/>
  <c r="U10" i="5"/>
  <c r="U12" i="3"/>
  <c r="U8" i="4" s="1"/>
  <c r="U10" i="4" s="1"/>
  <c r="U12" i="4" s="1"/>
  <c r="U11" i="5"/>
  <c r="U8" i="5"/>
  <c r="AG8" i="5"/>
  <c r="AG9" i="5"/>
  <c r="AG12" i="3"/>
  <c r="AG8" i="4" s="1"/>
  <c r="AG10" i="4" s="1"/>
  <c r="AG12" i="4" s="1"/>
  <c r="AG10" i="5"/>
  <c r="AG11" i="5"/>
  <c r="AS11" i="5"/>
  <c r="AS8" i="5"/>
  <c r="AS12" i="3"/>
  <c r="AS8" i="4" s="1"/>
  <c r="AS10" i="4" s="1"/>
  <c r="AS12" i="4" s="1"/>
  <c r="AS9" i="5"/>
  <c r="AS10" i="5"/>
  <c r="BE10" i="5"/>
  <c r="BE11" i="5"/>
  <c r="BE12" i="3"/>
  <c r="BE8" i="4" s="1"/>
  <c r="BE10" i="4" s="1"/>
  <c r="BE12" i="4" s="1"/>
  <c r="BE8" i="5"/>
  <c r="BE9" i="5"/>
  <c r="AC11" i="5"/>
  <c r="AC10" i="5"/>
  <c r="AC9" i="5"/>
  <c r="AC8" i="5"/>
  <c r="AC17" i="5" s="1"/>
  <c r="AC12" i="3"/>
  <c r="AC8" i="4" s="1"/>
  <c r="AC10" i="4" s="1"/>
  <c r="AC12" i="4" s="1"/>
  <c r="BA11" i="5"/>
  <c r="BA10" i="5"/>
  <c r="BA9" i="5"/>
  <c r="BA8" i="5"/>
  <c r="BA12" i="3"/>
  <c r="BA8" i="4" s="1"/>
  <c r="BA10" i="4" s="1"/>
  <c r="BA12" i="4" s="1"/>
  <c r="F11" i="5"/>
  <c r="F10" i="5"/>
  <c r="F9" i="5"/>
  <c r="F8" i="5"/>
  <c r="F12" i="3"/>
  <c r="F8" i="4" s="1"/>
  <c r="F10" i="4" s="1"/>
  <c r="F12" i="4" s="1"/>
  <c r="V10" i="5"/>
  <c r="V12" i="3"/>
  <c r="V8" i="4" s="1"/>
  <c r="V10" i="4" s="1"/>
  <c r="V12" i="4" s="1"/>
  <c r="V11" i="5"/>
  <c r="V8" i="5"/>
  <c r="AT8" i="5"/>
  <c r="AT12" i="3"/>
  <c r="AT8" i="4" s="1"/>
  <c r="AT10" i="4" s="1"/>
  <c r="AT12" i="4" s="1"/>
  <c r="AT9" i="5"/>
  <c r="AT10" i="5"/>
  <c r="AY9" i="5"/>
  <c r="AY10" i="5"/>
  <c r="AY11" i="5"/>
  <c r="AY8" i="5"/>
  <c r="O8" i="5"/>
  <c r="O17" i="5" s="1"/>
  <c r="O9" i="5"/>
  <c r="O10" i="5"/>
  <c r="O11" i="5"/>
  <c r="AP11" i="5"/>
  <c r="AP10" i="5"/>
  <c r="AP9" i="5"/>
  <c r="AP8" i="5"/>
  <c r="AP12" i="3"/>
  <c r="AP8" i="4" s="1"/>
  <c r="AP10" i="4" s="1"/>
  <c r="AP12" i="4" s="1"/>
  <c r="J11" i="5"/>
  <c r="J12" i="3"/>
  <c r="J8" i="4" s="1"/>
  <c r="J10" i="4" s="1"/>
  <c r="J12" i="4" s="1"/>
  <c r="J8" i="5"/>
  <c r="J17" i="5" s="1"/>
  <c r="J9" i="5"/>
  <c r="AH9" i="5"/>
  <c r="AH12" i="3"/>
  <c r="AH8" i="4" s="1"/>
  <c r="AH10" i="4" s="1"/>
  <c r="AH12" i="4" s="1"/>
  <c r="AH10" i="5"/>
  <c r="AH11" i="5"/>
  <c r="BF11" i="5"/>
  <c r="BF12" i="3"/>
  <c r="BF8" i="4" s="1"/>
  <c r="BF10" i="4" s="1"/>
  <c r="BF12" i="4" s="1"/>
  <c r="BF8" i="5"/>
  <c r="BF9" i="5"/>
  <c r="K11" i="5"/>
  <c r="K10" i="5"/>
  <c r="K12" i="3"/>
  <c r="K8" i="4" s="1"/>
  <c r="K10" i="4" s="1"/>
  <c r="K12" i="4" s="1"/>
  <c r="K8" i="5"/>
  <c r="K9" i="5"/>
  <c r="W10" i="5"/>
  <c r="W12" i="3"/>
  <c r="W8" i="4" s="1"/>
  <c r="W10" i="4" s="1"/>
  <c r="W12" i="4" s="1"/>
  <c r="W11" i="5"/>
  <c r="W8" i="5"/>
  <c r="W9" i="5"/>
  <c r="AI9" i="5"/>
  <c r="AI12" i="3"/>
  <c r="AI8" i="4" s="1"/>
  <c r="AI10" i="4" s="1"/>
  <c r="AI12" i="4" s="1"/>
  <c r="AI10" i="5"/>
  <c r="AI11" i="5"/>
  <c r="AI8" i="5"/>
  <c r="AI17" i="5" s="1"/>
  <c r="AU8" i="5"/>
  <c r="AU12" i="3"/>
  <c r="AU8" i="4" s="1"/>
  <c r="AU10" i="4" s="1"/>
  <c r="AU12" i="4" s="1"/>
  <c r="AU11" i="5"/>
  <c r="AU9" i="5"/>
  <c r="AU10" i="5"/>
  <c r="BG11" i="5"/>
  <c r="BG12" i="3"/>
  <c r="BG8" i="4" s="1"/>
  <c r="BG10" i="4" s="1"/>
  <c r="BG12" i="4" s="1"/>
  <c r="BG8" i="5"/>
  <c r="BG10" i="5"/>
  <c r="BG9" i="5"/>
  <c r="AH8" i="5"/>
  <c r="AT11" i="5"/>
  <c r="BH11" i="5"/>
  <c r="BH12" i="3"/>
  <c r="BH8" i="4" s="1"/>
  <c r="BH10" i="4" s="1"/>
  <c r="BH12" i="4" s="1"/>
  <c r="BH8" i="5"/>
  <c r="BH9" i="5"/>
  <c r="BH10" i="5"/>
  <c r="AJ9" i="5"/>
  <c r="AJ12" i="3"/>
  <c r="AJ8" i="4" s="1"/>
  <c r="AJ10" i="4" s="1"/>
  <c r="AJ12" i="4" s="1"/>
  <c r="AJ10" i="5"/>
  <c r="AJ11" i="5"/>
  <c r="AJ8" i="5"/>
  <c r="M12" i="3"/>
  <c r="M8" i="4" s="1"/>
  <c r="M10" i="4" s="1"/>
  <c r="M12" i="4" s="1"/>
  <c r="M8" i="5"/>
  <c r="M9" i="5"/>
  <c r="M10" i="5"/>
  <c r="Y12" i="3"/>
  <c r="Y8" i="4" s="1"/>
  <c r="Y10" i="4" s="1"/>
  <c r="Y12" i="4" s="1"/>
  <c r="Y11" i="5"/>
  <c r="Y8" i="5"/>
  <c r="Y9" i="5"/>
  <c r="AK12" i="3"/>
  <c r="AK8" i="4" s="1"/>
  <c r="AK10" i="4" s="1"/>
  <c r="AK12" i="4" s="1"/>
  <c r="AK10" i="5"/>
  <c r="AK11" i="5"/>
  <c r="AK8" i="5"/>
  <c r="AW12" i="3"/>
  <c r="AW8" i="4" s="1"/>
  <c r="AW10" i="4" s="1"/>
  <c r="AW12" i="4" s="1"/>
  <c r="AW9" i="5"/>
  <c r="AW17" i="5" s="1"/>
  <c r="AW10" i="5"/>
  <c r="AW11" i="5"/>
  <c r="BI12" i="3"/>
  <c r="BI8" i="4" s="1"/>
  <c r="BI10" i="4" s="1"/>
  <c r="BI12" i="4" s="1"/>
  <c r="BI8" i="5"/>
  <c r="BI17" i="5" s="1"/>
  <c r="BI9" i="5"/>
  <c r="BI10" i="5"/>
  <c r="L11" i="5"/>
  <c r="L12" i="3"/>
  <c r="L8" i="4" s="1"/>
  <c r="L10" i="4" s="1"/>
  <c r="L12" i="4" s="1"/>
  <c r="L8" i="5"/>
  <c r="L9" i="5"/>
  <c r="L10" i="5"/>
  <c r="AV8" i="5"/>
  <c r="AV17" i="5" s="1"/>
  <c r="AV12" i="3"/>
  <c r="AV8" i="4" s="1"/>
  <c r="AV10" i="4" s="1"/>
  <c r="AV12" i="4" s="1"/>
  <c r="AV9" i="5"/>
  <c r="AV10" i="5"/>
  <c r="AV11" i="5"/>
  <c r="O12" i="3"/>
  <c r="O8" i="4" s="1"/>
  <c r="O10" i="4" s="1"/>
  <c r="O12" i="4" s="1"/>
  <c r="V9" i="5"/>
  <c r="B33" i="5"/>
  <c r="B18" i="7" s="1"/>
  <c r="B34" i="5"/>
  <c r="C31" i="5" s="1"/>
  <c r="B9" i="7"/>
  <c r="C16" i="8"/>
  <c r="N9" i="7"/>
  <c r="D16" i="8"/>
  <c r="Z9" i="7"/>
  <c r="E16" i="8"/>
  <c r="AL9" i="7"/>
  <c r="F16" i="8"/>
  <c r="AX9" i="7"/>
  <c r="G16" i="8"/>
  <c r="C5" i="8"/>
  <c r="D5" i="8"/>
  <c r="E5" i="8"/>
  <c r="F5" i="8"/>
  <c r="G5" i="8"/>
  <c r="F19" i="10" s="1"/>
  <c r="C6" i="8"/>
  <c r="D6" i="8"/>
  <c r="E6" i="8"/>
  <c r="F6" i="8"/>
  <c r="G6" i="8"/>
  <c r="B10" i="3"/>
  <c r="N10" i="3"/>
  <c r="Z10" i="3"/>
  <c r="AL10" i="3"/>
  <c r="AX10" i="3"/>
  <c r="AW12" i="7" l="1"/>
  <c r="AW11" i="7"/>
  <c r="AW9" i="6"/>
  <c r="AY10" i="7"/>
  <c r="AY8" i="6"/>
  <c r="AY21" i="5"/>
  <c r="AY20" i="5"/>
  <c r="AY25" i="5" s="1"/>
  <c r="AY12" i="6" s="1"/>
  <c r="AA10" i="7"/>
  <c r="AA8" i="6"/>
  <c r="AA20" i="5"/>
  <c r="AA21" i="5"/>
  <c r="C34" i="5"/>
  <c r="D31" i="5" s="1"/>
  <c r="C33" i="5"/>
  <c r="C18" i="7" s="1"/>
  <c r="C32" i="5"/>
  <c r="C28" i="5" s="1"/>
  <c r="C17" i="6" s="1"/>
  <c r="AW13" i="4"/>
  <c r="AW14" i="4"/>
  <c r="H6" i="8"/>
  <c r="W13" i="4"/>
  <c r="W14" i="4"/>
  <c r="AT17" i="5"/>
  <c r="U17" i="5"/>
  <c r="BB17" i="5"/>
  <c r="AR17" i="5"/>
  <c r="T12" i="7"/>
  <c r="T11" i="7"/>
  <c r="T9" i="6"/>
  <c r="AD13" i="4"/>
  <c r="AD14" i="4" s="1"/>
  <c r="BC17" i="5"/>
  <c r="R13" i="4"/>
  <c r="R14" i="4" s="1"/>
  <c r="AV13" i="4"/>
  <c r="AV14" i="4" s="1"/>
  <c r="AK13" i="4"/>
  <c r="AK14" i="4"/>
  <c r="AH13" i="4"/>
  <c r="AH14" i="4" s="1"/>
  <c r="V17" i="5"/>
  <c r="H17" i="5"/>
  <c r="AD17" i="5"/>
  <c r="R17" i="5"/>
  <c r="X13" i="4"/>
  <c r="X14" i="4"/>
  <c r="AB12" i="7"/>
  <c r="AB11" i="7"/>
  <c r="AB9" i="6"/>
  <c r="AU14" i="4"/>
  <c r="AU13" i="4"/>
  <c r="U13" i="4"/>
  <c r="U14" i="4" s="1"/>
  <c r="H13" i="4"/>
  <c r="H14" i="4"/>
  <c r="S14" i="4"/>
  <c r="S13" i="4"/>
  <c r="D13" i="4"/>
  <c r="D14" i="4" s="1"/>
  <c r="AM13" i="4"/>
  <c r="AM14" i="4"/>
  <c r="AV12" i="7"/>
  <c r="AV11" i="7"/>
  <c r="AV9" i="6"/>
  <c r="AJ13" i="4"/>
  <c r="AJ14" i="4" s="1"/>
  <c r="AX12" i="3"/>
  <c r="AX9" i="5"/>
  <c r="AX8" i="5"/>
  <c r="AX10" i="5"/>
  <c r="AX11" i="5"/>
  <c r="Y17" i="5"/>
  <c r="AU17" i="5"/>
  <c r="K17" i="5"/>
  <c r="V13" i="4"/>
  <c r="V14" i="4" s="1"/>
  <c r="AC14" i="4"/>
  <c r="AC13" i="4"/>
  <c r="S17" i="5"/>
  <c r="AN13" i="4"/>
  <c r="AN14" i="4" s="1"/>
  <c r="D12" i="7"/>
  <c r="D11" i="7"/>
  <c r="D9" i="6"/>
  <c r="AM17" i="5"/>
  <c r="BI12" i="7"/>
  <c r="BI11" i="7"/>
  <c r="BI9" i="6"/>
  <c r="AI12" i="7"/>
  <c r="AI11" i="7"/>
  <c r="AI9" i="6"/>
  <c r="K13" i="4"/>
  <c r="K14" i="4"/>
  <c r="J12" i="7"/>
  <c r="J11" i="7"/>
  <c r="J9" i="6"/>
  <c r="O12" i="7"/>
  <c r="O11" i="7"/>
  <c r="O9" i="6"/>
  <c r="AC12" i="7"/>
  <c r="AC11" i="7"/>
  <c r="AC9" i="6"/>
  <c r="BI13" i="4"/>
  <c r="BI14" i="4" s="1"/>
  <c r="Y13" i="4"/>
  <c r="Y14" i="4"/>
  <c r="AH17" i="5"/>
  <c r="J13" i="4"/>
  <c r="J14" i="4"/>
  <c r="AY17" i="5"/>
  <c r="F14" i="4"/>
  <c r="F13" i="4"/>
  <c r="AS17" i="5"/>
  <c r="BD17" i="5"/>
  <c r="AF14" i="4"/>
  <c r="AF13" i="4"/>
  <c r="AQ12" i="7"/>
  <c r="AQ11" i="7"/>
  <c r="AQ9" i="6"/>
  <c r="AO13" i="4"/>
  <c r="AO14" i="4" s="1"/>
  <c r="E12" i="7"/>
  <c r="E11" i="7"/>
  <c r="E9" i="6"/>
  <c r="AQ13" i="4"/>
  <c r="AQ14" i="4" s="1"/>
  <c r="E14" i="4"/>
  <c r="E13" i="4"/>
  <c r="BD13" i="4"/>
  <c r="BD14" i="4" s="1"/>
  <c r="Q14" i="4"/>
  <c r="Q13" i="4"/>
  <c r="AO17" i="5"/>
  <c r="AS13" i="4"/>
  <c r="AS14" i="4" s="1"/>
  <c r="L13" i="4"/>
  <c r="L14" i="4"/>
  <c r="F17" i="5"/>
  <c r="I17" i="5"/>
  <c r="B12" i="3"/>
  <c r="B9" i="5"/>
  <c r="B10" i="5"/>
  <c r="B8" i="5"/>
  <c r="B17" i="5" s="1"/>
  <c r="B11" i="5"/>
  <c r="BH13" i="4"/>
  <c r="BH14" i="4" s="1"/>
  <c r="AI13" i="4"/>
  <c r="AI14" i="4" s="1"/>
  <c r="AP13" i="4"/>
  <c r="AP14" i="4" s="1"/>
  <c r="I13" i="4"/>
  <c r="I14" i="4" s="1"/>
  <c r="AF17" i="5"/>
  <c r="G17" i="5"/>
  <c r="Q17" i="5"/>
  <c r="AN17" i="5"/>
  <c r="C13" i="4"/>
  <c r="C14" i="4" s="1"/>
  <c r="AL12" i="3"/>
  <c r="AL10" i="5"/>
  <c r="AL9" i="5"/>
  <c r="AL11" i="5"/>
  <c r="AL8" i="5"/>
  <c r="Z12" i="3"/>
  <c r="Z11" i="5"/>
  <c r="Z8" i="5"/>
  <c r="Z9" i="5"/>
  <c r="Z10" i="5"/>
  <c r="H5" i="8"/>
  <c r="L17" i="5"/>
  <c r="N12" i="3"/>
  <c r="N8" i="5"/>
  <c r="N9" i="5"/>
  <c r="N10" i="5"/>
  <c r="N11" i="5"/>
  <c r="BH17" i="5"/>
  <c r="G13" i="4"/>
  <c r="G14" i="4" s="1"/>
  <c r="H16" i="8"/>
  <c r="M17" i="5"/>
  <c r="BG17" i="5"/>
  <c r="BF17" i="5"/>
  <c r="AP17" i="5"/>
  <c r="C12" i="7"/>
  <c r="C11" i="7"/>
  <c r="C9" i="6"/>
  <c r="AZ13" i="4"/>
  <c r="AZ14" i="4" s="1"/>
  <c r="P13" i="4"/>
  <c r="P14" i="4" s="1"/>
  <c r="T13" i="4"/>
  <c r="T14" i="4" s="1"/>
  <c r="AE13" i="4"/>
  <c r="AE14" i="4" s="1"/>
  <c r="AK17" i="5"/>
  <c r="W17" i="5"/>
  <c r="BA13" i="4"/>
  <c r="BA14" i="4" s="1"/>
  <c r="BE17" i="5"/>
  <c r="AE17" i="5"/>
  <c r="AA17" i="5"/>
  <c r="P17" i="5"/>
  <c r="AB14" i="4"/>
  <c r="AB13" i="4"/>
  <c r="O13" i="4"/>
  <c r="O14" i="4" s="1"/>
  <c r="M13" i="4"/>
  <c r="M14" i="4" s="1"/>
  <c r="BG13" i="4"/>
  <c r="BG14" i="4" s="1"/>
  <c r="BF14" i="4"/>
  <c r="BF13" i="4"/>
  <c r="AG13" i="4"/>
  <c r="AG14" i="4"/>
  <c r="AJ17" i="5"/>
  <c r="AT13" i="4"/>
  <c r="AT14" i="4"/>
  <c r="BA17" i="5"/>
  <c r="BE14" i="4"/>
  <c r="BE13" i="4"/>
  <c r="AG17" i="5"/>
  <c r="BB14" i="4"/>
  <c r="BB13" i="4"/>
  <c r="AR13" i="4"/>
  <c r="AR14" i="4" s="1"/>
  <c r="BC13" i="4"/>
  <c r="BC14" i="4" s="1"/>
  <c r="X17" i="5"/>
  <c r="AZ17" i="5"/>
  <c r="BG10" i="7" l="1"/>
  <c r="BG8" i="6"/>
  <c r="BG21" i="5"/>
  <c r="BG20" i="5"/>
  <c r="BG25" i="5" s="1"/>
  <c r="BG12" i="6" s="1"/>
  <c r="AE10" i="7"/>
  <c r="AE21" i="5"/>
  <c r="AE20" i="5"/>
  <c r="AE25" i="5" s="1"/>
  <c r="AE12" i="6" s="1"/>
  <c r="AE8" i="6"/>
  <c r="G10" i="7"/>
  <c r="G8" i="6"/>
  <c r="G21" i="5"/>
  <c r="G20" i="5"/>
  <c r="I10" i="7"/>
  <c r="I8" i="6"/>
  <c r="I21" i="5"/>
  <c r="I20" i="5"/>
  <c r="I25" i="5" s="1"/>
  <c r="I12" i="6" s="1"/>
  <c r="AO10" i="7"/>
  <c r="AO8" i="6"/>
  <c r="AO21" i="5"/>
  <c r="AO20" i="5"/>
  <c r="M10" i="7"/>
  <c r="M8" i="6"/>
  <c r="M21" i="5"/>
  <c r="M20" i="5"/>
  <c r="P10" i="7"/>
  <c r="P8" i="6"/>
  <c r="P21" i="5"/>
  <c r="P20" i="5"/>
  <c r="P25" i="5" s="1"/>
  <c r="P12" i="6" s="1"/>
  <c r="AN10" i="7"/>
  <c r="AN8" i="6"/>
  <c r="AN21" i="5"/>
  <c r="AN20" i="5"/>
  <c r="U10" i="7"/>
  <c r="U8" i="6"/>
  <c r="U21" i="5"/>
  <c r="U20" i="5"/>
  <c r="AH10" i="7"/>
  <c r="AH8" i="6"/>
  <c r="AH21" i="5"/>
  <c r="AH20" i="5"/>
  <c r="AH25" i="5" s="1"/>
  <c r="AH12" i="6" s="1"/>
  <c r="O10" i="7"/>
  <c r="O13" i="7" s="1"/>
  <c r="O8" i="6"/>
  <c r="O10" i="6" s="1"/>
  <c r="O21" i="5"/>
  <c r="O20" i="5"/>
  <c r="AZ10" i="7"/>
  <c r="AZ8" i="6"/>
  <c r="AZ21" i="5"/>
  <c r="AZ20" i="5"/>
  <c r="BH10" i="7"/>
  <c r="BH8" i="6"/>
  <c r="BH21" i="5"/>
  <c r="BH20" i="5"/>
  <c r="BH25" i="5" s="1"/>
  <c r="BH12" i="6" s="1"/>
  <c r="AJ10" i="7"/>
  <c r="AJ8" i="6"/>
  <c r="AJ21" i="5"/>
  <c r="AJ20" i="5"/>
  <c r="BI10" i="7"/>
  <c r="BI13" i="7" s="1"/>
  <c r="BI8" i="6"/>
  <c r="BI10" i="6" s="1"/>
  <c r="BI20" i="5"/>
  <c r="BI25" i="5" s="1"/>
  <c r="BI12" i="6" s="1"/>
  <c r="BI21" i="5"/>
  <c r="AP10" i="7"/>
  <c r="AP8" i="6"/>
  <c r="AP21" i="5"/>
  <c r="AP20" i="5"/>
  <c r="AP25" i="5" s="1"/>
  <c r="AP12" i="6" s="1"/>
  <c r="BD10" i="7"/>
  <c r="BD8" i="6"/>
  <c r="BD21" i="5"/>
  <c r="BD20" i="5"/>
  <c r="AV10" i="7"/>
  <c r="AV13" i="7" s="1"/>
  <c r="AV8" i="6"/>
  <c r="AV10" i="6" s="1"/>
  <c r="AV20" i="5"/>
  <c r="AV25" i="5" s="1"/>
  <c r="AV12" i="6" s="1"/>
  <c r="AV21" i="5"/>
  <c r="V10" i="7"/>
  <c r="V8" i="6"/>
  <c r="V21" i="5"/>
  <c r="V20" i="5"/>
  <c r="V25" i="5" s="1"/>
  <c r="V12" i="6" s="1"/>
  <c r="R10" i="7"/>
  <c r="R21" i="5"/>
  <c r="R20" i="5"/>
  <c r="R8" i="6"/>
  <c r="C10" i="7"/>
  <c r="C13" i="7" s="1"/>
  <c r="C8" i="6"/>
  <c r="C10" i="6" s="1"/>
  <c r="C21" i="5"/>
  <c r="C20" i="5"/>
  <c r="T10" i="7"/>
  <c r="T13" i="7" s="1"/>
  <c r="T8" i="6"/>
  <c r="T10" i="6" s="1"/>
  <c r="T21" i="5"/>
  <c r="T20" i="5"/>
  <c r="T25" i="5" s="1"/>
  <c r="T12" i="6" s="1"/>
  <c r="AQ10" i="7"/>
  <c r="AQ13" i="7" s="1"/>
  <c r="AQ8" i="6"/>
  <c r="AQ10" i="6" s="1"/>
  <c r="AQ21" i="5"/>
  <c r="AQ20" i="5"/>
  <c r="AQ25" i="5" s="1"/>
  <c r="AQ12" i="6" s="1"/>
  <c r="AD10" i="7"/>
  <c r="AD21" i="5"/>
  <c r="AD20" i="5"/>
  <c r="AD25" i="5" s="1"/>
  <c r="AD12" i="6" s="1"/>
  <c r="AD8" i="6"/>
  <c r="BC10" i="7"/>
  <c r="BC8" i="6"/>
  <c r="BC21" i="5"/>
  <c r="BC20" i="5"/>
  <c r="BC25" i="5" s="1"/>
  <c r="BC12" i="6" s="1"/>
  <c r="BA10" i="7"/>
  <c r="BA8" i="6"/>
  <c r="BA10" i="6" s="1"/>
  <c r="BA21" i="5"/>
  <c r="BA20" i="5"/>
  <c r="BA25" i="5" s="1"/>
  <c r="BA12" i="6" s="1"/>
  <c r="D10" i="7"/>
  <c r="D13" i="7" s="1"/>
  <c r="D14" i="7" s="1"/>
  <c r="D8" i="6"/>
  <c r="D10" i="6" s="1"/>
  <c r="D21" i="5"/>
  <c r="D20" i="5"/>
  <c r="AS10" i="7"/>
  <c r="AS8" i="6"/>
  <c r="AS21" i="5"/>
  <c r="AS20" i="5"/>
  <c r="AS25" i="5" s="1"/>
  <c r="AS12" i="6" s="1"/>
  <c r="AI10" i="7"/>
  <c r="AI13" i="7" s="1"/>
  <c r="AI8" i="6"/>
  <c r="AI10" i="6" s="1"/>
  <c r="AI21" i="5"/>
  <c r="AI20" i="5"/>
  <c r="AI25" i="5" s="1"/>
  <c r="AI12" i="6" s="1"/>
  <c r="AR10" i="7"/>
  <c r="AR8" i="6"/>
  <c r="AR10" i="6" s="1"/>
  <c r="AR20" i="5"/>
  <c r="AR25" i="5" s="1"/>
  <c r="AR12" i="6" s="1"/>
  <c r="AR21" i="5"/>
  <c r="F7" i="8"/>
  <c r="AL8" i="4"/>
  <c r="AL10" i="4" s="1"/>
  <c r="D32" i="5"/>
  <c r="D28" i="5" s="1"/>
  <c r="D17" i="6" s="1"/>
  <c r="D33" i="5"/>
  <c r="D18" i="7" s="1"/>
  <c r="AK12" i="7"/>
  <c r="AK11" i="7"/>
  <c r="AK9" i="6"/>
  <c r="BF12" i="7"/>
  <c r="BF11" i="7"/>
  <c r="BF9" i="6"/>
  <c r="AY12" i="7"/>
  <c r="AY11" i="7"/>
  <c r="AY9" i="6"/>
  <c r="J10" i="7"/>
  <c r="J13" i="7" s="1"/>
  <c r="J8" i="6"/>
  <c r="J10" i="6" s="1"/>
  <c r="J20" i="5"/>
  <c r="J25" i="5" s="1"/>
  <c r="J12" i="6" s="1"/>
  <c r="J21" i="5"/>
  <c r="AM12" i="7"/>
  <c r="AM11" i="7"/>
  <c r="AM9" i="6"/>
  <c r="AM10" i="7"/>
  <c r="AM8" i="6"/>
  <c r="AM10" i="6" s="1"/>
  <c r="AM21" i="5"/>
  <c r="AM20" i="5"/>
  <c r="BB12" i="7"/>
  <c r="BB11" i="7"/>
  <c r="BB9" i="6"/>
  <c r="AA25" i="5"/>
  <c r="AA12" i="6" s="1"/>
  <c r="K12" i="7"/>
  <c r="K11" i="7"/>
  <c r="K9" i="6"/>
  <c r="AU10" i="7"/>
  <c r="AU8" i="6"/>
  <c r="AU20" i="5"/>
  <c r="AU25" i="5" s="1"/>
  <c r="AU12" i="6" s="1"/>
  <c r="AU21" i="5"/>
  <c r="AK10" i="7"/>
  <c r="AK8" i="6"/>
  <c r="AK21" i="5"/>
  <c r="AK20" i="5"/>
  <c r="AK25" i="5" s="1"/>
  <c r="AK12" i="6" s="1"/>
  <c r="AR12" i="7"/>
  <c r="AR11" i="7"/>
  <c r="AR9" i="6"/>
  <c r="AZ12" i="7"/>
  <c r="AZ11" i="7"/>
  <c r="AZ9" i="6"/>
  <c r="AT10" i="7"/>
  <c r="AT13" i="7" s="1"/>
  <c r="AT8" i="6"/>
  <c r="AT20" i="5"/>
  <c r="AT25" i="5" s="1"/>
  <c r="AT12" i="6" s="1"/>
  <c r="AT21" i="5"/>
  <c r="BG12" i="7"/>
  <c r="BG11" i="7"/>
  <c r="BG9" i="6"/>
  <c r="AO12" i="7"/>
  <c r="AO11" i="7"/>
  <c r="AO9" i="6"/>
  <c r="AU12" i="7"/>
  <c r="AU11" i="7"/>
  <c r="AU9" i="6"/>
  <c r="X12" i="7"/>
  <c r="X11" i="7"/>
  <c r="X9" i="6"/>
  <c r="M12" i="7"/>
  <c r="M11" i="7"/>
  <c r="M9" i="6"/>
  <c r="AN12" i="7"/>
  <c r="AN11" i="7"/>
  <c r="AN9" i="6"/>
  <c r="Y12" i="7"/>
  <c r="Y11" i="7"/>
  <c r="Y9" i="6"/>
  <c r="U12" i="7"/>
  <c r="U11" i="7"/>
  <c r="U9" i="6"/>
  <c r="AH12" i="7"/>
  <c r="AH11" i="7"/>
  <c r="AH9" i="6"/>
  <c r="AT12" i="7"/>
  <c r="AT11" i="7"/>
  <c r="AT9" i="6"/>
  <c r="AP12" i="7"/>
  <c r="AP11" i="7"/>
  <c r="AP9" i="6"/>
  <c r="AG10" i="7"/>
  <c r="AG13" i="7" s="1"/>
  <c r="AG8" i="6"/>
  <c r="AG21" i="5"/>
  <c r="AG20" i="5"/>
  <c r="AG25" i="5" s="1"/>
  <c r="AG12" i="6" s="1"/>
  <c r="P12" i="7"/>
  <c r="P11" i="7"/>
  <c r="P9" i="6"/>
  <c r="Z17" i="5"/>
  <c r="G12" i="7"/>
  <c r="G11" i="7"/>
  <c r="G9" i="6"/>
  <c r="Y10" i="7"/>
  <c r="Y8" i="6"/>
  <c r="Y20" i="5"/>
  <c r="Y21" i="5"/>
  <c r="X10" i="7"/>
  <c r="X13" i="7" s="1"/>
  <c r="X8" i="6"/>
  <c r="X10" i="6" s="1"/>
  <c r="X21" i="5"/>
  <c r="X20" i="5"/>
  <c r="X25" i="5" s="1"/>
  <c r="X12" i="6" s="1"/>
  <c r="W10" i="7"/>
  <c r="W8" i="6"/>
  <c r="W21" i="5"/>
  <c r="W20" i="5"/>
  <c r="BA12" i="7"/>
  <c r="BA11" i="7"/>
  <c r="BA9" i="6"/>
  <c r="Q12" i="7"/>
  <c r="Q11" i="7"/>
  <c r="Q9" i="6"/>
  <c r="AF12" i="7"/>
  <c r="AF11" i="7"/>
  <c r="AF9" i="6"/>
  <c r="K10" i="7"/>
  <c r="K8" i="6"/>
  <c r="K10" i="6" s="1"/>
  <c r="K20" i="5"/>
  <c r="K25" i="5" s="1"/>
  <c r="K12" i="6" s="1"/>
  <c r="K21" i="5"/>
  <c r="AX17" i="5"/>
  <c r="L12" i="7"/>
  <c r="L11" i="7"/>
  <c r="L9" i="6"/>
  <c r="AA12" i="7"/>
  <c r="AA13" i="7" s="1"/>
  <c r="AA11" i="7"/>
  <c r="AA9" i="6"/>
  <c r="AA10" i="6" s="1"/>
  <c r="AE12" i="7"/>
  <c r="AE11" i="7"/>
  <c r="AE9" i="6"/>
  <c r="BH12" i="7"/>
  <c r="BH11" i="7"/>
  <c r="BH9" i="6"/>
  <c r="E7" i="8"/>
  <c r="Z8" i="4"/>
  <c r="Z10" i="4" s="1"/>
  <c r="C7" i="8"/>
  <c r="H7" i="8" s="1"/>
  <c r="B8" i="4"/>
  <c r="B10" i="4" s="1"/>
  <c r="S10" i="7"/>
  <c r="S21" i="5"/>
  <c r="S20" i="5"/>
  <c r="S25" i="5" s="1"/>
  <c r="S12" i="6" s="1"/>
  <c r="S8" i="6"/>
  <c r="S10" i="6" s="1"/>
  <c r="R12" i="7"/>
  <c r="R11" i="7"/>
  <c r="R9" i="6"/>
  <c r="BC12" i="7"/>
  <c r="BC11" i="7"/>
  <c r="BC9" i="6"/>
  <c r="AY10" i="6"/>
  <c r="B12" i="7"/>
  <c r="B11" i="7"/>
  <c r="C10" i="8"/>
  <c r="B9" i="6"/>
  <c r="BF10" i="7"/>
  <c r="BF13" i="7" s="1"/>
  <c r="BF8" i="6"/>
  <c r="BF10" i="6" s="1"/>
  <c r="BF21" i="5"/>
  <c r="BF20" i="5"/>
  <c r="BE12" i="7"/>
  <c r="BE11" i="7"/>
  <c r="BE9" i="6"/>
  <c r="AL17" i="5"/>
  <c r="I12" i="7"/>
  <c r="I11" i="7"/>
  <c r="I9" i="6"/>
  <c r="E10" i="7"/>
  <c r="E13" i="7" s="1"/>
  <c r="E14" i="7" s="1"/>
  <c r="E8" i="6"/>
  <c r="E10" i="6" s="1"/>
  <c r="E21" i="5"/>
  <c r="E20" i="5"/>
  <c r="E25" i="5" s="1"/>
  <c r="E12" i="6" s="1"/>
  <c r="AF10" i="7"/>
  <c r="AF8" i="6"/>
  <c r="AF10" i="6" s="1"/>
  <c r="AF21" i="5"/>
  <c r="AF20" i="5"/>
  <c r="AF25" i="5" s="1"/>
  <c r="AF12" i="6" s="1"/>
  <c r="S12" i="7"/>
  <c r="S11" i="7"/>
  <c r="S9" i="6"/>
  <c r="G7" i="8"/>
  <c r="AX8" i="4"/>
  <c r="AX10" i="4" s="1"/>
  <c r="H10" i="7"/>
  <c r="H8" i="6"/>
  <c r="H10" i="6" s="1"/>
  <c r="H20" i="5"/>
  <c r="H25" i="5" s="1"/>
  <c r="H12" i="6" s="1"/>
  <c r="H21" i="5"/>
  <c r="AD12" i="7"/>
  <c r="AD11" i="7"/>
  <c r="AD9" i="6"/>
  <c r="AW10" i="7"/>
  <c r="AW13" i="7" s="1"/>
  <c r="AW14" i="7" s="1"/>
  <c r="AW8" i="6"/>
  <c r="AW10" i="6" s="1"/>
  <c r="AW21" i="5"/>
  <c r="AW20" i="5"/>
  <c r="AW25" i="5" s="1"/>
  <c r="AW12" i="6" s="1"/>
  <c r="AY13" i="7"/>
  <c r="BD12" i="7"/>
  <c r="BD11" i="7"/>
  <c r="BD9" i="6"/>
  <c r="H12" i="7"/>
  <c r="H11" i="7"/>
  <c r="H9" i="6"/>
  <c r="BE10" i="7"/>
  <c r="BE13" i="7" s="1"/>
  <c r="BE8" i="6"/>
  <c r="BE10" i="6" s="1"/>
  <c r="BE21" i="5"/>
  <c r="BE20" i="5"/>
  <c r="D7" i="8"/>
  <c r="N8" i="4"/>
  <c r="N10" i="4" s="1"/>
  <c r="F10" i="7"/>
  <c r="F8" i="6"/>
  <c r="F10" i="6" s="1"/>
  <c r="F21" i="5"/>
  <c r="F20" i="5"/>
  <c r="AB10" i="7"/>
  <c r="AB13" i="7" s="1"/>
  <c r="AB8" i="6"/>
  <c r="AB10" i="6" s="1"/>
  <c r="AB20" i="5"/>
  <c r="AB21" i="5"/>
  <c r="Q10" i="7"/>
  <c r="Q21" i="5"/>
  <c r="Q20" i="5"/>
  <c r="Q25" i="5" s="1"/>
  <c r="Q12" i="6" s="1"/>
  <c r="Q8" i="6"/>
  <c r="BB10" i="7"/>
  <c r="BB13" i="7" s="1"/>
  <c r="BB8" i="6"/>
  <c r="BB10" i="6" s="1"/>
  <c r="BB21" i="5"/>
  <c r="BB20" i="5"/>
  <c r="F12" i="7"/>
  <c r="F11" i="7"/>
  <c r="F9" i="6"/>
  <c r="L10" i="7"/>
  <c r="L13" i="7" s="1"/>
  <c r="L8" i="6"/>
  <c r="L20" i="5"/>
  <c r="L21" i="5"/>
  <c r="AS12" i="7"/>
  <c r="AS11" i="7"/>
  <c r="AS9" i="6"/>
  <c r="AC10" i="7"/>
  <c r="AC13" i="7" s="1"/>
  <c r="AC14" i="7" s="1"/>
  <c r="AC21" i="5"/>
  <c r="AC20" i="5"/>
  <c r="AC25" i="5" s="1"/>
  <c r="AC12" i="6" s="1"/>
  <c r="AC8" i="6"/>
  <c r="AC10" i="6" s="1"/>
  <c r="V12" i="7"/>
  <c r="V11" i="7"/>
  <c r="V9" i="6"/>
  <c r="AJ12" i="7"/>
  <c r="AJ11" i="7"/>
  <c r="AJ9" i="6"/>
  <c r="AG12" i="7"/>
  <c r="AG11" i="7"/>
  <c r="AG9" i="6"/>
  <c r="W12" i="7"/>
  <c r="W11" i="7"/>
  <c r="W9" i="6"/>
  <c r="N17" i="5"/>
  <c r="AA13" i="6" l="1"/>
  <c r="AA11" i="6"/>
  <c r="W25" i="5"/>
  <c r="W12" i="6" s="1"/>
  <c r="AT10" i="6"/>
  <c r="D25" i="5"/>
  <c r="D12" i="6" s="1"/>
  <c r="D13" i="6" s="1"/>
  <c r="AD10" i="6"/>
  <c r="C25" i="5"/>
  <c r="C12" i="6" s="1"/>
  <c r="C13" i="6" s="1"/>
  <c r="AZ25" i="5"/>
  <c r="AZ12" i="6" s="1"/>
  <c r="U25" i="5"/>
  <c r="U12" i="6" s="1"/>
  <c r="M25" i="5"/>
  <c r="M12" i="6" s="1"/>
  <c r="G25" i="5"/>
  <c r="G12" i="6" s="1"/>
  <c r="AM11" i="6"/>
  <c r="BF14" i="7"/>
  <c r="S11" i="6"/>
  <c r="S13" i="6"/>
  <c r="K13" i="7"/>
  <c r="K14" i="7" s="1"/>
  <c r="W10" i="6"/>
  <c r="AU10" i="6"/>
  <c r="AM13" i="7"/>
  <c r="AR13" i="6"/>
  <c r="AR11" i="6"/>
  <c r="D11" i="6"/>
  <c r="C11" i="6"/>
  <c r="AV13" i="6"/>
  <c r="AV11" i="6"/>
  <c r="BI13" i="6"/>
  <c r="BI11" i="6"/>
  <c r="AZ10" i="6"/>
  <c r="U10" i="6"/>
  <c r="M10" i="6"/>
  <c r="G10" i="6"/>
  <c r="BF11" i="6"/>
  <c r="F13" i="7"/>
  <c r="F14" i="7" s="1"/>
  <c r="G8" i="8"/>
  <c r="AX12" i="4"/>
  <c r="W13" i="7"/>
  <c r="Z12" i="7"/>
  <c r="Z11" i="7"/>
  <c r="E10" i="8"/>
  <c r="Z9" i="6"/>
  <c r="AU13" i="7"/>
  <c r="AU14" i="7" s="1"/>
  <c r="AR13" i="7"/>
  <c r="AR14" i="7" s="1"/>
  <c r="AD13" i="7"/>
  <c r="AD14" i="7" s="1"/>
  <c r="AV14" i="7"/>
  <c r="AZ13" i="7"/>
  <c r="AZ14" i="7" s="1"/>
  <c r="U13" i="7"/>
  <c r="U14" i="7" s="1"/>
  <c r="M13" i="7"/>
  <c r="M14" i="7" s="1"/>
  <c r="G13" i="7"/>
  <c r="G14" i="7" s="1"/>
  <c r="E11" i="6"/>
  <c r="E13" i="6"/>
  <c r="R10" i="6"/>
  <c r="BD25" i="5"/>
  <c r="BD12" i="6" s="1"/>
  <c r="AJ25" i="5"/>
  <c r="AJ12" i="6" s="1"/>
  <c r="O25" i="5"/>
  <c r="O12" i="6" s="1"/>
  <c r="AN25" i="5"/>
  <c r="AN12" i="6" s="1"/>
  <c r="AO25" i="5"/>
  <c r="AO12" i="6" s="1"/>
  <c r="AE10" i="6"/>
  <c r="BB11" i="6"/>
  <c r="K13" i="6"/>
  <c r="K11" i="6"/>
  <c r="AT14" i="7"/>
  <c r="H13" i="7"/>
  <c r="Q10" i="6"/>
  <c r="D8" i="8"/>
  <c r="N12" i="4"/>
  <c r="F18" i="10"/>
  <c r="L25" i="5"/>
  <c r="L12" i="6" s="1"/>
  <c r="BE25" i="5"/>
  <c r="BE12" i="6" s="1"/>
  <c r="S13" i="7"/>
  <c r="S14" i="7" s="1"/>
  <c r="R25" i="5"/>
  <c r="R12" i="6" s="1"/>
  <c r="F11" i="6"/>
  <c r="H13" i="6"/>
  <c r="H11" i="6"/>
  <c r="L10" i="6"/>
  <c r="Q13" i="7"/>
  <c r="Q14" i="7" s="1"/>
  <c r="AW13" i="6"/>
  <c r="AW11" i="6"/>
  <c r="C8" i="8"/>
  <c r="H8" i="8" s="1"/>
  <c r="B12" i="4"/>
  <c r="X13" i="6"/>
  <c r="X11" i="6"/>
  <c r="AI13" i="6"/>
  <c r="AI11" i="6"/>
  <c r="BA11" i="6"/>
  <c r="BA13" i="6"/>
  <c r="AQ13" i="6"/>
  <c r="AQ11" i="6"/>
  <c r="BD10" i="6"/>
  <c r="AJ10" i="6"/>
  <c r="O13" i="6"/>
  <c r="O11" i="6"/>
  <c r="AN10" i="6"/>
  <c r="AO10" i="6"/>
  <c r="BA13" i="7"/>
  <c r="BA14" i="7" s="1"/>
  <c r="R13" i="7"/>
  <c r="BD13" i="7"/>
  <c r="AJ13" i="7"/>
  <c r="AJ14" i="7" s="1"/>
  <c r="AN13" i="7"/>
  <c r="AN14" i="7" s="1"/>
  <c r="AO13" i="7"/>
  <c r="AO14" i="7" s="1"/>
  <c r="AE13" i="7"/>
  <c r="AE14" i="7" s="1"/>
  <c r="BE13" i="6"/>
  <c r="BE11" i="6"/>
  <c r="AL12" i="7"/>
  <c r="AL11" i="7"/>
  <c r="F10" i="8"/>
  <c r="AL9" i="6"/>
  <c r="BE14" i="7"/>
  <c r="J13" i="6"/>
  <c r="J11" i="6"/>
  <c r="AY13" i="6"/>
  <c r="AY11" i="6"/>
  <c r="X14" i="7"/>
  <c r="AB25" i="5"/>
  <c r="AB12" i="6" s="1"/>
  <c r="AB13" i="6" s="1"/>
  <c r="E8" i="8"/>
  <c r="Z12" i="4"/>
  <c r="AC13" i="6"/>
  <c r="AC11" i="6"/>
  <c r="AB11" i="6"/>
  <c r="Y25" i="5"/>
  <c r="Y12" i="6" s="1"/>
  <c r="AG10" i="6"/>
  <c r="J14" i="7"/>
  <c r="D34" i="5"/>
  <c r="E31" i="5" s="1"/>
  <c r="AK10" i="6"/>
  <c r="F8" i="8"/>
  <c r="AL12" i="4"/>
  <c r="AS10" i="6"/>
  <c r="BC10" i="6"/>
  <c r="T13" i="6"/>
  <c r="T11" i="6"/>
  <c r="V10" i="6"/>
  <c r="AP10" i="6"/>
  <c r="BH10" i="6"/>
  <c r="AH10" i="6"/>
  <c r="P10" i="6"/>
  <c r="I10" i="6"/>
  <c r="BG10" i="6"/>
  <c r="N12" i="7"/>
  <c r="N11" i="7"/>
  <c r="D10" i="8"/>
  <c r="H10" i="8" s="1"/>
  <c r="N9" i="6"/>
  <c r="L14" i="7"/>
  <c r="AB14" i="7"/>
  <c r="AF13" i="6"/>
  <c r="AF11" i="6"/>
  <c r="AX12" i="7"/>
  <c r="AX11" i="7"/>
  <c r="G10" i="8"/>
  <c r="AX9" i="6"/>
  <c r="Y10" i="6"/>
  <c r="BB25" i="5"/>
  <c r="BB12" i="6" s="1"/>
  <c r="BB13" i="6" s="1"/>
  <c r="F25" i="5"/>
  <c r="F12" i="6" s="1"/>
  <c r="F13" i="6" s="1"/>
  <c r="AF13" i="7"/>
  <c r="AF14" i="7" s="1"/>
  <c r="BF25" i="5"/>
  <c r="BF12" i="6" s="1"/>
  <c r="BF13" i="6" s="1"/>
  <c r="Y13" i="7"/>
  <c r="Y14" i="7" s="1"/>
  <c r="AK13" i="7"/>
  <c r="AM25" i="5"/>
  <c r="AM12" i="6" s="1"/>
  <c r="AM13" i="6" s="1"/>
  <c r="AS13" i="7"/>
  <c r="AS14" i="7" s="1"/>
  <c r="BC13" i="7"/>
  <c r="BC14" i="7" s="1"/>
  <c r="T14" i="7"/>
  <c r="V13" i="7"/>
  <c r="V14" i="7" s="1"/>
  <c r="AP13" i="7"/>
  <c r="AP14" i="7" s="1"/>
  <c r="BH13" i="7"/>
  <c r="BH14" i="7" s="1"/>
  <c r="AH13" i="7"/>
  <c r="AH14" i="7" s="1"/>
  <c r="P13" i="7"/>
  <c r="P14" i="7" s="1"/>
  <c r="I13" i="7"/>
  <c r="I14" i="7" s="1"/>
  <c r="BG13" i="7"/>
  <c r="BG14" i="7" s="1"/>
  <c r="AM16" i="6" l="1"/>
  <c r="AM14" i="6"/>
  <c r="AB16" i="6"/>
  <c r="AB14" i="6"/>
  <c r="BF16" i="6"/>
  <c r="BF14" i="6"/>
  <c r="C16" i="6"/>
  <c r="C18" i="6" s="1"/>
  <c r="C14" i="6"/>
  <c r="BB16" i="6"/>
  <c r="BB14" i="6"/>
  <c r="F16" i="6"/>
  <c r="F14" i="6"/>
  <c r="D16" i="6"/>
  <c r="D18" i="6" s="1"/>
  <c r="D14" i="6"/>
  <c r="AS13" i="6"/>
  <c r="AS11" i="6"/>
  <c r="Y13" i="6"/>
  <c r="Y11" i="6"/>
  <c r="AL13" i="4"/>
  <c r="AL14" i="4"/>
  <c r="Z13" i="4"/>
  <c r="Z14" i="4" s="1"/>
  <c r="AI14" i="7"/>
  <c r="AI16" i="6"/>
  <c r="AI14" i="6"/>
  <c r="M13" i="6"/>
  <c r="M11" i="6"/>
  <c r="AR16" i="6"/>
  <c r="AR14" i="6"/>
  <c r="BG13" i="6"/>
  <c r="BG11" i="6"/>
  <c r="AO13" i="6"/>
  <c r="AO11" i="6"/>
  <c r="K16" i="6"/>
  <c r="K14" i="6"/>
  <c r="U13" i="6"/>
  <c r="U11" i="6"/>
  <c r="AZ13" i="6"/>
  <c r="AZ11" i="6"/>
  <c r="AU13" i="6"/>
  <c r="AU11" i="6"/>
  <c r="AC14" i="6"/>
  <c r="AC16" i="6"/>
  <c r="I13" i="6"/>
  <c r="I11" i="6"/>
  <c r="AK13" i="6"/>
  <c r="AK11" i="6"/>
  <c r="BE16" i="6"/>
  <c r="BE14" i="6"/>
  <c r="AN13" i="6"/>
  <c r="AN11" i="6"/>
  <c r="X16" i="6"/>
  <c r="X14" i="6"/>
  <c r="P13" i="6"/>
  <c r="P11" i="6"/>
  <c r="AG14" i="7"/>
  <c r="B13" i="4"/>
  <c r="B14" i="4" s="1"/>
  <c r="W14" i="7"/>
  <c r="W13" i="6"/>
  <c r="W11" i="6"/>
  <c r="AD13" i="6"/>
  <c r="AD11" i="6"/>
  <c r="AE13" i="6"/>
  <c r="AE11" i="6"/>
  <c r="AX13" i="4"/>
  <c r="AX14" i="4"/>
  <c r="BI16" i="6"/>
  <c r="BI14" i="6"/>
  <c r="BC11" i="6"/>
  <c r="BC13" i="6"/>
  <c r="AY16" i="6"/>
  <c r="AY14" i="6"/>
  <c r="AJ13" i="6"/>
  <c r="AJ11" i="6"/>
  <c r="BI14" i="7"/>
  <c r="S14" i="6"/>
  <c r="S16" i="6"/>
  <c r="AT13" i="6"/>
  <c r="AT11" i="6"/>
  <c r="G11" i="6"/>
  <c r="G13" i="6"/>
  <c r="BH13" i="6"/>
  <c r="BH11" i="6"/>
  <c r="AK14" i="7"/>
  <c r="AF16" i="6"/>
  <c r="AF14" i="6"/>
  <c r="AP13" i="6"/>
  <c r="AP11" i="6"/>
  <c r="AG13" i="6"/>
  <c r="AG11" i="6"/>
  <c r="BD13" i="6"/>
  <c r="BD11" i="6"/>
  <c r="AW16" i="6"/>
  <c r="AW14" i="6"/>
  <c r="AV16" i="6"/>
  <c r="AV14" i="6"/>
  <c r="AH13" i="6"/>
  <c r="AH11" i="6"/>
  <c r="V13" i="6"/>
  <c r="V11" i="6"/>
  <c r="N13" i="4"/>
  <c r="N14" i="4"/>
  <c r="E32" i="5"/>
  <c r="E28" i="5" s="1"/>
  <c r="E17" i="6" s="1"/>
  <c r="E33" i="5"/>
  <c r="E18" i="7" s="1"/>
  <c r="J16" i="6"/>
  <c r="J14" i="6"/>
  <c r="BD14" i="7"/>
  <c r="AQ16" i="6"/>
  <c r="AQ14" i="6"/>
  <c r="L13" i="6"/>
  <c r="L11" i="6"/>
  <c r="BB14" i="7"/>
  <c r="E16" i="6"/>
  <c r="E14" i="6"/>
  <c r="O16" i="6"/>
  <c r="O14" i="6"/>
  <c r="T16" i="6"/>
  <c r="T14" i="6"/>
  <c r="R14" i="7"/>
  <c r="BA16" i="6"/>
  <c r="BA14" i="6"/>
  <c r="Q11" i="6"/>
  <c r="Q13" i="6"/>
  <c r="AQ14" i="7"/>
  <c r="H16" i="6"/>
  <c r="H14" i="6"/>
  <c r="H14" i="7"/>
  <c r="R11" i="6"/>
  <c r="R13" i="6"/>
  <c r="AA16" i="6"/>
  <c r="AA14" i="6"/>
  <c r="E9" i="8" l="1"/>
  <c r="Z10" i="7"/>
  <c r="Z13" i="7" s="1"/>
  <c r="Z8" i="6"/>
  <c r="Z10" i="6" s="1"/>
  <c r="Z20" i="5"/>
  <c r="Z21" i="5"/>
  <c r="C9" i="8"/>
  <c r="B10" i="7"/>
  <c r="B13" i="7" s="1"/>
  <c r="B8" i="6"/>
  <c r="B10" i="6" s="1"/>
  <c r="B21" i="5"/>
  <c r="B20" i="5"/>
  <c r="B25" i="5" s="1"/>
  <c r="BH16" i="6"/>
  <c r="BH14" i="6"/>
  <c r="U16" i="6"/>
  <c r="U14" i="6"/>
  <c r="F9" i="8"/>
  <c r="AL10" i="7"/>
  <c r="AL13" i="7" s="1"/>
  <c r="AL8" i="6"/>
  <c r="AL10" i="6" s="1"/>
  <c r="AL21" i="5"/>
  <c r="AL20" i="5"/>
  <c r="AL25" i="5" s="1"/>
  <c r="AK16" i="6"/>
  <c r="AK14" i="6"/>
  <c r="BD16" i="6"/>
  <c r="BD14" i="6"/>
  <c r="I16" i="6"/>
  <c r="I14" i="6"/>
  <c r="E18" i="6"/>
  <c r="C19" i="6"/>
  <c r="C20" i="6" s="1"/>
  <c r="R14" i="6"/>
  <c r="R16" i="6"/>
  <c r="AG16" i="6"/>
  <c r="AG14" i="6"/>
  <c r="Q14" i="6"/>
  <c r="Q16" i="6"/>
  <c r="BG16" i="6"/>
  <c r="BG14" i="6"/>
  <c r="D9" i="8"/>
  <c r="N10" i="7"/>
  <c r="N13" i="7" s="1"/>
  <c r="N8" i="6"/>
  <c r="N10" i="6" s="1"/>
  <c r="N21" i="5"/>
  <c r="N20" i="5"/>
  <c r="AP16" i="6"/>
  <c r="AP14" i="6"/>
  <c r="AU16" i="6"/>
  <c r="AU14" i="6"/>
  <c r="Y16" i="6"/>
  <c r="Y14" i="6"/>
  <c r="V16" i="6"/>
  <c r="V14" i="6"/>
  <c r="G16" i="6"/>
  <c r="G14" i="6"/>
  <c r="G9" i="8"/>
  <c r="AX10" i="7"/>
  <c r="AX13" i="7" s="1"/>
  <c r="AX8" i="6"/>
  <c r="AX10" i="6" s="1"/>
  <c r="AX21" i="5"/>
  <c r="AX20" i="5"/>
  <c r="AX25" i="5" s="1"/>
  <c r="AO16" i="6"/>
  <c r="AO14" i="6"/>
  <c r="L16" i="6"/>
  <c r="L14" i="6"/>
  <c r="AE14" i="6"/>
  <c r="AE16" i="6"/>
  <c r="AH16" i="6"/>
  <c r="AH14" i="6"/>
  <c r="AJ16" i="6"/>
  <c r="AJ14" i="6"/>
  <c r="AD14" i="6"/>
  <c r="AD16" i="6"/>
  <c r="AN16" i="6"/>
  <c r="AN14" i="6"/>
  <c r="AZ16" i="6"/>
  <c r="AZ14" i="6"/>
  <c r="AS16" i="6"/>
  <c r="AS14" i="6"/>
  <c r="BC16" i="6"/>
  <c r="BC14" i="6"/>
  <c r="E34" i="5"/>
  <c r="F31" i="5" s="1"/>
  <c r="AT16" i="6"/>
  <c r="AT14" i="6"/>
  <c r="P16" i="6"/>
  <c r="P14" i="6"/>
  <c r="M16" i="6"/>
  <c r="M14" i="6"/>
  <c r="W16" i="6"/>
  <c r="W14" i="6"/>
  <c r="D19" i="6"/>
  <c r="D20" i="6" s="1"/>
  <c r="C8" i="7" l="1"/>
  <c r="C21" i="6"/>
  <c r="D8" i="7"/>
  <c r="D15" i="7" s="1"/>
  <c r="D21" i="7" s="1"/>
  <c r="D21" i="6"/>
  <c r="C13" i="8"/>
  <c r="B12" i="6"/>
  <c r="B13" i="6" s="1"/>
  <c r="D11" i="8"/>
  <c r="D12" i="8" s="1"/>
  <c r="N11" i="6"/>
  <c r="AL14" i="7"/>
  <c r="AM14" i="7"/>
  <c r="C11" i="8"/>
  <c r="B11" i="6"/>
  <c r="E20" i="6"/>
  <c r="E19" i="6"/>
  <c r="B14" i="7"/>
  <c r="C14" i="7"/>
  <c r="D11" i="9"/>
  <c r="D12" i="9" s="1"/>
  <c r="H9" i="8"/>
  <c r="F11" i="8"/>
  <c r="F12" i="8" s="1"/>
  <c r="AL11" i="6"/>
  <c r="G11" i="8"/>
  <c r="G12" i="8" s="1"/>
  <c r="AX11" i="6"/>
  <c r="Z25" i="5"/>
  <c r="N14" i="7"/>
  <c r="O14" i="7"/>
  <c r="AX14" i="7"/>
  <c r="AY14" i="7"/>
  <c r="E11" i="8"/>
  <c r="E12" i="8" s="1"/>
  <c r="Z11" i="6"/>
  <c r="F13" i="8"/>
  <c r="AL12" i="6"/>
  <c r="AL13" i="6" s="1"/>
  <c r="F32" i="5"/>
  <c r="F28" i="5" s="1"/>
  <c r="F17" i="6" s="1"/>
  <c r="F18" i="6" s="1"/>
  <c r="F33" i="5"/>
  <c r="F18" i="7" s="1"/>
  <c r="F17" i="10"/>
  <c r="Z14" i="7"/>
  <c r="AA14" i="7"/>
  <c r="G13" i="8"/>
  <c r="AX12" i="6"/>
  <c r="AX13" i="6" s="1"/>
  <c r="N25" i="5"/>
  <c r="F14" i="8" l="1"/>
  <c r="F15" i="8" s="1"/>
  <c r="AL16" i="6"/>
  <c r="AL14" i="6"/>
  <c r="C14" i="8"/>
  <c r="B16" i="6"/>
  <c r="B14" i="6"/>
  <c r="G14" i="8"/>
  <c r="G15" i="8" s="1"/>
  <c r="AX16" i="6"/>
  <c r="AX14" i="6"/>
  <c r="D13" i="8"/>
  <c r="H13" i="8" s="1"/>
  <c r="N12" i="6"/>
  <c r="N13" i="6" s="1"/>
  <c r="F20" i="6"/>
  <c r="F19" i="6"/>
  <c r="E8" i="7"/>
  <c r="E15" i="7" s="1"/>
  <c r="E21" i="7" s="1"/>
  <c r="E21" i="6"/>
  <c r="E13" i="8"/>
  <c r="Z12" i="6"/>
  <c r="Z13" i="6" s="1"/>
  <c r="F34" i="5"/>
  <c r="G31" i="5" s="1"/>
  <c r="B5" i="10"/>
  <c r="D15" i="1"/>
  <c r="C29" i="9"/>
  <c r="D12" i="1"/>
  <c r="D19" i="9"/>
  <c r="C12" i="8"/>
  <c r="H11" i="8"/>
  <c r="H12" i="8" s="1"/>
  <c r="C15" i="7"/>
  <c r="C21" i="7" s="1"/>
  <c r="D14" i="8" l="1"/>
  <c r="N16" i="6"/>
  <c r="N14" i="6"/>
  <c r="G17" i="8"/>
  <c r="F8" i="7"/>
  <c r="F15" i="7" s="1"/>
  <c r="F21" i="7" s="1"/>
  <c r="F21" i="6"/>
  <c r="E14" i="8"/>
  <c r="E15" i="8" s="1"/>
  <c r="Z16" i="6"/>
  <c r="Z14" i="6"/>
  <c r="C15" i="8"/>
  <c r="G32" i="5"/>
  <c r="G28" i="5" s="1"/>
  <c r="G17" i="6" s="1"/>
  <c r="G18" i="6" s="1"/>
  <c r="G33" i="5"/>
  <c r="G18" i="7" s="1"/>
  <c r="C17" i="8"/>
  <c r="B18" i="6"/>
  <c r="F17" i="8"/>
  <c r="E17" i="8" l="1"/>
  <c r="B19" i="6"/>
  <c r="G34" i="5"/>
  <c r="H31" i="5" s="1"/>
  <c r="D17" i="8"/>
  <c r="H17" i="8"/>
  <c r="G19" i="6"/>
  <c r="G20" i="6" s="1"/>
  <c r="H14" i="8"/>
  <c r="H15" i="8" s="1"/>
  <c r="B8" i="10" s="1"/>
  <c r="D15" i="8"/>
  <c r="D39" i="9"/>
  <c r="D40" i="9" s="1"/>
  <c r="D42" i="9" s="1"/>
  <c r="D43" i="9" s="1"/>
  <c r="D44" i="9" s="1"/>
  <c r="G8" i="7" l="1"/>
  <c r="G15" i="7" s="1"/>
  <c r="G21" i="7" s="1"/>
  <c r="G21" i="6"/>
  <c r="H32" i="5"/>
  <c r="H28" i="5" s="1"/>
  <c r="H17" i="6" s="1"/>
  <c r="H18" i="6" s="1"/>
  <c r="H33" i="5"/>
  <c r="H18" i="7" s="1"/>
  <c r="B20" i="6"/>
  <c r="D45" i="9"/>
  <c r="F20" i="10" s="1"/>
  <c r="E14" i="10"/>
  <c r="D19" i="1"/>
  <c r="H34" i="5" l="1"/>
  <c r="I31" i="5" s="1"/>
  <c r="B8" i="7"/>
  <c r="B15" i="7" s="1"/>
  <c r="B22" i="6"/>
  <c r="C22" i="6" s="1"/>
  <c r="D22" i="6" s="1"/>
  <c r="E22" i="6" s="1"/>
  <c r="F22" i="6" s="1"/>
  <c r="G22" i="6" s="1"/>
  <c r="B21" i="6"/>
  <c r="H19" i="6"/>
  <c r="H20" i="6" l="1"/>
  <c r="H22" i="6"/>
  <c r="B21" i="7"/>
  <c r="I32" i="5"/>
  <c r="I28" i="5" s="1"/>
  <c r="I17" i="6" s="1"/>
  <c r="I18" i="6" s="1"/>
  <c r="I33" i="5"/>
  <c r="I18" i="7" s="1"/>
  <c r="I34" i="5" l="1"/>
  <c r="J31" i="5" s="1"/>
  <c r="B24" i="7"/>
  <c r="C23" i="7" s="1"/>
  <c r="C24" i="7" s="1"/>
  <c r="D23" i="7" s="1"/>
  <c r="D24" i="7" s="1"/>
  <c r="E23" i="7" s="1"/>
  <c r="E24" i="7" s="1"/>
  <c r="F23" i="7" s="1"/>
  <c r="F24" i="7" s="1"/>
  <c r="G23" i="7" s="1"/>
  <c r="G24" i="7" s="1"/>
  <c r="H23" i="7" s="1"/>
  <c r="H8" i="7"/>
  <c r="H15" i="7" s="1"/>
  <c r="H21" i="6"/>
  <c r="I19" i="6"/>
  <c r="I20" i="6" s="1"/>
  <c r="I8" i="7" l="1"/>
  <c r="I15" i="7" s="1"/>
  <c r="I21" i="7" s="1"/>
  <c r="I21" i="6"/>
  <c r="I22" i="6"/>
  <c r="H21" i="7"/>
  <c r="H24" i="7"/>
  <c r="I23" i="7" s="1"/>
  <c r="I24" i="7" s="1"/>
  <c r="J23" i="7" s="1"/>
  <c r="J33" i="5"/>
  <c r="J18" i="7" s="1"/>
  <c r="J32" i="5"/>
  <c r="J28" i="5" s="1"/>
  <c r="J17" i="6" s="1"/>
  <c r="J18" i="6" s="1"/>
  <c r="J34" i="5" l="1"/>
  <c r="K31" i="5" s="1"/>
  <c r="J19" i="6"/>
  <c r="J20" i="6" s="1"/>
  <c r="J8" i="7" l="1"/>
  <c r="J15" i="7" s="1"/>
  <c r="J21" i="6"/>
  <c r="J22" i="6"/>
  <c r="K32" i="5"/>
  <c r="K28" i="5" s="1"/>
  <c r="K17" i="6" s="1"/>
  <c r="K18" i="6" s="1"/>
  <c r="K33" i="5"/>
  <c r="K18" i="7" s="1"/>
  <c r="K34" i="5" l="1"/>
  <c r="L31" i="5" s="1"/>
  <c r="K19" i="6"/>
  <c r="K20" i="6" s="1"/>
  <c r="J21" i="7"/>
  <c r="K8" i="7" l="1"/>
  <c r="K15" i="7" s="1"/>
  <c r="K21" i="6"/>
  <c r="K22" i="6"/>
  <c r="J24" i="7"/>
  <c r="K23" i="7" s="1"/>
  <c r="L34" i="5"/>
  <c r="M31" i="5" s="1"/>
  <c r="L32" i="5"/>
  <c r="L28" i="5" s="1"/>
  <c r="L17" i="6" s="1"/>
  <c r="L18" i="6" s="1"/>
  <c r="L33" i="5"/>
  <c r="L18" i="7" s="1"/>
  <c r="L19" i="6" l="1"/>
  <c r="L20" i="6" s="1"/>
  <c r="M33" i="5"/>
  <c r="M18" i="7" s="1"/>
  <c r="M32" i="5"/>
  <c r="M28" i="5" s="1"/>
  <c r="M17" i="6" s="1"/>
  <c r="K21" i="7"/>
  <c r="L8" i="7" l="1"/>
  <c r="L15" i="7" s="1"/>
  <c r="L21" i="6"/>
  <c r="L22" i="6"/>
  <c r="C18" i="8"/>
  <c r="M18" i="6"/>
  <c r="M34" i="5"/>
  <c r="N31" i="5" s="1"/>
  <c r="K24" i="7"/>
  <c r="L23" i="7" s="1"/>
  <c r="N33" i="5" l="1"/>
  <c r="N18" i="7" s="1"/>
  <c r="N34" i="5"/>
  <c r="O31" i="5" s="1"/>
  <c r="N32" i="5"/>
  <c r="N28" i="5" s="1"/>
  <c r="N17" i="6" s="1"/>
  <c r="M20" i="6"/>
  <c r="M19" i="6"/>
  <c r="C20" i="8" s="1"/>
  <c r="C19" i="8"/>
  <c r="L21" i="7"/>
  <c r="L24" i="7" s="1"/>
  <c r="M23" i="7" s="1"/>
  <c r="O33" i="5" l="1"/>
  <c r="O18" i="7" s="1"/>
  <c r="O32" i="5"/>
  <c r="O28" i="5" s="1"/>
  <c r="O17" i="6" s="1"/>
  <c r="O18" i="6" s="1"/>
  <c r="M8" i="7"/>
  <c r="M15" i="7" s="1"/>
  <c r="M21" i="6"/>
  <c r="C21" i="8"/>
  <c r="M22" i="6"/>
  <c r="N18" i="6"/>
  <c r="C23" i="8" l="1"/>
  <c r="D29" i="9"/>
  <c r="C22" i="8"/>
  <c r="M21" i="7"/>
  <c r="C24" i="8"/>
  <c r="N19" i="6"/>
  <c r="O19" i="6"/>
  <c r="O20" i="6" s="1"/>
  <c r="O34" i="5"/>
  <c r="P31" i="5" s="1"/>
  <c r="O8" i="7" l="1"/>
  <c r="O15" i="7" s="1"/>
  <c r="O21" i="7" s="1"/>
  <c r="O21" i="6"/>
  <c r="N20" i="6"/>
  <c r="C25" i="8"/>
  <c r="M24" i="7"/>
  <c r="P33" i="5"/>
  <c r="P18" i="7" s="1"/>
  <c r="P32" i="5"/>
  <c r="P28" i="5" s="1"/>
  <c r="P17" i="6" s="1"/>
  <c r="P34" i="5" l="1"/>
  <c r="Q31" i="5" s="1"/>
  <c r="P18" i="6"/>
  <c r="N8" i="7"/>
  <c r="N15" i="7" s="1"/>
  <c r="N21" i="6"/>
  <c r="N22" i="6"/>
  <c r="O22" i="6" s="1"/>
  <c r="N23" i="7"/>
  <c r="C26" i="8"/>
  <c r="P19" i="6" l="1"/>
  <c r="P20" i="6" s="1"/>
  <c r="N21" i="7"/>
  <c r="N24" i="7" s="1"/>
  <c r="O23" i="7" s="1"/>
  <c r="O24" i="7" s="1"/>
  <c r="P23" i="7" s="1"/>
  <c r="Q33" i="5"/>
  <c r="Q18" i="7" s="1"/>
  <c r="Q32" i="5"/>
  <c r="Q28" i="5" s="1"/>
  <c r="Q17" i="6" s="1"/>
  <c r="P8" i="7" l="1"/>
  <c r="P15" i="7" s="1"/>
  <c r="P21" i="6"/>
  <c r="P22" i="6"/>
  <c r="Q18" i="6"/>
  <c r="Q34" i="5"/>
  <c r="R31" i="5" s="1"/>
  <c r="Q19" i="6" l="1"/>
  <c r="Q20" i="6"/>
  <c r="R33" i="5"/>
  <c r="R18" i="7" s="1"/>
  <c r="R34" i="5"/>
  <c r="S31" i="5" s="1"/>
  <c r="R32" i="5"/>
  <c r="R28" i="5" s="1"/>
  <c r="R17" i="6" s="1"/>
  <c r="Q22" i="6"/>
  <c r="P21" i="7"/>
  <c r="S33" i="5" l="1"/>
  <c r="S18" i="7" s="1"/>
  <c r="S34" i="5"/>
  <c r="T31" i="5" s="1"/>
  <c r="S32" i="5"/>
  <c r="S28" i="5" s="1"/>
  <c r="S17" i="6" s="1"/>
  <c r="S18" i="6" s="1"/>
  <c r="P24" i="7"/>
  <c r="Q23" i="7" s="1"/>
  <c r="Q8" i="7"/>
  <c r="Q15" i="7" s="1"/>
  <c r="Q21" i="6"/>
  <c r="R18" i="6"/>
  <c r="Q21" i="7" l="1"/>
  <c r="S19" i="6"/>
  <c r="S20" i="6" s="1"/>
  <c r="Q24" i="7"/>
  <c r="R23" i="7" s="1"/>
  <c r="T32" i="5"/>
  <c r="T28" i="5" s="1"/>
  <c r="T17" i="6" s="1"/>
  <c r="T18" i="6" s="1"/>
  <c r="T33" i="5"/>
  <c r="T18" i="7" s="1"/>
  <c r="R19" i="6"/>
  <c r="R20" i="6"/>
  <c r="S8" i="7" l="1"/>
  <c r="S15" i="7" s="1"/>
  <c r="S21" i="7" s="1"/>
  <c r="S21" i="6"/>
  <c r="R8" i="7"/>
  <c r="R15" i="7" s="1"/>
  <c r="R21" i="6"/>
  <c r="R22" i="6"/>
  <c r="S22" i="6" s="1"/>
  <c r="T19" i="6"/>
  <c r="T20" i="6" s="1"/>
  <c r="T34" i="5"/>
  <c r="U31" i="5" s="1"/>
  <c r="T8" i="7" l="1"/>
  <c r="T15" i="7" s="1"/>
  <c r="T21" i="7" s="1"/>
  <c r="T21" i="6"/>
  <c r="U33" i="5"/>
  <c r="U18" i="7" s="1"/>
  <c r="U32" i="5"/>
  <c r="U28" i="5" s="1"/>
  <c r="U17" i="6" s="1"/>
  <c r="U18" i="6" s="1"/>
  <c r="R21" i="7"/>
  <c r="R24" i="7" s="1"/>
  <c r="S23" i="7" s="1"/>
  <c r="S24" i="7" s="1"/>
  <c r="T23" i="7" s="1"/>
  <c r="T24" i="7" s="1"/>
  <c r="U23" i="7" s="1"/>
  <c r="T22" i="6"/>
  <c r="U19" i="6" l="1"/>
  <c r="U20" i="6" s="1"/>
  <c r="U34" i="5"/>
  <c r="V31" i="5" s="1"/>
  <c r="U8" i="7" l="1"/>
  <c r="U15" i="7" s="1"/>
  <c r="U21" i="6"/>
  <c r="U22" i="6"/>
  <c r="V33" i="5"/>
  <c r="V18" i="7" s="1"/>
  <c r="V32" i="5"/>
  <c r="V28" i="5" s="1"/>
  <c r="V17" i="6" s="1"/>
  <c r="V18" i="6" s="1"/>
  <c r="V19" i="6" l="1"/>
  <c r="V20" i="6" s="1"/>
  <c r="V34" i="5"/>
  <c r="W31" i="5" s="1"/>
  <c r="U21" i="7"/>
  <c r="U24" i="7" s="1"/>
  <c r="V23" i="7" s="1"/>
  <c r="V8" i="7" l="1"/>
  <c r="V15" i="7" s="1"/>
  <c r="V21" i="7" s="1"/>
  <c r="V21" i="6"/>
  <c r="V22" i="6"/>
  <c r="V24" i="7"/>
  <c r="W23" i="7" s="1"/>
  <c r="W33" i="5"/>
  <c r="W18" i="7" s="1"/>
  <c r="W32" i="5"/>
  <c r="W28" i="5" s="1"/>
  <c r="W17" i="6" s="1"/>
  <c r="W18" i="6" s="1"/>
  <c r="W19" i="6" l="1"/>
  <c r="W20" i="6" s="1"/>
  <c r="W34" i="5"/>
  <c r="X31" i="5" s="1"/>
  <c r="W8" i="7" l="1"/>
  <c r="W15" i="7" s="1"/>
  <c r="W21" i="7" s="1"/>
  <c r="W24" i="7" s="1"/>
  <c r="X23" i="7" s="1"/>
  <c r="W21" i="6"/>
  <c r="W22" i="6"/>
  <c r="X33" i="5"/>
  <c r="X18" i="7" s="1"/>
  <c r="X32" i="5"/>
  <c r="X28" i="5" s="1"/>
  <c r="X17" i="6" s="1"/>
  <c r="X18" i="6" s="1"/>
  <c r="X19" i="6" l="1"/>
  <c r="X20" i="6" s="1"/>
  <c r="X34" i="5"/>
  <c r="Y31" i="5" s="1"/>
  <c r="X8" i="7" l="1"/>
  <c r="X15" i="7" s="1"/>
  <c r="X21" i="7" s="1"/>
  <c r="X24" i="7" s="1"/>
  <c r="Y23" i="7" s="1"/>
  <c r="X21" i="6"/>
  <c r="X22" i="6"/>
  <c r="Y33" i="5"/>
  <c r="Y18" i="7" s="1"/>
  <c r="Y32" i="5"/>
  <c r="Y28" i="5" s="1"/>
  <c r="Y17" i="6" s="1"/>
  <c r="Y34" i="5" l="1"/>
  <c r="Z31" i="5" s="1"/>
  <c r="Y18" i="6"/>
  <c r="D18" i="8"/>
  <c r="Y19" i="6" l="1"/>
  <c r="D20" i="8" s="1"/>
  <c r="D19" i="8"/>
  <c r="Z32" i="5"/>
  <c r="Z28" i="5" s="1"/>
  <c r="Z17" i="6" s="1"/>
  <c r="Z33" i="5"/>
  <c r="Z18" i="7" s="1"/>
  <c r="Z34" i="5" l="1"/>
  <c r="AA31" i="5" s="1"/>
  <c r="Z18" i="6"/>
  <c r="Y20" i="6"/>
  <c r="Y8" i="7" l="1"/>
  <c r="Y15" i="7" s="1"/>
  <c r="Y21" i="6"/>
  <c r="D21" i="8"/>
  <c r="Y22" i="6"/>
  <c r="Z19" i="6"/>
  <c r="Z20" i="6" s="1"/>
  <c r="AA33" i="5"/>
  <c r="AA18" i="7" s="1"/>
  <c r="AA32" i="5"/>
  <c r="AA28" i="5" s="1"/>
  <c r="AA17" i="6" s="1"/>
  <c r="Z8" i="7" l="1"/>
  <c r="Z15" i="7" s="1"/>
  <c r="Z21" i="6"/>
  <c r="AA18" i="6"/>
  <c r="AA34" i="5"/>
  <c r="AB31" i="5" s="1"/>
  <c r="Z22" i="6"/>
  <c r="E29" i="9"/>
  <c r="D22" i="8"/>
  <c r="D23" i="8"/>
  <c r="Y21" i="7"/>
  <c r="D24" i="8"/>
  <c r="AB33" i="5" l="1"/>
  <c r="AB18" i="7" s="1"/>
  <c r="AB32" i="5"/>
  <c r="AB28" i="5" s="1"/>
  <c r="AB17" i="6" s="1"/>
  <c r="Z21" i="7"/>
  <c r="AA20" i="6"/>
  <c r="AA19" i="6"/>
  <c r="D25" i="8"/>
  <c r="Y24" i="7"/>
  <c r="AB18" i="6" l="1"/>
  <c r="AB34" i="5"/>
  <c r="AC31" i="5" s="1"/>
  <c r="AA8" i="7"/>
  <c r="AA15" i="7" s="1"/>
  <c r="AA21" i="6"/>
  <c r="AA22" i="6"/>
  <c r="Z23" i="7"/>
  <c r="Z24" i="7" s="1"/>
  <c r="AA23" i="7" s="1"/>
  <c r="D26" i="8"/>
  <c r="AB19" i="6" l="1"/>
  <c r="AC32" i="5"/>
  <c r="AC28" i="5" s="1"/>
  <c r="AC17" i="6" s="1"/>
  <c r="AC33" i="5"/>
  <c r="AC18" i="7" s="1"/>
  <c r="AC34" i="5"/>
  <c r="AD31" i="5" s="1"/>
  <c r="AA21" i="7"/>
  <c r="AA24" i="7" s="1"/>
  <c r="AB23" i="7" s="1"/>
  <c r="AD32" i="5" l="1"/>
  <c r="AD28" i="5" s="1"/>
  <c r="AD17" i="6" s="1"/>
  <c r="AD18" i="6" s="1"/>
  <c r="AD33" i="5"/>
  <c r="AD18" i="7" s="1"/>
  <c r="AC18" i="6"/>
  <c r="AB20" i="6"/>
  <c r="AB8" i="7" l="1"/>
  <c r="AB15" i="7" s="1"/>
  <c r="AB21" i="6"/>
  <c r="AB22" i="6"/>
  <c r="AC19" i="6"/>
  <c r="AC20" i="6" s="1"/>
  <c r="AD34" i="5"/>
  <c r="AE31" i="5" s="1"/>
  <c r="AD19" i="6"/>
  <c r="AD20" i="6" s="1"/>
  <c r="AD8" i="7" l="1"/>
  <c r="AD15" i="7" s="1"/>
  <c r="AD21" i="7" s="1"/>
  <c r="AD21" i="6"/>
  <c r="AC8" i="7"/>
  <c r="AC15" i="7" s="1"/>
  <c r="AC21" i="7" s="1"/>
  <c r="AC21" i="6"/>
  <c r="AE32" i="5"/>
  <c r="AE28" i="5" s="1"/>
  <c r="AE17" i="6" s="1"/>
  <c r="AE33" i="5"/>
  <c r="AE18" i="7" s="1"/>
  <c r="AC22" i="6"/>
  <c r="AD22" i="6" s="1"/>
  <c r="AB21" i="7"/>
  <c r="AB24" i="7" l="1"/>
  <c r="AC23" i="7" s="1"/>
  <c r="AC24" i="7" s="1"/>
  <c r="AD23" i="7" s="1"/>
  <c r="AD24" i="7" s="1"/>
  <c r="AE23" i="7" s="1"/>
  <c r="AE34" i="5"/>
  <c r="AF31" i="5" s="1"/>
  <c r="AE18" i="6"/>
  <c r="AE19" i="6" l="1"/>
  <c r="AE20" i="6" s="1"/>
  <c r="AF32" i="5"/>
  <c r="AF28" i="5" s="1"/>
  <c r="AF17" i="6" s="1"/>
  <c r="AF18" i="6" s="1"/>
  <c r="AF33" i="5"/>
  <c r="AF18" i="7" s="1"/>
  <c r="AE8" i="7" l="1"/>
  <c r="AE15" i="7" s="1"/>
  <c r="AE21" i="6"/>
  <c r="AE22" i="6"/>
  <c r="AF19" i="6"/>
  <c r="AF20" i="6" s="1"/>
  <c r="AF34" i="5"/>
  <c r="AG31" i="5" s="1"/>
  <c r="AF8" i="7" l="1"/>
  <c r="AF15" i="7" s="1"/>
  <c r="AF21" i="7" s="1"/>
  <c r="AF21" i="6"/>
  <c r="AG33" i="5"/>
  <c r="AG18" i="7" s="1"/>
  <c r="AG32" i="5"/>
  <c r="AG28" i="5" s="1"/>
  <c r="AG17" i="6" s="1"/>
  <c r="AG18" i="6" s="1"/>
  <c r="AF22" i="6"/>
  <c r="AE21" i="7"/>
  <c r="AE24" i="7" s="1"/>
  <c r="AF23" i="7" s="1"/>
  <c r="AF24" i="7" s="1"/>
  <c r="AG23" i="7" s="1"/>
  <c r="AG19" i="6" l="1"/>
  <c r="AG20" i="6" s="1"/>
  <c r="AG34" i="5"/>
  <c r="AH31" i="5" s="1"/>
  <c r="AG8" i="7" l="1"/>
  <c r="AG15" i="7" s="1"/>
  <c r="AG21" i="6"/>
  <c r="AG22" i="6"/>
  <c r="AH33" i="5"/>
  <c r="AH18" i="7" s="1"/>
  <c r="AH32" i="5"/>
  <c r="AH28" i="5" s="1"/>
  <c r="AH17" i="6" s="1"/>
  <c r="AH18" i="6" s="1"/>
  <c r="AH19" i="6" l="1"/>
  <c r="AH20" i="6" s="1"/>
  <c r="AH34" i="5"/>
  <c r="AI31" i="5" s="1"/>
  <c r="AG21" i="7"/>
  <c r="AG24" i="7" s="1"/>
  <c r="AH23" i="7" s="1"/>
  <c r="AH8" i="7" l="1"/>
  <c r="AH15" i="7" s="1"/>
  <c r="AH21" i="7" s="1"/>
  <c r="AH21" i="6"/>
  <c r="AH22" i="6"/>
  <c r="AH24" i="7"/>
  <c r="AI23" i="7" s="1"/>
  <c r="AI34" i="5"/>
  <c r="AJ31" i="5" s="1"/>
  <c r="AI33" i="5"/>
  <c r="AI18" i="7" s="1"/>
  <c r="AI32" i="5"/>
  <c r="AI28" i="5" s="1"/>
  <c r="AI17" i="6" s="1"/>
  <c r="AI18" i="6" s="1"/>
  <c r="AJ33" i="5" l="1"/>
  <c r="AJ18" i="7" s="1"/>
  <c r="AJ32" i="5"/>
  <c r="AJ28" i="5" s="1"/>
  <c r="AJ17" i="6" s="1"/>
  <c r="AJ18" i="6" s="1"/>
  <c r="AI20" i="6"/>
  <c r="AI19" i="6"/>
  <c r="AI22" i="6"/>
  <c r="AI8" i="7" l="1"/>
  <c r="AI15" i="7" s="1"/>
  <c r="AI21" i="7" s="1"/>
  <c r="AI24" i="7" s="1"/>
  <c r="AJ23" i="7" s="1"/>
  <c r="AI21" i="6"/>
  <c r="AJ19" i="6"/>
  <c r="AJ20" i="6" s="1"/>
  <c r="AJ34" i="5"/>
  <c r="AK31" i="5" s="1"/>
  <c r="AJ8" i="7" l="1"/>
  <c r="AJ15" i="7" s="1"/>
  <c r="AJ21" i="7" s="1"/>
  <c r="AJ21" i="6"/>
  <c r="AJ22" i="6"/>
  <c r="AK33" i="5"/>
  <c r="AK18" i="7" s="1"/>
  <c r="AK32" i="5"/>
  <c r="AK28" i="5" s="1"/>
  <c r="AK17" i="6" s="1"/>
  <c r="AJ24" i="7"/>
  <c r="AK23" i="7" s="1"/>
  <c r="AK18" i="6" l="1"/>
  <c r="E18" i="8"/>
  <c r="AK34" i="5"/>
  <c r="AL31" i="5" s="1"/>
  <c r="AL33" i="5" l="1"/>
  <c r="AL18" i="7" s="1"/>
  <c r="AL32" i="5"/>
  <c r="AL28" i="5" s="1"/>
  <c r="AL17" i="6" s="1"/>
  <c r="AK19" i="6"/>
  <c r="E20" i="8" s="1"/>
  <c r="E19" i="8"/>
  <c r="AL18" i="6" l="1"/>
  <c r="AL34" i="5"/>
  <c r="AM31" i="5" s="1"/>
  <c r="AK20" i="6"/>
  <c r="AK8" i="7" l="1"/>
  <c r="AK15" i="7" s="1"/>
  <c r="AK21" i="6"/>
  <c r="E21" i="8"/>
  <c r="AK22" i="6"/>
  <c r="AL19" i="6"/>
  <c r="AL20" i="6" s="1"/>
  <c r="AM33" i="5"/>
  <c r="AM18" i="7" s="1"/>
  <c r="AM32" i="5"/>
  <c r="AM28" i="5" s="1"/>
  <c r="AM17" i="6" s="1"/>
  <c r="AL8" i="7" l="1"/>
  <c r="AL15" i="7" s="1"/>
  <c r="AL21" i="6"/>
  <c r="AM18" i="6"/>
  <c r="AL22" i="6"/>
  <c r="AM34" i="5"/>
  <c r="AN31" i="5" s="1"/>
  <c r="F29" i="9"/>
  <c r="E22" i="8"/>
  <c r="E23" i="8"/>
  <c r="AK21" i="7"/>
  <c r="E24" i="8"/>
  <c r="AN33" i="5" l="1"/>
  <c r="AN18" i="7" s="1"/>
  <c r="AN32" i="5"/>
  <c r="AN28" i="5" s="1"/>
  <c r="AN17" i="6" s="1"/>
  <c r="AL21" i="7"/>
  <c r="AM20" i="6"/>
  <c r="AM19" i="6"/>
  <c r="E25" i="8"/>
  <c r="AK24" i="7"/>
  <c r="AN18" i="6" l="1"/>
  <c r="AM8" i="7"/>
  <c r="AM15" i="7" s="1"/>
  <c r="AM21" i="6"/>
  <c r="AM22" i="6"/>
  <c r="AL23" i="7"/>
  <c r="AL24" i="7" s="1"/>
  <c r="AM23" i="7" s="1"/>
  <c r="E26" i="8"/>
  <c r="AN34" i="5"/>
  <c r="AO31" i="5" s="1"/>
  <c r="AN19" i="6" l="1"/>
  <c r="AN20" i="6" s="1"/>
  <c r="AO33" i="5"/>
  <c r="AO18" i="7" s="1"/>
  <c r="AO32" i="5"/>
  <c r="AO28" i="5" s="1"/>
  <c r="AO17" i="6" s="1"/>
  <c r="AM21" i="7"/>
  <c r="AN8" i="7" l="1"/>
  <c r="AN15" i="7" s="1"/>
  <c r="AN21" i="6"/>
  <c r="AN22" i="6"/>
  <c r="AO18" i="6"/>
  <c r="AO34" i="5"/>
  <c r="AP31" i="5" s="1"/>
  <c r="AM24" i="7"/>
  <c r="AN23" i="7" s="1"/>
  <c r="AP33" i="5" l="1"/>
  <c r="AP18" i="7" s="1"/>
  <c r="AP34" i="5"/>
  <c r="AQ31" i="5" s="1"/>
  <c r="AP32" i="5"/>
  <c r="AP28" i="5" s="1"/>
  <c r="AP17" i="6" s="1"/>
  <c r="AO19" i="6"/>
  <c r="AO20" i="6" s="1"/>
  <c r="AN21" i="7"/>
  <c r="AO8" i="7" l="1"/>
  <c r="AO15" i="7" s="1"/>
  <c r="AO21" i="6"/>
  <c r="AO22" i="6"/>
  <c r="AN24" i="7"/>
  <c r="AO23" i="7" s="1"/>
  <c r="AP18" i="6"/>
  <c r="AQ33" i="5"/>
  <c r="AQ18" i="7" s="1"/>
  <c r="AQ34" i="5"/>
  <c r="AR31" i="5" s="1"/>
  <c r="AQ32" i="5"/>
  <c r="AQ28" i="5" s="1"/>
  <c r="AQ17" i="6" s="1"/>
  <c r="AQ18" i="6" s="1"/>
  <c r="AR33" i="5" l="1"/>
  <c r="AR18" i="7" s="1"/>
  <c r="AR32" i="5"/>
  <c r="AR28" i="5" s="1"/>
  <c r="AR17" i="6" s="1"/>
  <c r="AR18" i="6" s="1"/>
  <c r="AQ20" i="6"/>
  <c r="AQ19" i="6"/>
  <c r="AP20" i="6"/>
  <c r="AP22" i="6" s="1"/>
  <c r="AQ22" i="6" s="1"/>
  <c r="AP19" i="6"/>
  <c r="AO21" i="7"/>
  <c r="AO24" i="7" s="1"/>
  <c r="AP23" i="7" s="1"/>
  <c r="AQ8" i="7" l="1"/>
  <c r="AQ15" i="7" s="1"/>
  <c r="AQ21" i="7" s="1"/>
  <c r="AQ21" i="6"/>
  <c r="AP8" i="7"/>
  <c r="AP15" i="7" s="1"/>
  <c r="AP21" i="6"/>
  <c r="AR19" i="6"/>
  <c r="AR20" i="6" s="1"/>
  <c r="AR34" i="5"/>
  <c r="AS31" i="5" s="1"/>
  <c r="AR8" i="7" l="1"/>
  <c r="AR15" i="7" s="1"/>
  <c r="AR21" i="7" s="1"/>
  <c r="AR21" i="6"/>
  <c r="AR22" i="6"/>
  <c r="AS33" i="5"/>
  <c r="AS18" i="7" s="1"/>
  <c r="AS32" i="5"/>
  <c r="AS28" i="5" s="1"/>
  <c r="AS17" i="6" s="1"/>
  <c r="AS18" i="6" s="1"/>
  <c r="AP21" i="7"/>
  <c r="AP24" i="7" s="1"/>
  <c r="AQ23" i="7" s="1"/>
  <c r="AQ24" i="7" s="1"/>
  <c r="AR23" i="7" s="1"/>
  <c r="AR24" i="7" s="1"/>
  <c r="AS23" i="7" s="1"/>
  <c r="AS34" i="5" l="1"/>
  <c r="AT31" i="5" s="1"/>
  <c r="AS19" i="6"/>
  <c r="AS20" i="6" s="1"/>
  <c r="AS8" i="7" l="1"/>
  <c r="AS15" i="7" s="1"/>
  <c r="AS21" i="7" s="1"/>
  <c r="AS24" i="7" s="1"/>
  <c r="AT23" i="7" s="1"/>
  <c r="AS21" i="6"/>
  <c r="AS22" i="6"/>
  <c r="AT33" i="5"/>
  <c r="AT18" i="7" s="1"/>
  <c r="AT32" i="5"/>
  <c r="AT28" i="5" s="1"/>
  <c r="AT17" i="6" s="1"/>
  <c r="AT18" i="6" s="1"/>
  <c r="AT34" i="5" l="1"/>
  <c r="AU31" i="5" s="1"/>
  <c r="AT19" i="6"/>
  <c r="AT20" i="6" s="1"/>
  <c r="AT8" i="7" l="1"/>
  <c r="AT15" i="7" s="1"/>
  <c r="AT21" i="7" s="1"/>
  <c r="AT24" i="7" s="1"/>
  <c r="AU23" i="7" s="1"/>
  <c r="AT21" i="6"/>
  <c r="AT22" i="6"/>
  <c r="AU33" i="5"/>
  <c r="AU18" i="7" s="1"/>
  <c r="AU32" i="5"/>
  <c r="AU28" i="5" s="1"/>
  <c r="AU17" i="6" s="1"/>
  <c r="AU18" i="6" s="1"/>
  <c r="AU19" i="6" l="1"/>
  <c r="AU20" i="6"/>
  <c r="AU34" i="5"/>
  <c r="AV31" i="5" s="1"/>
  <c r="AU8" i="7" l="1"/>
  <c r="AU15" i="7" s="1"/>
  <c r="AU21" i="7" s="1"/>
  <c r="AU24" i="7" s="1"/>
  <c r="AV23" i="7" s="1"/>
  <c r="AU21" i="6"/>
  <c r="AV33" i="5"/>
  <c r="AV18" i="7" s="1"/>
  <c r="AV32" i="5"/>
  <c r="AV28" i="5" s="1"/>
  <c r="AV17" i="6" s="1"/>
  <c r="AV18" i="6" s="1"/>
  <c r="AU22" i="6"/>
  <c r="AV19" i="6" l="1"/>
  <c r="AV20" i="6"/>
  <c r="AV22" i="6"/>
  <c r="AV34" i="5"/>
  <c r="AW31" i="5" s="1"/>
  <c r="AW33" i="5" l="1"/>
  <c r="AW18" i="7" s="1"/>
  <c r="AW32" i="5"/>
  <c r="AW28" i="5" s="1"/>
  <c r="AW17" i="6" s="1"/>
  <c r="AV8" i="7"/>
  <c r="AV15" i="7" s="1"/>
  <c r="AV21" i="7" s="1"/>
  <c r="AV24" i="7" s="1"/>
  <c r="AW23" i="7" s="1"/>
  <c r="AV21" i="6"/>
  <c r="AW18" i="6" l="1"/>
  <c r="F18" i="8"/>
  <c r="AW34" i="5"/>
  <c r="AX31" i="5" s="1"/>
  <c r="AX33" i="5" l="1"/>
  <c r="AX18" i="7" s="1"/>
  <c r="AX32" i="5"/>
  <c r="AX28" i="5" s="1"/>
  <c r="AX17" i="6" s="1"/>
  <c r="AW19" i="6"/>
  <c r="F20" i="8" s="1"/>
  <c r="F19" i="8"/>
  <c r="AX18" i="6" l="1"/>
  <c r="AW20" i="6"/>
  <c r="AX34" i="5"/>
  <c r="AY31" i="5" s="1"/>
  <c r="AW8" i="7" l="1"/>
  <c r="AW15" i="7" s="1"/>
  <c r="AW21" i="6"/>
  <c r="F21" i="8"/>
  <c r="AW22" i="6"/>
  <c r="AY33" i="5"/>
  <c r="AY18" i="7" s="1"/>
  <c r="AY32" i="5"/>
  <c r="AY28" i="5" s="1"/>
  <c r="AY17" i="6" s="1"/>
  <c r="AX19" i="6"/>
  <c r="AX20" i="6"/>
  <c r="AX8" i="7" l="1"/>
  <c r="AX15" i="7" s="1"/>
  <c r="AX21" i="6"/>
  <c r="G29" i="9"/>
  <c r="F22" i="8"/>
  <c r="F23" i="8"/>
  <c r="AY18" i="6"/>
  <c r="AY34" i="5"/>
  <c r="AZ31" i="5" s="1"/>
  <c r="AX22" i="6"/>
  <c r="AW21" i="7"/>
  <c r="F24" i="8"/>
  <c r="AZ33" i="5" l="1"/>
  <c r="AZ18" i="7" s="1"/>
  <c r="AZ32" i="5"/>
  <c r="AZ28" i="5" s="1"/>
  <c r="AZ17" i="6" s="1"/>
  <c r="AY19" i="6"/>
  <c r="AY20" i="6"/>
  <c r="AX21" i="7"/>
  <c r="F25" i="8"/>
  <c r="AW24" i="7"/>
  <c r="AY8" i="7" l="1"/>
  <c r="AY15" i="7" s="1"/>
  <c r="AY21" i="6"/>
  <c r="AY22" i="6"/>
  <c r="AZ18" i="6"/>
  <c r="AX23" i="7"/>
  <c r="AX24" i="7" s="1"/>
  <c r="AY23" i="7" s="1"/>
  <c r="F26" i="8"/>
  <c r="AZ34" i="5"/>
  <c r="BA31" i="5" s="1"/>
  <c r="BA32" i="5" l="1"/>
  <c r="BA28" i="5" s="1"/>
  <c r="BA17" i="6" s="1"/>
  <c r="BA33" i="5"/>
  <c r="BA18" i="7" s="1"/>
  <c r="AZ19" i="6"/>
  <c r="AY21" i="7"/>
  <c r="BA18" i="6" l="1"/>
  <c r="AZ20" i="6"/>
  <c r="BA34" i="5"/>
  <c r="BB31" i="5" s="1"/>
  <c r="AY24" i="7"/>
  <c r="AZ23" i="7" s="1"/>
  <c r="BB32" i="5" l="1"/>
  <c r="BB28" i="5" s="1"/>
  <c r="BB17" i="6" s="1"/>
  <c r="BB33" i="5"/>
  <c r="BB18" i="7" s="1"/>
  <c r="BA19" i="6"/>
  <c r="BA20" i="6" s="1"/>
  <c r="AZ8" i="7"/>
  <c r="AZ15" i="7" s="1"/>
  <c r="AZ21" i="6"/>
  <c r="AZ22" i="6"/>
  <c r="BA8" i="7" l="1"/>
  <c r="BA15" i="7" s="1"/>
  <c r="BA21" i="7" s="1"/>
  <c r="BA21" i="6"/>
  <c r="AZ21" i="7"/>
  <c r="BA22" i="6"/>
  <c r="BB34" i="5"/>
  <c r="BC31" i="5" s="1"/>
  <c r="BB18" i="6"/>
  <c r="BC32" i="5" l="1"/>
  <c r="BC28" i="5" s="1"/>
  <c r="BC17" i="6" s="1"/>
  <c r="BC18" i="6" s="1"/>
  <c r="BC33" i="5"/>
  <c r="BC18" i="7" s="1"/>
  <c r="BB19" i="6"/>
  <c r="BB20" i="6" s="1"/>
  <c r="AZ24" i="7"/>
  <c r="BA23" i="7" s="1"/>
  <c r="BA24" i="7" s="1"/>
  <c r="BB23" i="7" s="1"/>
  <c r="BB8" i="7" l="1"/>
  <c r="BB15" i="7" s="1"/>
  <c r="BB21" i="6"/>
  <c r="BB22" i="6"/>
  <c r="BC19" i="6"/>
  <c r="BC20" i="6" s="1"/>
  <c r="BC34" i="5"/>
  <c r="BD31" i="5" s="1"/>
  <c r="BC8" i="7" l="1"/>
  <c r="BC15" i="7" s="1"/>
  <c r="BC21" i="7" s="1"/>
  <c r="BC21" i="6"/>
  <c r="BD33" i="5"/>
  <c r="BD18" i="7" s="1"/>
  <c r="BD32" i="5"/>
  <c r="BD28" i="5" s="1"/>
  <c r="BD17" i="6" s="1"/>
  <c r="BD18" i="6" s="1"/>
  <c r="BC22" i="6"/>
  <c r="BB21" i="7"/>
  <c r="BB24" i="7" s="1"/>
  <c r="BC23" i="7" s="1"/>
  <c r="BC24" i="7" s="1"/>
  <c r="BD23" i="7" s="1"/>
  <c r="BD19" i="6" l="1"/>
  <c r="BD20" i="6"/>
  <c r="BD34" i="5"/>
  <c r="BE31" i="5" s="1"/>
  <c r="BE33" i="5" l="1"/>
  <c r="BE18" i="7" s="1"/>
  <c r="BE32" i="5"/>
  <c r="BE28" i="5" s="1"/>
  <c r="BE17" i="6" s="1"/>
  <c r="BE18" i="6" s="1"/>
  <c r="BD8" i="7"/>
  <c r="BD15" i="7" s="1"/>
  <c r="BD21" i="6"/>
  <c r="BD22" i="6"/>
  <c r="BD21" i="7" l="1"/>
  <c r="BD24" i="7" s="1"/>
  <c r="BE23" i="7" s="1"/>
  <c r="BE19" i="6"/>
  <c r="BE20" i="6" s="1"/>
  <c r="BE34" i="5"/>
  <c r="BF31" i="5" s="1"/>
  <c r="BE8" i="7" l="1"/>
  <c r="BE15" i="7" s="1"/>
  <c r="BE21" i="7" s="1"/>
  <c r="BE21" i="6"/>
  <c r="BE22" i="6"/>
  <c r="BF33" i="5"/>
  <c r="BF18" i="7" s="1"/>
  <c r="BF32" i="5"/>
  <c r="BF28" i="5" s="1"/>
  <c r="BF17" i="6" s="1"/>
  <c r="BF18" i="6" s="1"/>
  <c r="BE24" i="7"/>
  <c r="BF23" i="7" s="1"/>
  <c r="BF19" i="6" l="1"/>
  <c r="BF20" i="6" s="1"/>
  <c r="BF34" i="5"/>
  <c r="BG31" i="5" s="1"/>
  <c r="BF8" i="7" l="1"/>
  <c r="BF15" i="7" s="1"/>
  <c r="BF21" i="7" s="1"/>
  <c r="BF24" i="7" s="1"/>
  <c r="BG23" i="7" s="1"/>
  <c r="BF21" i="6"/>
  <c r="BF22" i="6"/>
  <c r="BG33" i="5"/>
  <c r="BG18" i="7" s="1"/>
  <c r="BG32" i="5"/>
  <c r="BG28" i="5" s="1"/>
  <c r="BG17" i="6" s="1"/>
  <c r="BG18" i="6" s="1"/>
  <c r="BG19" i="6" l="1"/>
  <c r="BG20" i="6"/>
  <c r="BG34" i="5"/>
  <c r="BH31" i="5" s="1"/>
  <c r="BG22" i="6"/>
  <c r="BH33" i="5" l="1"/>
  <c r="BH18" i="7" s="1"/>
  <c r="BH32" i="5"/>
  <c r="BH28" i="5" s="1"/>
  <c r="BH17" i="6" s="1"/>
  <c r="BH18" i="6" s="1"/>
  <c r="BG8" i="7"/>
  <c r="BG15" i="7" s="1"/>
  <c r="BG21" i="7" s="1"/>
  <c r="BG24" i="7" s="1"/>
  <c r="BH23" i="7" s="1"/>
  <c r="BG21" i="6"/>
  <c r="BH19" i="6" l="1"/>
  <c r="BH20" i="6" s="1"/>
  <c r="BH34" i="5"/>
  <c r="BI31" i="5" s="1"/>
  <c r="BH8" i="7" l="1"/>
  <c r="BH15" i="7" s="1"/>
  <c r="BH21" i="7" s="1"/>
  <c r="BH24" i="7" s="1"/>
  <c r="BI23" i="7" s="1"/>
  <c r="BH21" i="6"/>
  <c r="BH22" i="6"/>
  <c r="BI33" i="5"/>
  <c r="BI18" i="7" s="1"/>
  <c r="BI32" i="5"/>
  <c r="BI28" i="5" s="1"/>
  <c r="BI17" i="6" s="1"/>
  <c r="BI18" i="6" l="1"/>
  <c r="G18" i="8"/>
  <c r="H18" i="8" s="1"/>
  <c r="BI34" i="5"/>
  <c r="BI19" i="6" l="1"/>
  <c r="G20" i="8" s="1"/>
  <c r="H20" i="8" s="1"/>
  <c r="BI20" i="6"/>
  <c r="G19" i="8"/>
  <c r="H19" i="8" s="1"/>
  <c r="BI8" i="7" l="1"/>
  <c r="BI15" i="7" s="1"/>
  <c r="BI21" i="6"/>
  <c r="G21" i="8"/>
  <c r="BI22" i="6"/>
  <c r="H29" i="9" l="1"/>
  <c r="G22" i="8"/>
  <c r="H21" i="8"/>
  <c r="G23" i="8"/>
  <c r="H23" i="8" s="1"/>
  <c r="BI21" i="7"/>
  <c r="G24" i="8"/>
  <c r="H24" i="8" s="1"/>
  <c r="G25" i="8" l="1"/>
  <c r="H25" i="8" s="1"/>
  <c r="BI24" i="7"/>
  <c r="G26" i="8" s="1"/>
  <c r="H26" i="8" s="1"/>
  <c r="D23" i="9"/>
  <c r="H22" i="8"/>
  <c r="E5" i="10"/>
  <c r="D16" i="1"/>
  <c r="D30" i="9"/>
  <c r="B11" i="10" s="1"/>
  <c r="D31" i="9"/>
  <c r="E11" i="10" l="1"/>
  <c r="D18" i="1"/>
  <c r="D25" i="9"/>
  <c r="D28" i="9" s="1"/>
  <c r="B14" i="10" s="1"/>
  <c r="D24" i="9"/>
  <c r="D27" i="9" l="1"/>
  <c r="D26" i="9"/>
  <c r="E8" i="10" l="1"/>
  <c r="D17" i="1"/>
</calcChain>
</file>

<file path=xl/sharedStrings.xml><?xml version="1.0" encoding="utf-8"?>
<sst xmlns="http://schemas.openxmlformats.org/spreadsheetml/2006/main" count="665" uniqueCount="323">
  <si>
    <t>FINANCIAL FEASIBILITY STUDY</t>
  </si>
  <si>
    <t>5-Year Monthly Financial Model &amp; Projections</t>
  </si>
  <si>
    <t>PREPARED FOR ANGEL INVESTORS</t>
  </si>
  <si>
    <t>PROJECT SNAPSHOT</t>
  </si>
  <si>
    <t>Total Project Cost</t>
  </si>
  <si>
    <t>Angel Investment Sought</t>
  </si>
  <si>
    <t>Equity Stake Offered</t>
  </si>
  <si>
    <t>5-Year Revenue</t>
  </si>
  <si>
    <t>5-Year PAT</t>
  </si>
  <si>
    <t>Return on Investment</t>
  </si>
  <si>
    <t>Project IRR</t>
  </si>
  <si>
    <t>Investor MOIC</t>
  </si>
  <si>
    <t>CONTENTS</t>
  </si>
  <si>
    <t>1.  Assumptions</t>
  </si>
  <si>
    <t>Single control panel — fill the yellow cells</t>
  </si>
  <si>
    <t>2.  Production</t>
  </si>
  <si>
    <t>Monthly output from capacity &amp; utilisation</t>
  </si>
  <si>
    <t>3.  Sales</t>
  </si>
  <si>
    <t>Units sold and net revenue</t>
  </si>
  <si>
    <t>4.  Expenses</t>
  </si>
  <si>
    <t>COGS, SG&amp;A, depreciation, interest, loan schedule</t>
  </si>
  <si>
    <t>5.  P&amp;L</t>
  </si>
  <si>
    <t>Monthly profit &amp; loss</t>
  </si>
  <si>
    <t>6.  Cash Flow</t>
  </si>
  <si>
    <t>Operating, investing &amp; financing cash flows</t>
  </si>
  <si>
    <t>7.  Annual Summary</t>
  </si>
  <si>
    <t>Yearly roll-up of all results</t>
  </si>
  <si>
    <t>8.  Investment &amp; ROI</t>
  </si>
  <si>
    <t>Project cost, funding, returns, investor case</t>
  </si>
  <si>
    <t>9.  Dashboard</t>
  </si>
  <si>
    <t>KPI snapshot, charts &amp; scalability</t>
  </si>
  <si>
    <t>Note: This is a blank template. All cells are pre-linked with formulas; enter your figures on the Assumptions tab and every sheet, chart and metric updates automatically. Prepared as a feasibility study for discussion with prospective angel investors; not an offer of securities.</t>
  </si>
  <si>
    <t>ASSUMPTIONS  —  CONTROL PANEL</t>
  </si>
  <si>
    <t>Fill the yellow cells only. Every other sheet updates automatically. All figures in Indian Rupees (₹).</t>
  </si>
  <si>
    <t>Parameter</t>
  </si>
  <si>
    <t>Unit</t>
  </si>
  <si>
    <t>Year 1</t>
  </si>
  <si>
    <t>Year 2</t>
  </si>
  <si>
    <t>Year 3</t>
  </si>
  <si>
    <t>Year 4</t>
  </si>
  <si>
    <t>Year 5</t>
  </si>
  <si>
    <t>Notes / Guidance</t>
  </si>
  <si>
    <t>1.  PROJECT OVERVIEW</t>
  </si>
  <si>
    <t>Company / Project Name</t>
  </si>
  <si>
    <t>text</t>
  </si>
  <si>
    <t>Plant Location</t>
  </si>
  <si>
    <t>Primary Product / Description</t>
  </si>
  <si>
    <t>Projection Start Date</t>
  </si>
  <si>
    <t>date</t>
  </si>
  <si>
    <t>2.  PRODUCTION &amp; CAPACITY  (scalability drivers)</t>
  </si>
  <si>
    <t>Installed Capacity</t>
  </si>
  <si>
    <t>units/month</t>
  </si>
  <si>
    <t>Capacity Utilisation</t>
  </si>
  <si>
    <t>%</t>
  </si>
  <si>
    <t>Rejection / Scrap Rate</t>
  </si>
  <si>
    <t>3.  SALES &amp; PRICING</t>
  </si>
  <si>
    <t>Sell-through Rate</t>
  </si>
  <si>
    <t>% of output</t>
  </si>
  <si>
    <t>Average Selling Price / unit</t>
  </si>
  <si>
    <t>₹/unit</t>
  </si>
  <si>
    <t>Sales Discount / Returns</t>
  </si>
  <si>
    <t>% of sales</t>
  </si>
  <si>
    <t>4.  DIRECT (VARIABLE) COSTS  —  per unit produced</t>
  </si>
  <si>
    <t>Raw Material Cost / unit</t>
  </si>
  <si>
    <t>Packaging &amp; Consumables / unit</t>
  </si>
  <si>
    <t>Power &amp; Fuel / unit</t>
  </si>
  <si>
    <t>Other Variable Cost / unit</t>
  </si>
  <si>
    <t>5.  MANUFACTURING LABOUR &amp; OVERHEAD  (₹ / month)</t>
  </si>
  <si>
    <t>Direct Labour Cost</t>
  </si>
  <si>
    <t>₹/month</t>
  </si>
  <si>
    <t>Factory Rent / Lease</t>
  </si>
  <si>
    <t>Repairs &amp; Maintenance</t>
  </si>
  <si>
    <t>Factory Utilities &amp; Misc Overhead</t>
  </si>
  <si>
    <t>Quality, Testing &amp; Other Mfg OH</t>
  </si>
  <si>
    <t>6.  OPERATING EXPENSES  (SG&amp;A)</t>
  </si>
  <si>
    <t>Admin &amp; Management Salaries</t>
  </si>
  <si>
    <t>Marketing &amp; Selling</t>
  </si>
  <si>
    <t>% of revenue</t>
  </si>
  <si>
    <t>Distribution &amp; Freight-out</t>
  </si>
  <si>
    <t>Office Rent &amp; Admin Overhead</t>
  </si>
  <si>
    <t>Insurance</t>
  </si>
  <si>
    <t>Other Operating Expenses</t>
  </si>
  <si>
    <t>Annual Cost Inflation</t>
  </si>
  <si>
    <t>% p.a.</t>
  </si>
  <si>
    <t>7.  WORKING CAPITAL</t>
  </si>
  <si>
    <t>Receivable Days (Debtors)</t>
  </si>
  <si>
    <t>days</t>
  </si>
  <si>
    <t>Inventory Days</t>
  </si>
  <si>
    <t>Payable Days (Creditors)</t>
  </si>
  <si>
    <t>8.  FINANCING &amp; TAX</t>
  </si>
  <si>
    <t>Term Loan Interest Rate</t>
  </si>
  <si>
    <t>Loan Tenure</t>
  </si>
  <si>
    <t>years</t>
  </si>
  <si>
    <t>Corporate Income Tax Rate</t>
  </si>
  <si>
    <t>9.  CAPITAL EXPENDITURE &amp; DEPRECIATION</t>
  </si>
  <si>
    <t>Land &amp; Building</t>
  </si>
  <si>
    <t>₹</t>
  </si>
  <si>
    <t>Plant &amp; Machinery</t>
  </si>
  <si>
    <t>Furniture &amp; Fixtures</t>
  </si>
  <si>
    <t>Vehicles</t>
  </si>
  <si>
    <t>Preliminary &amp; Pre-operative Expenses</t>
  </si>
  <si>
    <t>Contingency</t>
  </si>
  <si>
    <t>% of assets</t>
  </si>
  <si>
    <t>Depreciation Rate – Building</t>
  </si>
  <si>
    <t>Depreciation Rate – Plant &amp; Machinery</t>
  </si>
  <si>
    <t>Depreciation Rate – Furniture</t>
  </si>
  <si>
    <t>Depreciation Rate – Vehicles</t>
  </si>
  <si>
    <t>Preliminary Exp. Amortisation</t>
  </si>
  <si>
    <t>10.  FUNDING STRUCTURE</t>
  </si>
  <si>
    <t>Promoter's / Founder Equity</t>
  </si>
  <si>
    <t>Angel Investor Investment</t>
  </si>
  <si>
    <t>Term Loan / Debt</t>
  </si>
  <si>
    <t>11.  INVESTOR &amp; VALUATION</t>
  </si>
  <si>
    <t>Equity Stake Offered to Angels</t>
  </si>
  <si>
    <t>Discount Rate for NPV</t>
  </si>
  <si>
    <t>Planned Exit Year</t>
  </si>
  <si>
    <t>1–5</t>
  </si>
  <si>
    <t>Exit Valuation Multiple (EV/EBITDA)</t>
  </si>
  <si>
    <t>x</t>
  </si>
  <si>
    <t>PRODUCTION PLAN</t>
  </si>
  <si>
    <t>Monthly output driven by installed capacity, utilisation and scrap on the Assumptions tab.</t>
  </si>
  <si>
    <t>YEAR 1</t>
  </si>
  <si>
    <t>YEAR 2</t>
  </si>
  <si>
    <t>YEAR 3</t>
  </si>
  <si>
    <t>YEAR 4</t>
  </si>
  <si>
    <t>YEAR 5</t>
  </si>
  <si>
    <t>Line item  /  Month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</si>
  <si>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</si>
  <si>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</si>
  <si>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</si>
  <si>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</si>
  <si>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</si>
  <si>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</si>
  <si>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</si>
  <si>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</si>
  <si>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</si>
  <si>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</si>
  <si>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</si>
  <si>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</si>
  <si>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</si>
  <si>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</si>
  <si>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</si>
  <si>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</si>
  <si>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</si>
  <si>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</si>
  <si>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</si>
  <si>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</si>
  <si>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</si>
  <si>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</si>
  <si>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</si>
  <si>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</si>
  <si>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</si>
  <si>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</si>
  <si>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</si>
  <si>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</si>
  <si>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</si>
  <si>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</si>
  <si>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</si>
  <si>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</si>
  <si>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</si>
  <si>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</si>
  <si>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</si>
  <si>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</si>
  <si>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</si>
  <si>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</si>
  <si>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</si>
  <si>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</si>
  <si>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</si>
  <si>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</si>
  <si>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</si>
  <si>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</si>
  <si>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</si>
  <si>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</si>
  <si>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</si>
  <si>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</si>
  <si>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</si>
  <si>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</si>
  <si>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</si>
  <si>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</si>
  <si>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</si>
  <si>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</si>
  <si>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</si>
  <si>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</si>
  <si>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</si>
  <si>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</si>
  <si>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</si>
  <si>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</si>
  <si>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Calendar month</t>
  </si>
  <si>
    <t>PRODUCTION VOLUME</t>
  </si>
  <si>
    <t>Installed Capacity (units)</t>
  </si>
  <si>
    <t>Capacity Utilisation (%)</t>
  </si>
  <si>
    <t>Gross Production (units)</t>
  </si>
  <si>
    <t>Rejection / Scrap (%)</t>
  </si>
  <si>
    <t>Saleable Production (units)</t>
  </si>
  <si>
    <t>SALES &amp; REVENUE</t>
  </si>
  <si>
    <t>Units sold and net revenue, linked from Production and priced on the Assumptions tab.</t>
  </si>
  <si>
    <t>SALES VOLUME &amp; REVENUE</t>
  </si>
  <si>
    <t>Sell-through Rate (%)</t>
  </si>
  <si>
    <t>Units Sold</t>
  </si>
  <si>
    <t>Selling Price / unit (₹)</t>
  </si>
  <si>
    <t>Gross Sales Value (₹)</t>
  </si>
  <si>
    <t>Less: Discount / Returns (₹)</t>
  </si>
  <si>
    <t>Net Revenue (₹)</t>
  </si>
  <si>
    <t>OPERATING EXPENSES</t>
  </si>
  <si>
    <t>Direct costs, overheads, SG&amp;A, depreciation and interest — all linked to Assumptions, Production and Sales.</t>
  </si>
  <si>
    <t>A.  DIRECT / VARIABLE COSTS (COGS)</t>
  </si>
  <si>
    <t>Raw Material</t>
  </si>
  <si>
    <t>Packaging &amp; Consumables</t>
  </si>
  <si>
    <t>Power &amp; Fuel</t>
  </si>
  <si>
    <t>Other Variable Cost</t>
  </si>
  <si>
    <t>Direct Labour</t>
  </si>
  <si>
    <t>Factory Utilities &amp; Misc OH</t>
  </si>
  <si>
    <t>Quality, Testing &amp; Other OH</t>
  </si>
  <si>
    <t>Total COGS</t>
  </si>
  <si>
    <t>B.  OPERATING EXPENSES (SG&amp;A)</t>
  </si>
  <si>
    <t>Total Operating Expenses</t>
  </si>
  <si>
    <t>C.  DEPRECIATION &amp; FINANCE COST</t>
  </si>
  <si>
    <t>Depreciation</t>
  </si>
  <si>
    <t>Interest on Term Loan</t>
  </si>
  <si>
    <t>D.  TERM-LOAN AMORTISATION SCHEDULE</t>
  </si>
  <si>
    <t>Opening Loan Balance</t>
  </si>
  <si>
    <t>Interest</t>
  </si>
  <si>
    <t>Principal Repayment</t>
  </si>
  <si>
    <t>Closing Loan Balance</t>
  </si>
  <si>
    <t>PROFIT &amp; LOSS  (Monthly)</t>
  </si>
  <si>
    <t>Automatically consolidates Sales and Expenses into monthly profitability.</t>
  </si>
  <si>
    <t>PROFIT &amp; LOSS STATEMENT</t>
  </si>
  <si>
    <t>Net Revenue</t>
  </si>
  <si>
    <t>Less: Cost of Goods Sold</t>
  </si>
  <si>
    <t>Gross Profit</t>
  </si>
  <si>
    <t xml:space="preserve">   Gross Margin (%)</t>
  </si>
  <si>
    <t>Less: Operating Expenses (SG&amp;A)</t>
  </si>
  <si>
    <t>EBITDA</t>
  </si>
  <si>
    <t xml:space="preserve">   EBITDA Margin (%)</t>
  </si>
  <si>
    <t>Less: Depreciation</t>
  </si>
  <si>
    <t>EBIT</t>
  </si>
  <si>
    <t>Less: Interest</t>
  </si>
  <si>
    <t>Profit Before Tax</t>
  </si>
  <si>
    <t>Less: Tax</t>
  </si>
  <si>
    <t>Profit After Tax (PAT)</t>
  </si>
  <si>
    <t xml:space="preserve">   Net Margin (%)</t>
  </si>
  <si>
    <t>Cumulative PAT</t>
  </si>
  <si>
    <t>CASH FLOW  (Monthly)</t>
  </si>
  <si>
    <t>Operating, investing and financing cash flows with a simple working-capital model.</t>
  </si>
  <si>
    <t>A.  OPERATING CASH FLOW</t>
  </si>
  <si>
    <t>Profit After Tax</t>
  </si>
  <si>
    <t>Add: Depreciation</t>
  </si>
  <si>
    <t>Debtors / Receivables (balance)</t>
  </si>
  <si>
    <t>Inventory (balance)</t>
  </si>
  <si>
    <t>Creditors / Payables (balance)</t>
  </si>
  <si>
    <t>Net Working Capital</t>
  </si>
  <si>
    <t>Less: Increase in Working Capital</t>
  </si>
  <si>
    <t>Cash Flow from Operations</t>
  </si>
  <si>
    <t>B.  INVESTING &amp; FINANCING</t>
  </si>
  <si>
    <t>Capital Expenditure</t>
  </si>
  <si>
    <t>Loan Principal Repayment</t>
  </si>
  <si>
    <t>Equity Inflow</t>
  </si>
  <si>
    <t>Debt Inflow</t>
  </si>
  <si>
    <t>Net Cash Flow</t>
  </si>
  <si>
    <t>C.  CASH POSITION</t>
  </si>
  <si>
    <t>Opening Cash</t>
  </si>
  <si>
    <t>Closing Cash</t>
  </si>
  <si>
    <t>ANNUAL SUMMARY</t>
  </si>
  <si>
    <t>Monthly results rolled up to the financial year. All figures in ₹.</t>
  </si>
  <si>
    <t>Particulars</t>
  </si>
  <si>
    <t>5-Yr Total</t>
  </si>
  <si>
    <t>Installed Capacity (units/mo, avg)</t>
  </si>
  <si>
    <t>Capacity Utilisation (%, avg)</t>
  </si>
  <si>
    <t>Cost of Goods Sold</t>
  </si>
  <si>
    <t>Gross Margin (%)</t>
  </si>
  <si>
    <t>Operating Expenses</t>
  </si>
  <si>
    <t>EBITDA Margin (%)</t>
  </si>
  <si>
    <t>Tax</t>
  </si>
  <si>
    <t>Net Margin (%)</t>
  </si>
  <si>
    <t>Operating Cash Flow</t>
  </si>
  <si>
    <t>INVESTMENT, RETURNS &amp; INVESTOR CASE</t>
  </si>
  <si>
    <t>Project cost, funding, ROI and the angel-investor return summary. All figures in ₹.</t>
  </si>
  <si>
    <t>A.  PROJECT COST</t>
  </si>
  <si>
    <t>Preliminary &amp; Pre-operative</t>
  </si>
  <si>
    <t>Initial Working Capital</t>
  </si>
  <si>
    <t>TOTAL PROJECT COST</t>
  </si>
  <si>
    <t>B.  MEANS OF FINANCE</t>
  </si>
  <si>
    <t>TOTAL FUNDING</t>
  </si>
  <si>
    <t>Funding Surplus / (Gap)</t>
  </si>
  <si>
    <t>Debt : Equity Ratio</t>
  </si>
  <si>
    <t>C.  RETURNS &amp; FEASIBILITY METRICS</t>
  </si>
  <si>
    <t>Total PAT (5 years)</t>
  </si>
  <si>
    <t>Average Annual PAT</t>
  </si>
  <si>
    <t>Average Annual Cash Inflow (PAT+Dep)</t>
  </si>
  <si>
    <t>Return on Investment (avg PAT / cost)</t>
  </si>
  <si>
    <t>Return on Equity (avg PAT / equity)</t>
  </si>
  <si>
    <t>Simple Payback Period</t>
  </si>
  <si>
    <t>Free Cash Flow (Yr0 = -cost)</t>
  </si>
  <si>
    <t>Net Present Value (NPV)</t>
  </si>
  <si>
    <t>Internal Rate of Return (IRR)</t>
  </si>
  <si>
    <t>D.  ANGEL-INVESTOR RETURN CASE</t>
  </si>
  <si>
    <t>Angel Investment</t>
  </si>
  <si>
    <t>Implied Post-money Valuation</t>
  </si>
  <si>
    <t>Implied Pre-money Valuation</t>
  </si>
  <si>
    <t>Exit-year EBITDA</t>
  </si>
  <si>
    <t>Exit Enterprise Value (EBITDA x mult.)</t>
  </si>
  <si>
    <t>Less: Net Debt at Exit</t>
  </si>
  <si>
    <t>Exit Equity Value</t>
  </si>
  <si>
    <t>Investor's Share at Exit</t>
  </si>
  <si>
    <t>Investor Return Multiple (MOIC)</t>
  </si>
  <si>
    <t>Investor IRR (approx.)</t>
  </si>
  <si>
    <t>5-Year Feasibility Snapshot  •  figures update from the Assumptions tab  •  ₹</t>
  </si>
  <si>
    <t>Total Revenue (5 yr)</t>
  </si>
  <si>
    <t>Total PAT (5 yr)</t>
  </si>
  <si>
    <t>Avg EBITDA Margin</t>
  </si>
  <si>
    <t>Net Present Value</t>
  </si>
  <si>
    <t>Simple Payback</t>
  </si>
  <si>
    <t>SCALABILITY</t>
  </si>
  <si>
    <t>Revenue CAGR (Y1→Y5)</t>
  </si>
  <si>
    <t>Production CAGR (Y1→Y5)</t>
  </si>
  <si>
    <t>Capacity Growth (Y1→Y5)</t>
  </si>
  <si>
    <t>Investor IRR (to exit)</t>
  </si>
  <si>
    <t>WHY THIS FITS ANGEL-INVESTOR EXPECTATIONS</t>
  </si>
  <si>
    <t>•  Capacity, utilisation and pricing are staged year-by-year so the plan shows a clear ramp and scalable, asset-light growth.</t>
  </si>
  <si>
    <t>•  Headline metrics investors screen on — ROI, IRR, NPV, payback and EBITDA margin — are computed live from the model.</t>
  </si>
  <si>
    <t>•  A dedicated investor block converts the raise into ownership, an implied valuation, an exit value and a return multiple (MOIC).</t>
  </si>
  <si>
    <t>•  Every number traces back to one Assumptions tab, so investors can run their own downside / upside scenarios instantly.</t>
  </si>
  <si>
    <t>•  Working-capital, debt-service and tax are modelled, giving a realistic cash view rather than an accounting-profit-only story.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</si>
</sst>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₹#,##0;&quot;(₹&quot;#,##0\);\-"/>
    <numFmt numFmtId="165" formatCode="0.0%;\(0.0%\);\-"/>
    <numFmt numFmtId="166" formatCode="0.00\x;\(0.00&quot;x)&quot;;\-"/>
    <numFmt numFmtId="167" formatCode="dd\-mmm\-yyyy"/>
    <numFmt numFmtId="168" formatCode="#,##0;\(#,##0\);\-"/>
    <numFmt numFmtId="169" formatCode="\₹#,##0.00;&quot;(₹&quot;#,##0.00\);\-"/>
    <numFmt numFmtId="170" formatCode="0&quot; days&quot;"/>
    <numFmt numFmtId="171" formatCode="0&quot; yrs&quot;"/>
  </numFmts>
  <fonts count="18" x14ac:knownFonts="1">
    <font>
      <sz val="11"/>
      <color theme="1"/>
      <name val="Calibri"/>
      <family val="2"/>
      <charset val="1"/>
    </font>
    <font>
      <b/>
      <sz val="26"/>
      <color rgb="FF13294B"/>
      <name val="Arial"/>
      <charset val="1"/>
    </font>
    <font>
      <sz val="13"/>
      <color rgb="FF2E5496"/>
      <name val="Arial"/>
      <charset val="1"/>
    </font>
    <font>
      <b/>
      <sz val="18"/>
      <color rgb="FFC9A227"/>
      <name val="Arial"/>
      <charset val="1"/>
    </font>
    <font>
      <sz val="11"/>
      <color rgb="FF44546A"/>
      <name val="Arial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sz val="10"/>
      <color rgb="FF008000"/>
      <name val="Arial"/>
      <charset val="1"/>
    </font>
    <font>
      <b/>
      <sz val="10"/>
      <color rgb="FF000000"/>
      <name val="Arial"/>
      <charset val="1"/>
    </font>
    <font>
      <i/>
      <sz val="9"/>
      <color rgb="FF808080"/>
      <name val="Arial"/>
      <charset val="1"/>
    </font>
    <font>
      <b/>
      <sz val="22"/>
      <color rgb="FFFFFFFF"/>
      <name val="Arial"/>
      <charset val="1"/>
    </font>
    <font>
      <sz val="11"/>
      <color rgb="FFFFFFFF"/>
      <name val="Arial"/>
      <charset val="1"/>
    </font>
    <font>
      <b/>
      <sz val="10"/>
      <color rgb="FF13294B"/>
      <name val="Arial"/>
      <charset val="1"/>
    </font>
    <font>
      <sz val="9"/>
      <color rgb="FF808080"/>
      <name val="Arial"/>
      <charset val="1"/>
    </font>
    <font>
      <b/>
      <sz val="10"/>
      <color rgb="FF0000FF"/>
      <name val="Arial"/>
      <charset val="1"/>
    </font>
    <font>
      <b/>
      <sz val="9"/>
      <color rgb="FF44546A"/>
      <name val="Arial"/>
      <charset val="1"/>
    </font>
    <font>
      <b/>
      <sz val="20"/>
      <color rgb="FF13294B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3294B"/>
        <bgColor rgb="FF003300"/>
      </patternFill>
    </fill>
    <fill>
      <patternFill patternType="solid">
        <fgColor rgb="FF2E5496"/>
        <bgColor rgb="FF44546A"/>
      </patternFill>
    </fill>
    <fill>
      <patternFill patternType="solid">
        <fgColor rgb="FFEAF1FA"/>
        <bgColor rgb="FFF2F2F2"/>
      </patternFill>
    </fill>
    <fill>
      <patternFill patternType="solid">
        <fgColor rgb="FFFFFFFF"/>
        <bgColor rgb="FFF9F9F9"/>
      </patternFill>
    </fill>
    <fill>
      <patternFill patternType="solid">
        <fgColor rgb="FFD6E4F0"/>
        <bgColor rgb="FFD9D9D9"/>
      </patternFill>
    </fill>
    <fill>
      <patternFill patternType="solid">
        <fgColor rgb="FFFFF2CC"/>
        <bgColor rgb="FFFBE7B2"/>
      </patternFill>
    </fill>
    <fill>
      <patternFill patternType="solid">
        <fgColor rgb="FFF2F2F2"/>
        <bgColor rgb="FFEAF1FA"/>
      </patternFill>
    </fill>
    <fill>
      <patternFill patternType="solid">
        <fgColor rgb="FFE2EFDA"/>
        <bgColor rgb="FFEAF1FA"/>
      </patternFill>
    </fill>
    <fill>
      <patternFill patternType="solid">
        <fgColor rgb="FFFBE7B2"/>
        <bgColor rgb="FFFFF2CC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</borders>
  <cellStyleXfs count="1">
    <xf numFmtId="0" fontId="0" fillId="0" borderId="0"/>
  </cellStyleXfs>
  <cellXfs count="78">
    <xf numFmtId="0" fontId="0" fillId="0" borderId="0" xfId="0"/>
    <xf numFmtId="164" fontId="17" fillId="5" borderId="2" xfId="0" applyNumberFormat="1" applyFont="1" applyFill="1" applyBorder="1" applyAlignment="1">
      <alignment horizontal="left" vertical="center" indent="1"/>
    </xf>
    <xf numFmtId="0" fontId="16" fillId="6" borderId="2" xfId="0" applyFont="1" applyFill="1" applyBorder="1" applyAlignment="1">
      <alignment horizontal="left" vertical="center" indent="1"/>
    </xf>
    <xf numFmtId="0" fontId="13" fillId="6" borderId="2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left" vertical="center" indent="1"/>
    </xf>
    <xf numFmtId="0" fontId="11" fillId="2" borderId="0" xfId="0" applyFont="1" applyFill="1" applyAlignment="1">
      <alignment horizontal="left" vertical="center" indent="1"/>
    </xf>
    <xf numFmtId="0" fontId="10" fillId="0" borderId="0" xfId="0" applyFont="1" applyAlignment="1">
      <alignment horizontal="left" vertical="top" wrapText="1"/>
    </xf>
    <xf numFmtId="0" fontId="10" fillId="0" borderId="2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left" vertical="center" indent="1"/>
    </xf>
    <xf numFmtId="0" fontId="5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8" fillId="5" borderId="1" xfId="0" applyNumberFormat="1" applyFont="1" applyFill="1" applyBorder="1" applyAlignment="1">
      <alignment horizontal="right" vertical="center"/>
    </xf>
    <xf numFmtId="165" fontId="8" fillId="5" borderId="1" xfId="0" applyNumberFormat="1" applyFont="1" applyFill="1" applyBorder="1" applyAlignment="1">
      <alignment horizontal="right" vertical="center"/>
    </xf>
    <xf numFmtId="166" fontId="8" fillId="5" borderId="1" xfId="0" applyNumberFormat="1" applyFont="1" applyFill="1" applyBorder="1" applyAlignment="1">
      <alignment horizontal="right" vertical="center"/>
    </xf>
    <xf numFmtId="0" fontId="9" fillId="0" borderId="1" xfId="0" applyFont="1" applyBorder="1" applyAlignment="1">
      <alignment horizontal="left" vertical="center"/>
    </xf>
    <xf numFmtId="0" fontId="13" fillId="6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7" fillId="8" borderId="1" xfId="0" applyFont="1" applyFill="1" applyBorder="1"/>
    <xf numFmtId="0" fontId="10" fillId="0" borderId="1" xfId="0" applyFont="1" applyBorder="1" applyAlignment="1">
      <alignment horizontal="left" vertical="top" wrapText="1"/>
    </xf>
    <xf numFmtId="167" fontId="15" fillId="7" borderId="3" xfId="0" applyNumberFormat="1" applyFont="1" applyFill="1" applyBorder="1" applyAlignment="1">
      <alignment horizontal="center" vertical="center"/>
    </xf>
    <xf numFmtId="168" fontId="15" fillId="7" borderId="3" xfId="0" applyNumberFormat="1" applyFont="1" applyFill="1" applyBorder="1" applyAlignment="1">
      <alignment horizontal="center" vertical="center"/>
    </xf>
    <xf numFmtId="165" fontId="15" fillId="7" borderId="3" xfId="0" applyNumberFormat="1" applyFont="1" applyFill="1" applyBorder="1" applyAlignment="1">
      <alignment horizontal="center" vertical="center"/>
    </xf>
    <xf numFmtId="169" fontId="15" fillId="7" borderId="3" xfId="0" applyNumberFormat="1" applyFont="1" applyFill="1" applyBorder="1" applyAlignment="1">
      <alignment horizontal="center" vertical="center"/>
    </xf>
    <xf numFmtId="164" fontId="15" fillId="7" borderId="3" xfId="0" applyNumberFormat="1" applyFont="1" applyFill="1" applyBorder="1" applyAlignment="1">
      <alignment horizontal="center" vertical="center"/>
    </xf>
    <xf numFmtId="170" fontId="15" fillId="7" borderId="3" xfId="0" applyNumberFormat="1" applyFont="1" applyFill="1" applyBorder="1" applyAlignment="1">
      <alignment horizontal="center" vertical="center"/>
    </xf>
    <xf numFmtId="171" fontId="15" fillId="7" borderId="3" xfId="0" applyNumberFormat="1" applyFont="1" applyFill="1" applyBorder="1" applyAlignment="1">
      <alignment horizontal="center" vertical="center"/>
    </xf>
    <xf numFmtId="1" fontId="15" fillId="7" borderId="3" xfId="0" applyNumberFormat="1" applyFont="1" applyFill="1" applyBorder="1" applyAlignment="1">
      <alignment horizontal="center" vertical="center"/>
    </xf>
    <xf numFmtId="166" fontId="15" fillId="7" borderId="3" xfId="0" applyNumberFormat="1" applyFont="1" applyFill="1" applyBorder="1" applyAlignment="1">
      <alignment horizontal="center" vertical="center"/>
    </xf>
    <xf numFmtId="0" fontId="7" fillId="6" borderId="1" xfId="0" applyFont="1" applyFill="1" applyBorder="1"/>
    <xf numFmtId="0" fontId="10" fillId="4" borderId="1" xfId="0" applyFont="1" applyFill="1" applyBorder="1" applyAlignment="1">
      <alignment horizontal="left" vertical="center"/>
    </xf>
    <xf numFmtId="17" fontId="8" fillId="4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168" fontId="8" fillId="0" borderId="1" xfId="0" applyNumberFormat="1" applyFont="1" applyBorder="1" applyAlignment="1">
      <alignment horizontal="right" vertical="center"/>
    </xf>
    <xf numFmtId="165" fontId="8" fillId="0" borderId="1" xfId="0" applyNumberFormat="1" applyFont="1" applyBorder="1" applyAlignment="1">
      <alignment horizontal="right" vertical="center"/>
    </xf>
    <xf numFmtId="0" fontId="9" fillId="8" borderId="0" xfId="0" applyFont="1" applyFill="1" applyAlignment="1">
      <alignment horizontal="left" vertical="center" indent="1"/>
    </xf>
    <xf numFmtId="168" fontId="9" fillId="8" borderId="1" xfId="0" applyNumberFormat="1" applyFont="1" applyFill="1" applyBorder="1" applyAlignment="1">
      <alignment horizontal="right" vertical="center"/>
    </xf>
    <xf numFmtId="0" fontId="9" fillId="9" borderId="0" xfId="0" applyFont="1" applyFill="1" applyAlignment="1">
      <alignment horizontal="left" vertical="center" indent="1"/>
    </xf>
    <xf numFmtId="168" fontId="9" fillId="9" borderId="1" xfId="0" applyNumberFormat="1" applyFont="1" applyFill="1" applyBorder="1" applyAlignment="1">
      <alignment horizontal="right" vertical="center"/>
    </xf>
    <xf numFmtId="169" fontId="8" fillId="0" borderId="1" xfId="0" applyNumberFormat="1" applyFont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164" fontId="9" fillId="9" borderId="1" xfId="0" applyNumberFormat="1" applyFont="1" applyFill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164" fontId="9" fillId="8" borderId="1" xfId="0" applyNumberFormat="1" applyFont="1" applyFill="1" applyBorder="1" applyAlignment="1">
      <alignment horizontal="right" vertical="center"/>
    </xf>
    <xf numFmtId="0" fontId="7" fillId="8" borderId="0" xfId="0" applyFont="1" applyFill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165" fontId="7" fillId="0" borderId="1" xfId="0" applyNumberFormat="1" applyFont="1" applyBorder="1" applyAlignment="1">
      <alignment horizontal="right" vertical="center"/>
    </xf>
    <xf numFmtId="165" fontId="9" fillId="8" borderId="1" xfId="0" applyNumberFormat="1" applyFont="1" applyFill="1" applyBorder="1" applyAlignment="1">
      <alignment horizontal="right" vertical="center"/>
    </xf>
    <xf numFmtId="0" fontId="9" fillId="8" borderId="1" xfId="0" applyFont="1" applyFill="1" applyBorder="1" applyAlignment="1">
      <alignment horizontal="left" vertical="center"/>
    </xf>
    <xf numFmtId="164" fontId="8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0" fillId="0" borderId="1" xfId="0" applyBorder="1"/>
    <xf numFmtId="0" fontId="0" fillId="8" borderId="1" xfId="0" applyFill="1" applyBorder="1"/>
    <xf numFmtId="0" fontId="7" fillId="10" borderId="1" xfId="0" applyFont="1" applyFill="1" applyBorder="1" applyAlignment="1">
      <alignment horizontal="left" vertical="center"/>
    </xf>
    <xf numFmtId="0" fontId="0" fillId="10" borderId="1" xfId="0" applyFill="1" applyBorder="1"/>
    <xf numFmtId="164" fontId="8" fillId="10" borderId="1" xfId="0" applyNumberFormat="1" applyFont="1" applyFill="1" applyBorder="1" applyAlignment="1">
      <alignment horizontal="right" vertical="center"/>
    </xf>
    <xf numFmtId="166" fontId="7" fillId="0" borderId="1" xfId="0" applyNumberFormat="1" applyFont="1" applyBorder="1" applyAlignment="1">
      <alignment horizontal="right" vertical="center"/>
    </xf>
    <xf numFmtId="0" fontId="9" fillId="9" borderId="1" xfId="0" applyFont="1" applyFill="1" applyBorder="1" applyAlignment="1">
      <alignment horizontal="left" vertical="center"/>
    </xf>
    <xf numFmtId="0" fontId="0" fillId="9" borderId="1" xfId="0" applyFill="1" applyBorder="1"/>
    <xf numFmtId="165" fontId="9" fillId="9" borderId="1" xfId="0" applyNumberFormat="1" applyFont="1" applyFill="1" applyBorder="1" applyAlignment="1">
      <alignment horizontal="right" vertical="center"/>
    </xf>
    <xf numFmtId="171" fontId="9" fillId="9" borderId="1" xfId="0" applyNumberFormat="1" applyFont="1" applyFill="1" applyBorder="1" applyAlignment="1">
      <alignment horizontal="right" vertical="center"/>
    </xf>
    <xf numFmtId="165" fontId="7" fillId="10" borderId="1" xfId="0" applyNumberFormat="1" applyFont="1" applyFill="1" applyBorder="1" applyAlignment="1">
      <alignment horizontal="right" vertical="center"/>
    </xf>
    <xf numFmtId="1" fontId="7" fillId="0" borderId="1" xfId="0" applyNumberFormat="1" applyFont="1" applyBorder="1" applyAlignment="1">
      <alignment horizontal="right" vertical="center"/>
    </xf>
    <xf numFmtId="0" fontId="9" fillId="10" borderId="1" xfId="0" applyFont="1" applyFill="1" applyBorder="1" applyAlignment="1">
      <alignment horizontal="left" vertical="center"/>
    </xf>
    <xf numFmtId="164" fontId="9" fillId="10" borderId="1" xfId="0" applyNumberFormat="1" applyFont="1" applyFill="1" applyBorder="1" applyAlignment="1">
      <alignment horizontal="right" vertical="center"/>
    </xf>
    <xf numFmtId="166" fontId="9" fillId="10" borderId="1" xfId="0" applyNumberFormat="1" applyFont="1" applyFill="1" applyBorder="1" applyAlignment="1">
      <alignment horizontal="right" vertical="center"/>
    </xf>
    <xf numFmtId="165" fontId="9" fillId="10" borderId="1" xfId="0" applyNumberFormat="1" applyFont="1" applyFill="1" applyBorder="1" applyAlignment="1">
      <alignment horizontal="right" vertical="center"/>
    </xf>
    <xf numFmtId="165" fontId="17" fillId="5" borderId="2" xfId="0" applyNumberFormat="1" applyFont="1" applyFill="1" applyBorder="1" applyAlignment="1">
      <alignment horizontal="left" vertical="center" indent="1"/>
    </xf>
    <xf numFmtId="171" fontId="17" fillId="5" borderId="2" xfId="0" applyNumberFormat="1" applyFont="1" applyFill="1" applyBorder="1" applyAlignment="1">
      <alignment horizontal="left" vertical="center" indent="1"/>
    </xf>
    <xf numFmtId="166" fontId="17" fillId="5" borderId="2" xfId="0" applyNumberFormat="1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F9000"/>
      <rgbColor rgb="FF800080"/>
      <rgbColor rgb="FF008080"/>
      <rgbColor rgb="FFDCB7B6"/>
      <rgbColor rgb="FF808080"/>
      <rgbColor rgb="FF9999FF"/>
      <rgbColor rgb="FFAA433F"/>
      <rgbColor rgb="FFFFF2CC"/>
      <rgbColor rgb="FFEAF1FA"/>
      <rgbColor rgb="FF660066"/>
      <rgbColor rgb="FFCC8F8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BE7B2"/>
      <rgbColor rgb="FFF9F9F9"/>
      <rgbColor rgb="FFFF99CC"/>
      <rgbColor rgb="FFCC99FF"/>
      <rgbColor rgb="FFF2F2F2"/>
      <rgbColor rgb="FF3366FF"/>
      <rgbColor rgb="FF4BACC6"/>
      <rgbColor rgb="FF9BBB59"/>
      <rgbColor rgb="FFFFCC00"/>
      <rgbColor rgb="FFC9A227"/>
      <rgbColor rgb="FFFF6600"/>
      <rgbColor rgb="FF8064A2"/>
      <rgbColor rgb="FF878787"/>
      <rgbColor rgb="FF13294B"/>
      <rgbColor rgb="FF70AD47"/>
      <rgbColor rgb="FF003300"/>
      <rgbColor rgb="FF333300"/>
      <rgbColor rgb="FFC0504D"/>
      <rgbColor rgb="FFBE4B48"/>
      <rgbColor rgb="FF2E5496"/>
      <rgbColor rgb="FF44546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Net Revenue by Year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549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Summary'!$C$4:$G$4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'Annual Summary'!$C$9</c:f>
              <c:numCache>
                <c:formatCode>\₹#,##0;"(₹"#,##0\);\-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D1-4F91-8232-BB447985426B}"/>
            </c:ext>
          </c:extLst>
        </c:ser>
        <c:ser>
          <c:idx val="1"/>
          <c:order val="1"/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Summary'!$C$4:$G$4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'Annual Summary'!$D$9</c:f>
              <c:numCache>
                <c:formatCode>\₹#,##0;"(₹"#,##0\);\-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D1-4F91-8232-BB447985426B}"/>
            </c:ext>
          </c:extLst>
        </c:ser>
        <c:ser>
          <c:idx val="2"/>
          <c:order val="2"/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Summary'!$C$4:$G$4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'Annual Summary'!$E$9</c:f>
              <c:numCache>
                <c:formatCode>\₹#,##0;"(₹"#,##0\);\-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D1-4F91-8232-BB447985426B}"/>
            </c:ext>
          </c:extLst>
        </c:ser>
        <c:ser>
          <c:idx val="3"/>
          <c:order val="3"/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Summary'!$C$4:$G$4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'Annual Summary'!$F$9</c:f>
              <c:numCache>
                <c:formatCode>\₹#,##0;"(₹"#,##0\);\-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D1-4F91-8232-BB447985426B}"/>
            </c:ext>
          </c:extLst>
        </c:ser>
        <c:ser>
          <c:idx val="4"/>
          <c:order val="4"/>
          <c:spPr>
            <a:solidFill>
              <a:srgbClr val="4BACC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Summary'!$C$4:$G$4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'Annual Summary'!$G$9</c:f>
              <c:numCache>
                <c:formatCode>\₹#,##0;"(₹"#,##0\);\-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D1-4F91-8232-BB4479854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98835"/>
        <c:axId val="33514602"/>
      </c:barChart>
      <c:catAx>
        <c:axId val="160988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514602"/>
        <c:crosses val="autoZero"/>
        <c:auto val="1"/>
        <c:lblAlgn val="ctr"/>
        <c:lblOffset val="100"/>
        <c:noMultiLvlLbl val="0"/>
      </c:catAx>
      <c:valAx>
        <c:axId val="335146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;&quot;(₹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0988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PAT by Year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9A22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Summary'!$C$4:$G$4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'Annual Summary'!$C$21</c:f>
              <c:numCache>
                <c:formatCode>\₹#,##0;"(₹"#,##0\);\-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23-4AF9-9CE3-B9D56478B58B}"/>
            </c:ext>
          </c:extLst>
        </c:ser>
        <c:ser>
          <c:idx val="1"/>
          <c:order val="1"/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Summary'!$C$4:$G$4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'Annual Summary'!$D$21</c:f>
              <c:numCache>
                <c:formatCode>\₹#,##0;"(₹"#,##0\);\-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23-4AF9-9CE3-B9D56478B58B}"/>
            </c:ext>
          </c:extLst>
        </c:ser>
        <c:ser>
          <c:idx val="2"/>
          <c:order val="2"/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Summary'!$C$4:$G$4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'Annual Summary'!$E$21</c:f>
              <c:numCache>
                <c:formatCode>\₹#,##0;"(₹"#,##0\);\-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23-4AF9-9CE3-B9D56478B58B}"/>
            </c:ext>
          </c:extLst>
        </c:ser>
        <c:ser>
          <c:idx val="3"/>
          <c:order val="3"/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Summary'!$C$4:$G$4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'Annual Summary'!$F$21</c:f>
              <c:numCache>
                <c:formatCode>\₹#,##0;"(₹"#,##0\);\-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23-4AF9-9CE3-B9D56478B58B}"/>
            </c:ext>
          </c:extLst>
        </c:ser>
        <c:ser>
          <c:idx val="4"/>
          <c:order val="4"/>
          <c:spPr>
            <a:solidFill>
              <a:srgbClr val="4BACC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Summary'!$C$4:$G$4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'Annual Summary'!$G$21</c:f>
              <c:numCache>
                <c:formatCode>\₹#,##0;"(₹"#,##0\);\-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23-4AF9-9CE3-B9D56478B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382889"/>
        <c:axId val="57852016"/>
      </c:barChart>
      <c:catAx>
        <c:axId val="243828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852016"/>
        <c:crosses val="autoZero"/>
        <c:auto val="1"/>
        <c:lblAlgn val="ctr"/>
        <c:lblOffset val="100"/>
        <c:noMultiLvlLbl val="0"/>
      </c:catAx>
      <c:valAx>
        <c:axId val="578520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;&quot;(₹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3828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EBITDA Margin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080">
              <a:solidFill>
                <a:srgbClr val="13294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Summary'!$C$4:$G$4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'Annual Summary'!$C$15</c:f>
              <c:numCache>
                <c:formatCode>0.0%;\(0.0%\);\-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6A3-478C-8FF4-5D16016AFEE5}"/>
            </c:ext>
          </c:extLst>
        </c:ser>
        <c:ser>
          <c:idx val="1"/>
          <c:order val="1"/>
          <c:spPr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Summary'!$C$4:$G$4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'Annual Summary'!$D$15</c:f>
              <c:numCache>
                <c:formatCode>0.0%;\(0.0%\);\-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6A3-478C-8FF4-5D16016AFEE5}"/>
            </c:ext>
          </c:extLst>
        </c:ser>
        <c:ser>
          <c:idx val="2"/>
          <c:order val="2"/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Summary'!$C$4:$G$4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'Annual Summary'!$E$15</c:f>
              <c:numCache>
                <c:formatCode>0.0%;\(0.0%\);\-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6A3-478C-8FF4-5D16016AFEE5}"/>
            </c:ext>
          </c:extLst>
        </c:ser>
        <c:ser>
          <c:idx val="3"/>
          <c:order val="3"/>
          <c:spPr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Summary'!$C$4:$G$4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'Annual Summary'!$F$15</c:f>
              <c:numCache>
                <c:formatCode>0.0%;\(0.0%\);\-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6A3-478C-8FF4-5D16016AFEE5}"/>
            </c:ext>
          </c:extLst>
        </c:ser>
        <c:ser>
          <c:idx val="4"/>
          <c:order val="4"/>
          <c:spPr>
            <a:ln w="47520">
              <a:solidFill>
                <a:srgbClr val="DCB7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Summary'!$C$4:$G$4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'Annual Summary'!$G$15</c:f>
              <c:numCache>
                <c:formatCode>0.0%;\(0.0%\);\-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D6A3-478C-8FF4-5D16016AF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0333276"/>
        <c:axId val="20604132"/>
      </c:lineChart>
      <c:catAx>
        <c:axId val="703332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604132"/>
        <c:crosses val="autoZero"/>
        <c:auto val="1"/>
        <c:lblAlgn val="ctr"/>
        <c:lblOffset val="100"/>
        <c:noMultiLvlLbl val="0"/>
      </c:catAx>
      <c:valAx>
        <c:axId val="206041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;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3332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Saleable Production (units)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Summary'!$C$4:$G$4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'Annual Summary'!$C$7</c:f>
              <c:numCache>
                <c:formatCode>#,##0;\(#,##0\);\-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30-4F2B-847D-4A33F64F87DB}"/>
            </c:ext>
          </c:extLst>
        </c:ser>
        <c:ser>
          <c:idx val="1"/>
          <c:order val="1"/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Summary'!$C$4:$G$4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'Annual Summary'!$D$7</c:f>
              <c:numCache>
                <c:formatCode>#,##0;\(#,##0\);\-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30-4F2B-847D-4A33F64F87DB}"/>
            </c:ext>
          </c:extLst>
        </c:ser>
        <c:ser>
          <c:idx val="2"/>
          <c:order val="2"/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Summary'!$C$4:$G$4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'Annual Summary'!$E$7</c:f>
              <c:numCache>
                <c:formatCode>#,##0;\(#,##0\);\-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30-4F2B-847D-4A33F64F87DB}"/>
            </c:ext>
          </c:extLst>
        </c:ser>
        <c:ser>
          <c:idx val="3"/>
          <c:order val="3"/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Summary'!$C$4:$G$4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'Annual Summary'!$F$7</c:f>
              <c:numCache>
                <c:formatCode>#,##0;\(#,##0\);\-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30-4F2B-847D-4A33F64F87DB}"/>
            </c:ext>
          </c:extLst>
        </c:ser>
        <c:ser>
          <c:idx val="4"/>
          <c:order val="4"/>
          <c:spPr>
            <a:solidFill>
              <a:srgbClr val="4BACC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Summary'!$C$4:$G$4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'Annual Summary'!$G$7</c:f>
              <c:numCache>
                <c:formatCode>#,##0;\(#,##0\);\-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30-4F2B-847D-4A33F64F8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540488"/>
        <c:axId val="45005343"/>
      </c:barChart>
      <c:catAx>
        <c:axId val="45540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005343"/>
        <c:crosses val="autoZero"/>
        <c:auto val="1"/>
        <c:lblAlgn val="ctr"/>
        <c:lblOffset val="100"/>
        <c:noMultiLvlLbl val="0"/>
      </c:catAx>
      <c:valAx>
        <c:axId val="450053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5404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0</xdr:rowOff>
    </xdr:from>
    <xdr:to>
      <xdr:col>4</xdr:col>
      <xdr:colOff>975240</xdr:colOff>
      <xdr:row>33</xdr:row>
      <xdr:rowOff>136440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22</xdr:row>
      <xdr:rowOff>0</xdr:rowOff>
    </xdr:from>
    <xdr:to>
      <xdr:col>9</xdr:col>
      <xdr:colOff>152280</xdr:colOff>
      <xdr:row>33</xdr:row>
      <xdr:rowOff>136440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36</xdr:row>
      <xdr:rowOff>0</xdr:rowOff>
    </xdr:from>
    <xdr:to>
      <xdr:col>4</xdr:col>
      <xdr:colOff>975240</xdr:colOff>
      <xdr:row>47</xdr:row>
      <xdr:rowOff>136080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0</xdr:colOff>
      <xdr:row>36</xdr:row>
      <xdr:rowOff>0</xdr:rowOff>
    </xdr:from>
    <xdr:to>
      <xdr:col>9</xdr:col>
      <xdr:colOff>152280</xdr:colOff>
      <xdr:row>47</xdr:row>
      <xdr:rowOff>136080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3294B"/>
  </sheetPr>
  <dimension ref="B1:D39"/>
  <sheetViews>
    <sheetView showGridLines="0" zoomScaleNormal="100" workbookViewId="0"/>
  </sheetViews>
  <sheetFormatPr defaultColWidth="8.7109375" defaultRowHeight="15" x14ac:dyDescent="0.25"/>
  <cols>
    <col min="1" max="1" width="4" customWidth="1"/>
    <col min="2" max="4" width="30" customWidth="1"/>
    <col min="5" max="5" width="4" customWidth="1"/>
  </cols>
  <sheetData>
    <row r="1" spans="2:4" ht="19.5" customHeight="1" x14ac:dyDescent="0.25"/>
    <row r="2" spans="2:4" ht="45.75" customHeight="1" x14ac:dyDescent="0.25">
      <c r="B2" s="14" t="s">
        <v>0</v>
      </c>
      <c r="C2" s="14"/>
      <c r="D2" s="14"/>
    </row>
    <row r="3" spans="2:4" ht="19.5" customHeight="1" x14ac:dyDescent="0.25">
      <c r="B3" s="13" t="s">
        <v>1</v>
      </c>
      <c r="C3" s="13"/>
      <c r="D3" s="13"/>
    </row>
    <row r="4" spans="2:4" ht="19.5" customHeight="1" x14ac:dyDescent="0.25"/>
    <row r="5" spans="2:4" ht="30" customHeight="1" x14ac:dyDescent="0.25">
      <c r="B5" s="12" t="str">
        <f>IF(Assumptions!$D$6="","[ Company / Project Name ]",Assumptions!$D$6)</f>
        <v>[ Company / Project Name ]</v>
      </c>
      <c r="C5" s="12"/>
      <c r="D5" s="12"/>
    </row>
    <row r="6" spans="2:4" ht="19.5" customHeight="1" x14ac:dyDescent="0.25">
      <c r="B6" s="11" t="str">
        <f>IF(Assumptions!$D$7="","[ Plant Location ]",Assumptions!$D$7)</f>
        <v>[ Plant Location ]</v>
      </c>
      <c r="C6" s="11"/>
      <c r="D6" s="11"/>
    </row>
    <row r="7" spans="2:4" ht="19.5" customHeight="1" x14ac:dyDescent="0.25">
      <c r="B7" s="11" t="str">
        <f>IF(Assumptions!$D$8="","[ Product / Description ]",Assumptions!$D$8)</f>
        <v>[ Product / Description ]</v>
      </c>
      <c r="C7" s="11"/>
      <c r="D7" s="11"/>
    </row>
    <row r="8" spans="2:4" ht="19.5" customHeight="1" x14ac:dyDescent="0.25"/>
    <row r="9" spans="2:4" ht="25.5" customHeight="1" x14ac:dyDescent="0.25">
      <c r="B9" s="10" t="s">
        <v>2</v>
      </c>
      <c r="C9" s="10"/>
      <c r="D9" s="10"/>
    </row>
    <row r="10" spans="2:4" ht="19.5" customHeight="1" x14ac:dyDescent="0.25"/>
    <row r="11" spans="2:4" ht="19.5" customHeight="1" x14ac:dyDescent="0.25">
      <c r="B11" s="9" t="s">
        <v>3</v>
      </c>
      <c r="C11" s="9"/>
      <c r="D11" s="9"/>
    </row>
    <row r="12" spans="2:4" ht="19.5" customHeight="1" x14ac:dyDescent="0.25">
      <c r="B12" s="8" t="s">
        <v>4</v>
      </c>
      <c r="C12" s="8"/>
      <c r="D12" s="15">
        <f>'Investment &amp; ROI'!D12</f>
        <v>0</v>
      </c>
    </row>
    <row r="13" spans="2:4" ht="19.5" customHeight="1" x14ac:dyDescent="0.25">
      <c r="B13" s="8" t="s">
        <v>5</v>
      </c>
      <c r="C13" s="8"/>
      <c r="D13" s="15">
        <f>Assumptions!$D$59</f>
        <v>0</v>
      </c>
    </row>
    <row r="14" spans="2:4" ht="19.5" customHeight="1" x14ac:dyDescent="0.25">
      <c r="B14" s="8" t="s">
        <v>6</v>
      </c>
      <c r="C14" s="8"/>
      <c r="D14" s="16">
        <f>Assumptions!$D$62</f>
        <v>0</v>
      </c>
    </row>
    <row r="15" spans="2:4" ht="19.5" customHeight="1" x14ac:dyDescent="0.25">
      <c r="B15" s="8" t="s">
        <v>7</v>
      </c>
      <c r="C15" s="8"/>
      <c r="D15" s="15">
        <f>'Annual Summary'!H9</f>
        <v>0</v>
      </c>
    </row>
    <row r="16" spans="2:4" ht="19.5" customHeight="1" x14ac:dyDescent="0.25">
      <c r="B16" s="8" t="s">
        <v>8</v>
      </c>
      <c r="C16" s="8"/>
      <c r="D16" s="15">
        <f>'Annual Summary'!H21</f>
        <v>0</v>
      </c>
    </row>
    <row r="17" spans="2:4" ht="19.5" customHeight="1" x14ac:dyDescent="0.25">
      <c r="B17" s="8" t="s">
        <v>9</v>
      </c>
      <c r="C17" s="8"/>
      <c r="D17" s="16">
        <f>'Investment &amp; ROI'!D26</f>
        <v>0</v>
      </c>
    </row>
    <row r="18" spans="2:4" ht="19.5" customHeight="1" x14ac:dyDescent="0.25">
      <c r="B18" s="8" t="s">
        <v>10</v>
      </c>
      <c r="C18" s="8"/>
      <c r="D18" s="16">
        <f>'Investment &amp; ROI'!D31</f>
        <v>0</v>
      </c>
    </row>
    <row r="19" spans="2:4" ht="19.5" customHeight="1" x14ac:dyDescent="0.25">
      <c r="B19" s="8" t="s">
        <v>11</v>
      </c>
      <c r="C19" s="8"/>
      <c r="D19" s="17">
        <f>'Investment &amp; ROI'!D44</f>
        <v>0</v>
      </c>
    </row>
    <row r="20" spans="2:4" ht="19.5" customHeight="1" x14ac:dyDescent="0.25"/>
    <row r="21" spans="2:4" ht="19.5" customHeight="1" x14ac:dyDescent="0.25">
      <c r="B21" s="9" t="s">
        <v>12</v>
      </c>
      <c r="C21" s="9"/>
      <c r="D21" s="9"/>
    </row>
    <row r="22" spans="2:4" ht="19.5" customHeight="1" x14ac:dyDescent="0.25">
      <c r="B22" s="18" t="s">
        <v>13</v>
      </c>
      <c r="C22" s="7" t="s">
        <v>14</v>
      </c>
      <c r="D22" s="7"/>
    </row>
    <row r="23" spans="2:4" ht="19.5" customHeight="1" x14ac:dyDescent="0.25">
      <c r="B23" s="18" t="s">
        <v>15</v>
      </c>
      <c r="C23" s="7" t="s">
        <v>16</v>
      </c>
      <c r="D23" s="7"/>
    </row>
    <row r="24" spans="2:4" ht="19.5" customHeight="1" x14ac:dyDescent="0.25">
      <c r="B24" s="18" t="s">
        <v>17</v>
      </c>
      <c r="C24" s="7" t="s">
        <v>18</v>
      </c>
      <c r="D24" s="7"/>
    </row>
    <row r="25" spans="2:4" ht="19.5" customHeight="1" x14ac:dyDescent="0.25">
      <c r="B25" s="18" t="s">
        <v>19</v>
      </c>
      <c r="C25" s="7" t="s">
        <v>20</v>
      </c>
      <c r="D25" s="7"/>
    </row>
    <row r="26" spans="2:4" ht="19.5" customHeight="1" x14ac:dyDescent="0.25">
      <c r="B26" s="18" t="s">
        <v>21</v>
      </c>
      <c r="C26" s="7" t="s">
        <v>22</v>
      </c>
      <c r="D26" s="7"/>
    </row>
    <row r="27" spans="2:4" ht="19.5" customHeight="1" x14ac:dyDescent="0.25">
      <c r="B27" s="18" t="s">
        <v>23</v>
      </c>
      <c r="C27" s="7" t="s">
        <v>24</v>
      </c>
      <c r="D27" s="7"/>
    </row>
    <row r="28" spans="2:4" ht="19.5" customHeight="1" x14ac:dyDescent="0.25">
      <c r="B28" s="18" t="s">
        <v>25</v>
      </c>
      <c r="C28" s="7" t="s">
        <v>26</v>
      </c>
      <c r="D28" s="7"/>
    </row>
    <row r="29" spans="2:4" ht="19.5" customHeight="1" x14ac:dyDescent="0.25">
      <c r="B29" s="18" t="s">
        <v>27</v>
      </c>
      <c r="C29" s="7" t="s">
        <v>28</v>
      </c>
      <c r="D29" s="7"/>
    </row>
    <row r="30" spans="2:4" ht="19.5" customHeight="1" x14ac:dyDescent="0.25">
      <c r="B30" s="18" t="s">
        <v>29</v>
      </c>
      <c r="C30" s="7" t="s">
        <v>30</v>
      </c>
      <c r="D30" s="7"/>
    </row>
    <row r="31" spans="2:4" ht="19.5" customHeight="1" x14ac:dyDescent="0.25"/>
    <row r="32" spans="2:4" ht="19.5" customHeight="1" x14ac:dyDescent="0.25">
      <c r="B32" s="6" t="s">
        <v>31</v>
      </c>
      <c r="C32" s="6"/>
      <c r="D32" s="6"/>
    </row>
    <row r="33" spans="2:4" ht="19.5" customHeight="1" x14ac:dyDescent="0.25">
      <c r="B33" s="6"/>
      <c r="C33" s="6"/>
      <c r="D33" s="6"/>
    </row>
    <row r="34" spans="2:4" ht="19.5" customHeight="1" x14ac:dyDescent="0.25">
      <c r="B34" s="6"/>
      <c r="C34" s="6"/>
      <c r="D34" s="6"/>
    </row>
    <row r="35" spans="2:4" ht="19.5" customHeight="1" x14ac:dyDescent="0.25"/>
    <row r="36" spans="2:4" ht="19.5" customHeight="1" x14ac:dyDescent="0.25"/>
    <row r="37" spans="2:4" ht="19.5" customHeight="1" x14ac:dyDescent="0.25"/>
    <row r="38" spans="2:4" ht="19.5" customHeight="1" x14ac:dyDescent="0.25"/>
    <row r="39" spans="2:4" ht="19.5" customHeight="1" x14ac:dyDescent="0.25"/>
  </sheetData>
  <mergeCells count="26">
    <mergeCell ref="B32:D34"/>
    <mergeCell ref="C26:D26"/>
    <mergeCell ref="C27:D27"/>
    <mergeCell ref="C28:D28"/>
    <mergeCell ref="C29:D29"/>
    <mergeCell ref="C30:D30"/>
    <mergeCell ref="B21:D21"/>
    <mergeCell ref="C22:D22"/>
    <mergeCell ref="C23:D23"/>
    <mergeCell ref="C24:D24"/>
    <mergeCell ref="C25:D25"/>
    <mergeCell ref="B15:C15"/>
    <mergeCell ref="B16:C16"/>
    <mergeCell ref="B17:C17"/>
    <mergeCell ref="B18:C18"/>
    <mergeCell ref="B19:C19"/>
    <mergeCell ref="B9:D9"/>
    <mergeCell ref="B11:D11"/>
    <mergeCell ref="B12:C12"/>
    <mergeCell ref="B13:C13"/>
    <mergeCell ref="B14:C14"/>
    <mergeCell ref="B2:D2"/>
    <mergeCell ref="B3:D3"/>
    <mergeCell ref="B5:D5"/>
    <mergeCell ref="B6:D6"/>
    <mergeCell ref="B7:D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F9000"/>
  </sheetPr>
  <dimension ref="A1:I65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I63" sqref="I63:I65"/>
    </sheetView>
  </sheetViews>
  <sheetFormatPr defaultColWidth="8.7109375" defaultRowHeight="15" x14ac:dyDescent="0.25"/>
  <cols>
    <col min="1" max="1" width="3" customWidth="1"/>
    <col min="2" max="2" width="46" customWidth="1"/>
    <col min="3" max="3" width="16" customWidth="1"/>
    <col min="4" max="8" width="15" customWidth="1"/>
    <col min="9" max="9" width="44" customWidth="1"/>
  </cols>
  <sheetData>
    <row r="1" spans="1:9" ht="39.75" customHeight="1" x14ac:dyDescent="0.25">
      <c r="A1" s="5" t="s">
        <v>32</v>
      </c>
      <c r="B1" s="5"/>
      <c r="C1" s="5"/>
      <c r="D1" s="5"/>
      <c r="E1" s="5"/>
      <c r="F1" s="5"/>
      <c r="G1" s="5"/>
      <c r="H1" s="5"/>
      <c r="I1" s="5"/>
    </row>
    <row r="2" spans="1:9" ht="19.5" customHeight="1" x14ac:dyDescent="0.25">
      <c r="A2" s="4" t="s">
        <v>33</v>
      </c>
      <c r="B2" s="4"/>
      <c r="C2" s="4"/>
      <c r="D2" s="4"/>
      <c r="E2" s="4"/>
      <c r="F2" s="4"/>
      <c r="G2" s="4"/>
      <c r="H2" s="4"/>
      <c r="I2" s="4"/>
    </row>
    <row r="4" spans="1:9" x14ac:dyDescent="0.25">
      <c r="B4" s="19" t="s">
        <v>34</v>
      </c>
      <c r="C4" s="20" t="s">
        <v>35</v>
      </c>
      <c r="D4" s="20" t="s">
        <v>36</v>
      </c>
      <c r="E4" s="20" t="s">
        <v>37</v>
      </c>
      <c r="F4" s="20" t="s">
        <v>38</v>
      </c>
      <c r="G4" s="20" t="s">
        <v>39</v>
      </c>
      <c r="H4" s="20" t="s">
        <v>40</v>
      </c>
      <c r="I4" s="19" t="s">
        <v>41</v>
      </c>
    </row>
    <row r="5" spans="1:9" ht="21.75" customHeight="1" x14ac:dyDescent="0.25">
      <c r="A5" s="9" t="s">
        <v>42</v>
      </c>
      <c r="B5" s="9"/>
      <c r="C5" s="9"/>
      <c r="D5" s="9"/>
      <c r="E5" s="9"/>
      <c r="F5" s="9"/>
      <c r="G5" s="9"/>
      <c r="H5" s="9"/>
      <c r="I5" s="9"/>
    </row>
    <row r="6" spans="1:9" x14ac:dyDescent="0.25">
      <c r="B6" s="21" t="s">
        <v>43</v>
      </c>
      <c r="C6" s="22" t="s">
        <v>44</v>
      </c>
      <c r="D6" s="23"/>
      <c r="E6" s="24"/>
      <c r="F6" s="24"/>
      <c r="G6" s="24"/>
      <c r="H6" s="24"/>
      <c r="I6" s="25"/>
    </row>
    <row r="7" spans="1:9" x14ac:dyDescent="0.25">
      <c r="B7" s="21" t="s">
        <v>45</v>
      </c>
      <c r="C7" s="22" t="s">
        <v>44</v>
      </c>
      <c r="D7" s="23"/>
      <c r="E7" s="24"/>
      <c r="F7" s="24"/>
      <c r="G7" s="24"/>
      <c r="H7" s="24"/>
      <c r="I7" s="25"/>
    </row>
    <row r="8" spans="1:9" x14ac:dyDescent="0.25">
      <c r="B8" s="21" t="s">
        <v>46</v>
      </c>
      <c r="C8" s="22" t="s">
        <v>44</v>
      </c>
      <c r="D8" s="23"/>
      <c r="E8" s="24"/>
      <c r="F8" s="24"/>
      <c r="G8" s="24"/>
      <c r="H8" s="24"/>
      <c r="I8" s="25"/>
    </row>
    <row r="9" spans="1:9" x14ac:dyDescent="0.25">
      <c r="B9" s="21" t="s">
        <v>47</v>
      </c>
      <c r="C9" s="22" t="s">
        <v>48</v>
      </c>
      <c r="D9" s="26"/>
      <c r="E9" s="24"/>
      <c r="F9" s="24"/>
      <c r="G9" s="24"/>
      <c r="H9" s="24"/>
      <c r="I9" s="25"/>
    </row>
    <row r="10" spans="1:9" ht="21.75" customHeight="1" x14ac:dyDescent="0.25">
      <c r="A10" s="9" t="s">
        <v>49</v>
      </c>
      <c r="B10" s="9"/>
      <c r="C10" s="9"/>
      <c r="D10" s="9"/>
      <c r="E10" s="9"/>
      <c r="F10" s="9"/>
      <c r="G10" s="9"/>
      <c r="H10" s="9"/>
      <c r="I10" s="9"/>
    </row>
    <row r="11" spans="1:9" x14ac:dyDescent="0.25">
      <c r="B11" s="21" t="s">
        <v>50</v>
      </c>
      <c r="C11" s="22" t="s">
        <v>51</v>
      </c>
      <c r="D11" s="27"/>
      <c r="E11" s="27"/>
      <c r="F11" s="27"/>
      <c r="G11" s="27"/>
      <c r="H11" s="27"/>
      <c r="I11" s="25"/>
    </row>
    <row r="12" spans="1:9" x14ac:dyDescent="0.25">
      <c r="B12" s="21" t="s">
        <v>52</v>
      </c>
      <c r="C12" s="22" t="s">
        <v>53</v>
      </c>
      <c r="D12" s="28"/>
      <c r="E12" s="28"/>
      <c r="F12" s="28"/>
      <c r="G12" s="28"/>
      <c r="H12" s="28"/>
      <c r="I12" s="25"/>
    </row>
    <row r="13" spans="1:9" x14ac:dyDescent="0.25">
      <c r="B13" s="21" t="s">
        <v>54</v>
      </c>
      <c r="C13" s="22" t="s">
        <v>53</v>
      </c>
      <c r="D13" s="28"/>
      <c r="E13" s="24"/>
      <c r="F13" s="24"/>
      <c r="G13" s="24"/>
      <c r="H13" s="24"/>
      <c r="I13" s="25"/>
    </row>
    <row r="14" spans="1:9" ht="21.75" customHeight="1" x14ac:dyDescent="0.25">
      <c r="A14" s="9" t="s">
        <v>55</v>
      </c>
      <c r="B14" s="9"/>
      <c r="C14" s="9"/>
      <c r="D14" s="9"/>
      <c r="E14" s="9"/>
      <c r="F14" s="9"/>
      <c r="G14" s="9"/>
      <c r="H14" s="9"/>
      <c r="I14" s="9"/>
    </row>
    <row r="15" spans="1:9" x14ac:dyDescent="0.25">
      <c r="B15" s="21" t="s">
        <v>56</v>
      </c>
      <c r="C15" s="22" t="s">
        <v>57</v>
      </c>
      <c r="D15" s="28"/>
      <c r="E15" s="24"/>
      <c r="F15" s="24"/>
      <c r="G15" s="24"/>
      <c r="H15" s="24"/>
      <c r="I15" s="25"/>
    </row>
    <row r="16" spans="1:9" x14ac:dyDescent="0.25">
      <c r="B16" s="21" t="s">
        <v>58</v>
      </c>
      <c r="C16" s="22" t="s">
        <v>59</v>
      </c>
      <c r="D16" s="29"/>
      <c r="E16" s="29"/>
      <c r="F16" s="29"/>
      <c r="G16" s="29"/>
      <c r="H16" s="29"/>
      <c r="I16" s="25"/>
    </row>
    <row r="17" spans="1:9" x14ac:dyDescent="0.25">
      <c r="B17" s="21" t="s">
        <v>60</v>
      </c>
      <c r="C17" s="22" t="s">
        <v>61</v>
      </c>
      <c r="D17" s="28"/>
      <c r="E17" s="24"/>
      <c r="F17" s="24"/>
      <c r="G17" s="24"/>
      <c r="H17" s="24"/>
      <c r="I17" s="25"/>
    </row>
    <row r="18" spans="1:9" ht="21.75" customHeight="1" x14ac:dyDescent="0.25">
      <c r="A18" s="9" t="s">
        <v>62</v>
      </c>
      <c r="B18" s="9"/>
      <c r="C18" s="9"/>
      <c r="D18" s="9"/>
      <c r="E18" s="9"/>
      <c r="F18" s="9"/>
      <c r="G18" s="9"/>
      <c r="H18" s="9"/>
      <c r="I18" s="9"/>
    </row>
    <row r="19" spans="1:9" x14ac:dyDescent="0.25">
      <c r="B19" s="21" t="s">
        <v>63</v>
      </c>
      <c r="C19" s="22" t="s">
        <v>59</v>
      </c>
      <c r="D19" s="29"/>
      <c r="E19" s="29"/>
      <c r="F19" s="29"/>
      <c r="G19" s="29"/>
      <c r="H19" s="29"/>
      <c r="I19" s="25"/>
    </row>
    <row r="20" spans="1:9" x14ac:dyDescent="0.25">
      <c r="B20" s="21" t="s">
        <v>64</v>
      </c>
      <c r="C20" s="22" t="s">
        <v>59</v>
      </c>
      <c r="D20" s="29"/>
      <c r="E20" s="24"/>
      <c r="F20" s="24"/>
      <c r="G20" s="24"/>
      <c r="H20" s="24"/>
      <c r="I20" s="25"/>
    </row>
    <row r="21" spans="1:9" x14ac:dyDescent="0.25">
      <c r="B21" s="21" t="s">
        <v>65</v>
      </c>
      <c r="C21" s="22" t="s">
        <v>59</v>
      </c>
      <c r="D21" s="29"/>
      <c r="E21" s="24"/>
      <c r="F21" s="24"/>
      <c r="G21" s="24"/>
      <c r="H21" s="24"/>
      <c r="I21" s="25"/>
    </row>
    <row r="22" spans="1:9" x14ac:dyDescent="0.25">
      <c r="B22" s="21" t="s">
        <v>66</v>
      </c>
      <c r="C22" s="22" t="s">
        <v>59</v>
      </c>
      <c r="D22" s="29"/>
      <c r="E22" s="24"/>
      <c r="F22" s="24"/>
      <c r="G22" s="24"/>
      <c r="H22" s="24"/>
      <c r="I22" s="25"/>
    </row>
    <row r="23" spans="1:9" ht="21.75" customHeight="1" x14ac:dyDescent="0.25">
      <c r="A23" s="9" t="s">
        <v>67</v>
      </c>
      <c r="B23" s="9"/>
      <c r="C23" s="9"/>
      <c r="D23" s="9"/>
      <c r="E23" s="9"/>
      <c r="F23" s="9"/>
      <c r="G23" s="9"/>
      <c r="H23" s="9"/>
      <c r="I23" s="9"/>
    </row>
    <row r="24" spans="1:9" x14ac:dyDescent="0.25">
      <c r="B24" s="21" t="s">
        <v>68</v>
      </c>
      <c r="C24" s="22" t="s">
        <v>69</v>
      </c>
      <c r="D24" s="30"/>
      <c r="E24" s="30"/>
      <c r="F24" s="30"/>
      <c r="G24" s="30"/>
      <c r="H24" s="30"/>
      <c r="I24" s="25"/>
    </row>
    <row r="25" spans="1:9" x14ac:dyDescent="0.25">
      <c r="B25" s="21" t="s">
        <v>70</v>
      </c>
      <c r="C25" s="22" t="s">
        <v>69</v>
      </c>
      <c r="D25" s="30"/>
      <c r="E25" s="24"/>
      <c r="F25" s="24"/>
      <c r="G25" s="24"/>
      <c r="H25" s="24"/>
      <c r="I25" s="25"/>
    </row>
    <row r="26" spans="1:9" x14ac:dyDescent="0.25">
      <c r="B26" s="21" t="s">
        <v>71</v>
      </c>
      <c r="C26" s="22" t="s">
        <v>69</v>
      </c>
      <c r="D26" s="30"/>
      <c r="E26" s="24"/>
      <c r="F26" s="24"/>
      <c r="G26" s="24"/>
      <c r="H26" s="24"/>
      <c r="I26" s="25"/>
    </row>
    <row r="27" spans="1:9" x14ac:dyDescent="0.25">
      <c r="B27" s="21" t="s">
        <v>72</v>
      </c>
      <c r="C27" s="22" t="s">
        <v>69</v>
      </c>
      <c r="D27" s="30"/>
      <c r="E27" s="24"/>
      <c r="F27" s="24"/>
      <c r="G27" s="24"/>
      <c r="H27" s="24"/>
      <c r="I27" s="25"/>
    </row>
    <row r="28" spans="1:9" x14ac:dyDescent="0.25">
      <c r="B28" s="21" t="s">
        <v>73</v>
      </c>
      <c r="C28" s="22" t="s">
        <v>69</v>
      </c>
      <c r="D28" s="30"/>
      <c r="E28" s="24"/>
      <c r="F28" s="24"/>
      <c r="G28" s="24"/>
      <c r="H28" s="24"/>
      <c r="I28" s="25"/>
    </row>
    <row r="29" spans="1:9" ht="21.75" customHeight="1" x14ac:dyDescent="0.25">
      <c r="A29" s="9" t="s">
        <v>74</v>
      </c>
      <c r="B29" s="9"/>
      <c r="C29" s="9"/>
      <c r="D29" s="9"/>
      <c r="E29" s="9"/>
      <c r="F29" s="9"/>
      <c r="G29" s="9"/>
      <c r="H29" s="9"/>
      <c r="I29" s="9"/>
    </row>
    <row r="30" spans="1:9" x14ac:dyDescent="0.25">
      <c r="B30" s="21" t="s">
        <v>75</v>
      </c>
      <c r="C30" s="22" t="s">
        <v>69</v>
      </c>
      <c r="D30" s="30"/>
      <c r="E30" s="24"/>
      <c r="F30" s="24"/>
      <c r="G30" s="24"/>
      <c r="H30" s="24"/>
      <c r="I30" s="25"/>
    </row>
    <row r="31" spans="1:9" x14ac:dyDescent="0.25">
      <c r="B31" s="21" t="s">
        <v>76</v>
      </c>
      <c r="C31" s="22" t="s">
        <v>77</v>
      </c>
      <c r="D31" s="28"/>
      <c r="E31" s="24"/>
      <c r="F31" s="24"/>
      <c r="G31" s="24"/>
      <c r="H31" s="24"/>
      <c r="I31" s="25"/>
    </row>
    <row r="32" spans="1:9" x14ac:dyDescent="0.25">
      <c r="B32" s="21" t="s">
        <v>78</v>
      </c>
      <c r="C32" s="22" t="s">
        <v>77</v>
      </c>
      <c r="D32" s="28"/>
      <c r="E32" s="24"/>
      <c r="F32" s="24"/>
      <c r="G32" s="24"/>
      <c r="H32" s="24"/>
      <c r="I32" s="25"/>
    </row>
    <row r="33" spans="1:9" x14ac:dyDescent="0.25">
      <c r="B33" s="21" t="s">
        <v>79</v>
      </c>
      <c r="C33" s="22" t="s">
        <v>69</v>
      </c>
      <c r="D33" s="30"/>
      <c r="E33" s="24"/>
      <c r="F33" s="24"/>
      <c r="G33" s="24"/>
      <c r="H33" s="24"/>
      <c r="I33" s="25"/>
    </row>
    <row r="34" spans="1:9" x14ac:dyDescent="0.25">
      <c r="B34" s="21" t="s">
        <v>80</v>
      </c>
      <c r="C34" s="22" t="s">
        <v>69</v>
      </c>
      <c r="D34" s="30"/>
      <c r="E34" s="24"/>
      <c r="F34" s="24"/>
      <c r="G34" s="24"/>
      <c r="H34" s="24"/>
      <c r="I34" s="25"/>
    </row>
    <row r="35" spans="1:9" x14ac:dyDescent="0.25">
      <c r="B35" s="21" t="s">
        <v>81</v>
      </c>
      <c r="C35" s="22" t="s">
        <v>69</v>
      </c>
      <c r="D35" s="30"/>
      <c r="E35" s="24"/>
      <c r="F35" s="24"/>
      <c r="G35" s="24"/>
      <c r="H35" s="24"/>
      <c r="I35" s="25"/>
    </row>
    <row r="36" spans="1:9" x14ac:dyDescent="0.25">
      <c r="B36" s="21" t="s">
        <v>82</v>
      </c>
      <c r="C36" s="22" t="s">
        <v>83</v>
      </c>
      <c r="D36" s="28"/>
      <c r="E36" s="24"/>
      <c r="F36" s="24"/>
      <c r="G36" s="24"/>
      <c r="H36" s="24"/>
      <c r="I36" s="25"/>
    </row>
    <row r="37" spans="1:9" ht="21.75" customHeight="1" x14ac:dyDescent="0.25">
      <c r="A37" s="9" t="s">
        <v>84</v>
      </c>
      <c r="B37" s="9"/>
      <c r="C37" s="9"/>
      <c r="D37" s="9"/>
      <c r="E37" s="9"/>
      <c r="F37" s="9"/>
      <c r="G37" s="9"/>
      <c r="H37" s="9"/>
      <c r="I37" s="9"/>
    </row>
    <row r="38" spans="1:9" x14ac:dyDescent="0.25">
      <c r="B38" s="21" t="s">
        <v>85</v>
      </c>
      <c r="C38" s="22" t="s">
        <v>86</v>
      </c>
      <c r="D38" s="31"/>
      <c r="E38" s="24"/>
      <c r="F38" s="24"/>
      <c r="G38" s="24"/>
      <c r="H38" s="24"/>
      <c r="I38" s="25"/>
    </row>
    <row r="39" spans="1:9" x14ac:dyDescent="0.25">
      <c r="B39" s="21" t="s">
        <v>87</v>
      </c>
      <c r="C39" s="22" t="s">
        <v>86</v>
      </c>
      <c r="D39" s="31"/>
      <c r="E39" s="24"/>
      <c r="F39" s="24"/>
      <c r="G39" s="24"/>
      <c r="H39" s="24"/>
      <c r="I39" s="25"/>
    </row>
    <row r="40" spans="1:9" x14ac:dyDescent="0.25">
      <c r="B40" s="21" t="s">
        <v>88</v>
      </c>
      <c r="C40" s="22" t="s">
        <v>86</v>
      </c>
      <c r="D40" s="31"/>
      <c r="E40" s="24"/>
      <c r="F40" s="24"/>
      <c r="G40" s="24"/>
      <c r="H40" s="24"/>
      <c r="I40" s="25"/>
    </row>
    <row r="41" spans="1:9" ht="21.75" customHeight="1" x14ac:dyDescent="0.25">
      <c r="A41" s="9" t="s">
        <v>89</v>
      </c>
      <c r="B41" s="9"/>
      <c r="C41" s="9"/>
      <c r="D41" s="9"/>
      <c r="E41" s="9"/>
      <c r="F41" s="9"/>
      <c r="G41" s="9"/>
      <c r="H41" s="9"/>
      <c r="I41" s="9"/>
    </row>
    <row r="42" spans="1:9" x14ac:dyDescent="0.25">
      <c r="B42" s="21" t="s">
        <v>90</v>
      </c>
      <c r="C42" s="22" t="s">
        <v>83</v>
      </c>
      <c r="D42" s="28"/>
      <c r="E42" s="24"/>
      <c r="F42" s="24"/>
      <c r="G42" s="24"/>
      <c r="H42" s="24"/>
      <c r="I42" s="25"/>
    </row>
    <row r="43" spans="1:9" x14ac:dyDescent="0.25">
      <c r="B43" s="21" t="s">
        <v>91</v>
      </c>
      <c r="C43" s="22" t="s">
        <v>92</v>
      </c>
      <c r="D43" s="32"/>
      <c r="E43" s="24"/>
      <c r="F43" s="24"/>
      <c r="G43" s="24"/>
      <c r="H43" s="24"/>
      <c r="I43" s="25"/>
    </row>
    <row r="44" spans="1:9" x14ac:dyDescent="0.25">
      <c r="B44" s="21" t="s">
        <v>93</v>
      </c>
      <c r="C44" s="22" t="s">
        <v>53</v>
      </c>
      <c r="D44" s="28"/>
      <c r="E44" s="24"/>
      <c r="F44" s="24"/>
      <c r="G44" s="24"/>
      <c r="H44" s="24"/>
      <c r="I44" s="25"/>
    </row>
    <row r="45" spans="1:9" ht="21.75" customHeight="1" x14ac:dyDescent="0.25">
      <c r="A45" s="9" t="s">
        <v>94</v>
      </c>
      <c r="B45" s="9"/>
      <c r="C45" s="9"/>
      <c r="D45" s="9"/>
      <c r="E45" s="9"/>
      <c r="F45" s="9"/>
      <c r="G45" s="9"/>
      <c r="H45" s="9"/>
      <c r="I45" s="9"/>
    </row>
    <row r="46" spans="1:9" x14ac:dyDescent="0.25">
      <c r="B46" s="21" t="s">
        <v>95</v>
      </c>
      <c r="C46" s="22" t="s">
        <v>96</v>
      </c>
      <c r="D46" s="30"/>
      <c r="E46" s="24"/>
      <c r="F46" s="24"/>
      <c r="G46" s="24"/>
      <c r="H46" s="24"/>
      <c r="I46" s="25"/>
    </row>
    <row r="47" spans="1:9" x14ac:dyDescent="0.25">
      <c r="B47" s="21" t="s">
        <v>97</v>
      </c>
      <c r="C47" s="22" t="s">
        <v>96</v>
      </c>
      <c r="D47" s="30"/>
      <c r="E47" s="24"/>
      <c r="F47" s="24"/>
      <c r="G47" s="24"/>
      <c r="H47" s="24"/>
      <c r="I47" s="25"/>
    </row>
    <row r="48" spans="1:9" x14ac:dyDescent="0.25">
      <c r="B48" s="21" t="s">
        <v>98</v>
      </c>
      <c r="C48" s="22" t="s">
        <v>96</v>
      </c>
      <c r="D48" s="30"/>
      <c r="E48" s="24"/>
      <c r="F48" s="24"/>
      <c r="G48" s="24"/>
      <c r="H48" s="24"/>
      <c r="I48" s="25"/>
    </row>
    <row r="49" spans="1:9" x14ac:dyDescent="0.25">
      <c r="B49" s="21" t="s">
        <v>99</v>
      </c>
      <c r="C49" s="22" t="s">
        <v>96</v>
      </c>
      <c r="D49" s="30"/>
      <c r="E49" s="24"/>
      <c r="F49" s="24"/>
      <c r="G49" s="24"/>
      <c r="H49" s="24"/>
      <c r="I49" s="25"/>
    </row>
    <row r="50" spans="1:9" x14ac:dyDescent="0.25">
      <c r="B50" s="21" t="s">
        <v>100</v>
      </c>
      <c r="C50" s="22" t="s">
        <v>96</v>
      </c>
      <c r="D50" s="30"/>
      <c r="E50" s="24"/>
      <c r="F50" s="24"/>
      <c r="G50" s="24"/>
      <c r="H50" s="24"/>
      <c r="I50" s="25"/>
    </row>
    <row r="51" spans="1:9" x14ac:dyDescent="0.25">
      <c r="B51" s="21" t="s">
        <v>101</v>
      </c>
      <c r="C51" s="22" t="s">
        <v>102</v>
      </c>
      <c r="D51" s="28"/>
      <c r="E51" s="24"/>
      <c r="F51" s="24"/>
      <c r="G51" s="24"/>
      <c r="H51" s="24"/>
      <c r="I51" s="25"/>
    </row>
    <row r="52" spans="1:9" x14ac:dyDescent="0.25">
      <c r="B52" s="21" t="s">
        <v>103</v>
      </c>
      <c r="C52" s="22" t="s">
        <v>83</v>
      </c>
      <c r="D52" s="28"/>
      <c r="E52" s="24"/>
      <c r="F52" s="24"/>
      <c r="G52" s="24"/>
      <c r="H52" s="24"/>
      <c r="I52" s="25"/>
    </row>
    <row r="53" spans="1:9" x14ac:dyDescent="0.25">
      <c r="B53" s="21" t="s">
        <v>104</v>
      </c>
      <c r="C53" s="22" t="s">
        <v>83</v>
      </c>
      <c r="D53" s="28"/>
      <c r="E53" s="24"/>
      <c r="F53" s="24"/>
      <c r="G53" s="24"/>
      <c r="H53" s="24"/>
      <c r="I53" s="25"/>
    </row>
    <row r="54" spans="1:9" x14ac:dyDescent="0.25">
      <c r="B54" s="21" t="s">
        <v>105</v>
      </c>
      <c r="C54" s="22" t="s">
        <v>83</v>
      </c>
      <c r="D54" s="28"/>
      <c r="E54" s="24"/>
      <c r="F54" s="24"/>
      <c r="G54" s="24"/>
      <c r="H54" s="24"/>
      <c r="I54" s="25"/>
    </row>
    <row r="55" spans="1:9" x14ac:dyDescent="0.25">
      <c r="B55" s="21" t="s">
        <v>106</v>
      </c>
      <c r="C55" s="22" t="s">
        <v>83</v>
      </c>
      <c r="D55" s="28"/>
      <c r="E55" s="24"/>
      <c r="F55" s="24"/>
      <c r="G55" s="24"/>
      <c r="H55" s="24"/>
      <c r="I55" s="25"/>
    </row>
    <row r="56" spans="1:9" x14ac:dyDescent="0.25">
      <c r="B56" s="21" t="s">
        <v>107</v>
      </c>
      <c r="C56" s="22" t="s">
        <v>92</v>
      </c>
      <c r="D56" s="32"/>
      <c r="E56" s="24"/>
      <c r="F56" s="24"/>
      <c r="G56" s="24"/>
      <c r="H56" s="24"/>
      <c r="I56" s="25"/>
    </row>
    <row r="57" spans="1:9" ht="21.75" customHeight="1" x14ac:dyDescent="0.25">
      <c r="A57" s="9" t="s">
        <v>108</v>
      </c>
      <c r="B57" s="9"/>
      <c r="C57" s="9"/>
      <c r="D57" s="9"/>
      <c r="E57" s="9"/>
      <c r="F57" s="9"/>
      <c r="G57" s="9"/>
      <c r="H57" s="9"/>
      <c r="I57" s="9"/>
    </row>
    <row r="58" spans="1:9" x14ac:dyDescent="0.25">
      <c r="B58" s="21" t="s">
        <v>109</v>
      </c>
      <c r="C58" s="22" t="s">
        <v>96</v>
      </c>
      <c r="D58" s="30"/>
      <c r="E58" s="24"/>
      <c r="F58" s="24"/>
      <c r="G58" s="24"/>
      <c r="H58" s="24"/>
      <c r="I58" s="25"/>
    </row>
    <row r="59" spans="1:9" x14ac:dyDescent="0.25">
      <c r="B59" s="21" t="s">
        <v>110</v>
      </c>
      <c r="C59" s="22" t="s">
        <v>96</v>
      </c>
      <c r="D59" s="30"/>
      <c r="E59" s="24"/>
      <c r="F59" s="24"/>
      <c r="G59" s="24"/>
      <c r="H59" s="24"/>
      <c r="I59" s="25"/>
    </row>
    <row r="60" spans="1:9" x14ac:dyDescent="0.25">
      <c r="B60" s="21" t="s">
        <v>111</v>
      </c>
      <c r="C60" s="22" t="s">
        <v>96</v>
      </c>
      <c r="D60" s="30"/>
      <c r="E60" s="24"/>
      <c r="F60" s="24"/>
      <c r="G60" s="24"/>
      <c r="H60" s="24"/>
      <c r="I60" s="25"/>
    </row>
    <row r="61" spans="1:9" ht="21.75" customHeight="1" x14ac:dyDescent="0.25">
      <c r="A61" s="9" t="s">
        <v>112</v>
      </c>
      <c r="B61" s="9"/>
      <c r="C61" s="9"/>
      <c r="D61" s="9"/>
      <c r="E61" s="9"/>
      <c r="F61" s="9"/>
      <c r="G61" s="9"/>
      <c r="H61" s="9"/>
      <c r="I61" s="9"/>
    </row>
    <row r="62" spans="1:9" x14ac:dyDescent="0.25">
      <c r="B62" s="21" t="s">
        <v>113</v>
      </c>
      <c r="C62" s="22" t="s">
        <v>53</v>
      </c>
      <c r="D62" s="28"/>
      <c r="E62" s="24"/>
      <c r="F62" s="24"/>
      <c r="G62" s="24"/>
      <c r="H62" s="24"/>
      <c r="I62" s="25"/>
    </row>
    <row r="63" spans="1:9" x14ac:dyDescent="0.25">
      <c r="B63" s="21" t="s">
        <v>114</v>
      </c>
      <c r="C63" s="22" t="s">
        <v>83</v>
      </c>
      <c r="D63" s="28"/>
      <c r="E63" s="24"/>
      <c r="F63" s="24"/>
      <c r="G63" s="24"/>
      <c r="H63" s="24"/>
      <c r="I63" s="25"/>
    </row>
    <row r="64" spans="1:9" x14ac:dyDescent="0.25">
      <c r="B64" s="21" t="s">
        <v>115</v>
      </c>
      <c r="C64" s="22" t="s">
        <v>116</v>
      </c>
      <c r="D64" s="33"/>
      <c r="E64" s="24"/>
      <c r="F64" s="24"/>
      <c r="G64" s="24"/>
      <c r="H64" s="24"/>
      <c r="I64" s="25"/>
    </row>
    <row r="65" spans="2:9" x14ac:dyDescent="0.25">
      <c r="B65" s="21" t="s">
        <v>117</v>
      </c>
      <c r="C65" s="22" t="s">
        <v>118</v>
      </c>
      <c r="D65" s="34"/>
      <c r="E65" s="24"/>
      <c r="F65" s="24"/>
      <c r="G65" s="24"/>
      <c r="H65" s="24"/>
      <c r="I65" s="25"/>
    </row>
  </sheetData>
  <mergeCells count="13">
    <mergeCell ref="A45:I45"/>
    <mergeCell ref="A57:I57"/>
    <mergeCell ref="A61:I61"/>
    <mergeCell ref="A18:I18"/>
    <mergeCell ref="A23:I23"/>
    <mergeCell ref="A29:I29"/>
    <mergeCell ref="A37:I37"/>
    <mergeCell ref="A41:I41"/>
    <mergeCell ref="A1:I1"/>
    <mergeCell ref="A2:I2"/>
    <mergeCell ref="A5:I5"/>
    <mergeCell ref="A10:I10"/>
    <mergeCell ref="A14:I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496"/>
  </sheetPr>
  <dimension ref="A1:BI12"/>
  <sheetViews>
    <sheetView showGridLines="0" zoomScaleNormal="100" workbookViewId="0">
      <selection sqref="A1:XFD1048576"/>
    </sheetView>
  </sheetViews>
  <sheetFormatPr defaultColWidth="8.7109375" defaultRowHeight="15" x14ac:dyDescent="0.25"/>
  <cols>
    <col min="1" max="1" width="38" customWidth="1"/>
    <col min="2" max="61" width="12" customWidth="1"/>
  </cols>
  <sheetData>
    <row r="1" spans="1:61" ht="33.75" customHeight="1" x14ac:dyDescent="0.25">
      <c r="A1" s="5" t="s">
        <v>119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</row>
    <row r="2" spans="1:61" ht="18" customHeight="1" x14ac:dyDescent="0.25">
      <c r="A2" s="4" t="s">
        <v>120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</row>
    <row r="4" spans="1:61" x14ac:dyDescent="0.25">
      <c r="A4" s="35"/>
      <c r="B4" s="3" t="s">
        <v>121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 t="s">
        <v>122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 t="s">
        <v>123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 t="s">
        <v>124</v>
      </c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 t="s">
        <v>125</v>
      </c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</row>
    <row r="5" spans="1:61" x14ac:dyDescent="0.25">
      <c r="A5" s="19" t="s">
        <v>126</v>
      </c>
      <c r="B5" s="20" t="s">
        <v>127</v>
      </c>
      <c r="C5" s="20" t="s">
        <v>128</v>
      </c>
      <c r="D5" s="20" t="s">
        <v>129</v>
      </c>
      <c r="E5" s="20" t="s">
        <v>130</v>
      </c>
      <c r="F5" s="20" t="s">
        <v>131</v>
      </c>
      <c r="G5" s="20" t="s">
        <v>132</v>
      </c>
      <c r="H5" s="20" t="s">
        <v>133</v>
      </c>
      <c r="I5" s="20" t="s">
        <v>134</v>
      </c>
      <c r="J5" s="20" t="s">
        <v>135</v>
      </c>
      <c r="K5" s="20" t="s">
        <v>136</v>
      </c>
      <c r="L5" s="20" t="s">
        <v>137</v>
      </c>
      <c r="M5" s="20" t="s">
        <v>138</v>
      </c>
      <c r="N5" s="20" t="s">
        <v>139</v>
      </c>
      <c r="O5" s="20" t="s">
        <v>140</v>
      </c>
      <c r="P5" s="20" t="s">
        <v>141</v>
      </c>
      <c r="Q5" s="20" t="s">
        <v>142</v>
      </c>
      <c r="R5" s="20" t="s">
        <v>143</v>
      </c>
      <c r="S5" s="20" t="s">
        <v>144</v>
      </c>
      <c r="T5" s="20" t="s">
        <v>145</v>
      </c>
      <c r="U5" s="20" t="s">
        <v>146</v>
      </c>
      <c r="V5" s="20" t="s">
        <v>147</v>
      </c>
      <c r="W5" s="20" t="s">
        <v>148</v>
      </c>
      <c r="X5" s="20" t="s">
        <v>149</v>
      </c>
      <c r="Y5" s="20" t="s">
        <v>150</v>
      </c>
      <c r="Z5" s="20" t="s">
        <v>151</v>
      </c>
      <c r="AA5" s="20" t="s">
        <v>152</v>
      </c>
      <c r="AB5" s="20" t="s">
        <v>153</v>
      </c>
      <c r="AC5" s="20" t="s">
        <v>154</v>
      </c>
      <c r="AD5" s="20" t="s">
        <v>155</v>
      </c>
      <c r="AE5" s="20" t="s">
        <v>156</v>
      </c>
      <c r="AF5" s="20" t="s">
        <v>157</v>
      </c>
      <c r="AG5" s="20" t="s">
        <v>158</v>
      </c>
      <c r="AH5" s="20" t="s">
        <v>159</v>
      </c>
      <c r="AI5" s="20" t="s">
        <v>160</v>
      </c>
      <c r="AJ5" s="20" t="s">
        <v>161</v>
      </c>
      <c r="AK5" s="20" t="s">
        <v>162</v>
      </c>
      <c r="AL5" s="20" t="s">
        <v>163</v>
      </c>
      <c r="AM5" s="20" t="s">
        <v>164</v>
      </c>
      <c r="AN5" s="20" t="s">
        <v>165</v>
      </c>
      <c r="AO5" s="20" t="s">
        <v>166</v>
      </c>
      <c r="AP5" s="20" t="s">
        <v>167</v>
      </c>
      <c r="AQ5" s="20" t="s">
        <v>168</v>
      </c>
      <c r="AR5" s="20" t="s">
        <v>169</v>
      </c>
      <c r="AS5" s="20" t="s">
        <v>170</v>
      </c>
      <c r="AT5" s="20" t="s">
        <v>171</v>
      </c>
      <c r="AU5" s="20" t="s">
        <v>172</v>
      </c>
      <c r="AV5" s="20" t="s">
        <v>173</v>
      </c>
      <c r="AW5" s="20" t="s">
        <v>174</v>
      </c>
      <c r="AX5" s="20" t="s">
        <v>175</v>
      </c>
      <c r="AY5" s="20" t="s">
        <v>176</v>
      </c>
      <c r="AZ5" s="20" t="s">
        <v>177</v>
      </c>
      <c r="BA5" s="20" t="s">
        <v>178</v>
      </c>
      <c r="BB5" s="20" t="s">
        <v>179</v>
      </c>
      <c r="BC5" s="20" t="s">
        <v>180</v>
      </c>
      <c r="BD5" s="20" t="s">
        <v>181</v>
      </c>
      <c r="BE5" s="20" t="s">
        <v>182</v>
      </c>
      <c r="BF5" s="20" t="s">
        <v>183</v>
      </c>
      <c r="BG5" s="20" t="s">
        <v>184</v>
      </c>
      <c r="BH5" s="20" t="s">
        <v>185</v>
      </c>
      <c r="BI5" s="20" t="s">
        <v>186</v>
      </c>
    </row>
    <row r="6" spans="1:61" x14ac:dyDescent="0.25">
      <c r="A6" s="36" t="s">
        <v>187</v>
      </c>
      <c r="B6" s="37">
        <f>IFERROR(EDATE(Assumptions!$D$9,0),"")</f>
        <v>0</v>
      </c>
      <c r="C6" s="37">
        <f>IFERROR(EDATE(Assumptions!$D$9,1),"")</f>
        <v>31</v>
      </c>
      <c r="D6" s="37">
        <f>IFERROR(EDATE(Assumptions!$D$9,2),"")</f>
        <v>60</v>
      </c>
      <c r="E6" s="37">
        <f>IFERROR(EDATE(Assumptions!$D$9,3),"")</f>
        <v>91</v>
      </c>
      <c r="F6" s="37">
        <f>IFERROR(EDATE(Assumptions!$D$9,4),"")</f>
        <v>121</v>
      </c>
      <c r="G6" s="37">
        <f>IFERROR(EDATE(Assumptions!$D$9,5),"")</f>
        <v>152</v>
      </c>
      <c r="H6" s="37">
        <f>IFERROR(EDATE(Assumptions!$D$9,6),"")</f>
        <v>182</v>
      </c>
      <c r="I6" s="37">
        <f>IFERROR(EDATE(Assumptions!$D$9,7),"")</f>
        <v>213</v>
      </c>
      <c r="J6" s="37">
        <f>IFERROR(EDATE(Assumptions!$D$9,8),"")</f>
        <v>244</v>
      </c>
      <c r="K6" s="37">
        <f>IFERROR(EDATE(Assumptions!$D$9,9),"")</f>
        <v>274</v>
      </c>
      <c r="L6" s="37">
        <f>IFERROR(EDATE(Assumptions!$D$9,10),"")</f>
        <v>305</v>
      </c>
      <c r="M6" s="37">
        <f>IFERROR(EDATE(Assumptions!$D$9,11),"")</f>
        <v>335</v>
      </c>
      <c r="N6" s="37">
        <f>IFERROR(EDATE(Assumptions!$D$9,12),"")</f>
        <v>366</v>
      </c>
      <c r="O6" s="37">
        <f>IFERROR(EDATE(Assumptions!$D$9,13),"")</f>
        <v>397</v>
      </c>
      <c r="P6" s="37">
        <f>IFERROR(EDATE(Assumptions!$D$9,14),"")</f>
        <v>425</v>
      </c>
      <c r="Q6" s="37">
        <f>IFERROR(EDATE(Assumptions!$D$9,15),"")</f>
        <v>456</v>
      </c>
      <c r="R6" s="37">
        <f>IFERROR(EDATE(Assumptions!$D$9,16),"")</f>
        <v>486</v>
      </c>
      <c r="S6" s="37">
        <f>IFERROR(EDATE(Assumptions!$D$9,17),"")</f>
        <v>517</v>
      </c>
      <c r="T6" s="37">
        <f>IFERROR(EDATE(Assumptions!$D$9,18),"")</f>
        <v>547</v>
      </c>
      <c r="U6" s="37">
        <f>IFERROR(EDATE(Assumptions!$D$9,19),"")</f>
        <v>578</v>
      </c>
      <c r="V6" s="37">
        <f>IFERROR(EDATE(Assumptions!$D$9,20),"")</f>
        <v>609</v>
      </c>
      <c r="W6" s="37">
        <f>IFERROR(EDATE(Assumptions!$D$9,21),"")</f>
        <v>639</v>
      </c>
      <c r="X6" s="37">
        <f>IFERROR(EDATE(Assumptions!$D$9,22),"")</f>
        <v>670</v>
      </c>
      <c r="Y6" s="37">
        <f>IFERROR(EDATE(Assumptions!$D$9,23),"")</f>
        <v>700</v>
      </c>
      <c r="Z6" s="37">
        <f>IFERROR(EDATE(Assumptions!$D$9,24),"")</f>
        <v>731</v>
      </c>
      <c r="AA6" s="37">
        <f>IFERROR(EDATE(Assumptions!$D$9,25),"")</f>
        <v>762</v>
      </c>
      <c r="AB6" s="37">
        <f>IFERROR(EDATE(Assumptions!$D$9,26),"")</f>
        <v>790</v>
      </c>
      <c r="AC6" s="37">
        <f>IFERROR(EDATE(Assumptions!$D$9,27),"")</f>
        <v>821</v>
      </c>
      <c r="AD6" s="37">
        <f>IFERROR(EDATE(Assumptions!$D$9,28),"")</f>
        <v>851</v>
      </c>
      <c r="AE6" s="37">
        <f>IFERROR(EDATE(Assumptions!$D$9,29),"")</f>
        <v>882</v>
      </c>
      <c r="AF6" s="37">
        <f>IFERROR(EDATE(Assumptions!$D$9,30),"")</f>
        <v>912</v>
      </c>
      <c r="AG6" s="37">
        <f>IFERROR(EDATE(Assumptions!$D$9,31),"")</f>
        <v>943</v>
      </c>
      <c r="AH6" s="37">
        <f>IFERROR(EDATE(Assumptions!$D$9,32),"")</f>
        <v>974</v>
      </c>
      <c r="AI6" s="37">
        <f>IFERROR(EDATE(Assumptions!$D$9,33),"")</f>
        <v>1004</v>
      </c>
      <c r="AJ6" s="37">
        <f>IFERROR(EDATE(Assumptions!$D$9,34),"")</f>
        <v>1035</v>
      </c>
      <c r="AK6" s="37">
        <f>IFERROR(EDATE(Assumptions!$D$9,35),"")</f>
        <v>1065</v>
      </c>
      <c r="AL6" s="37">
        <f>IFERROR(EDATE(Assumptions!$D$9,36),"")</f>
        <v>1096</v>
      </c>
      <c r="AM6" s="37">
        <f>IFERROR(EDATE(Assumptions!$D$9,37),"")</f>
        <v>1127</v>
      </c>
      <c r="AN6" s="37">
        <f>IFERROR(EDATE(Assumptions!$D$9,38),"")</f>
        <v>1155</v>
      </c>
      <c r="AO6" s="37">
        <f>IFERROR(EDATE(Assumptions!$D$9,39),"")</f>
        <v>1186</v>
      </c>
      <c r="AP6" s="37">
        <f>IFERROR(EDATE(Assumptions!$D$9,40),"")</f>
        <v>1216</v>
      </c>
      <c r="AQ6" s="37">
        <f>IFERROR(EDATE(Assumptions!$D$9,41),"")</f>
        <v>1247</v>
      </c>
      <c r="AR6" s="37">
        <f>IFERROR(EDATE(Assumptions!$D$9,42),"")</f>
        <v>1277</v>
      </c>
      <c r="AS6" s="37">
        <f>IFERROR(EDATE(Assumptions!$D$9,43),"")</f>
        <v>1308</v>
      </c>
      <c r="AT6" s="37">
        <f>IFERROR(EDATE(Assumptions!$D$9,44),"")</f>
        <v>1339</v>
      </c>
      <c r="AU6" s="37">
        <f>IFERROR(EDATE(Assumptions!$D$9,45),"")</f>
        <v>1369</v>
      </c>
      <c r="AV6" s="37">
        <f>IFERROR(EDATE(Assumptions!$D$9,46),"")</f>
        <v>1400</v>
      </c>
      <c r="AW6" s="37">
        <f>IFERROR(EDATE(Assumptions!$D$9,47),"")</f>
        <v>1430</v>
      </c>
      <c r="AX6" s="37">
        <f>IFERROR(EDATE(Assumptions!$D$9,48),"")</f>
        <v>1461</v>
      </c>
      <c r="AY6" s="37">
        <f>IFERROR(EDATE(Assumptions!$D$9,49),"")</f>
        <v>1492</v>
      </c>
      <c r="AZ6" s="37">
        <f>IFERROR(EDATE(Assumptions!$D$9,50),"")</f>
        <v>1521</v>
      </c>
      <c r="BA6" s="37">
        <f>IFERROR(EDATE(Assumptions!$D$9,51),"")</f>
        <v>1552</v>
      </c>
      <c r="BB6" s="37">
        <f>IFERROR(EDATE(Assumptions!$D$9,52),"")</f>
        <v>1582</v>
      </c>
      <c r="BC6" s="37">
        <f>IFERROR(EDATE(Assumptions!$D$9,53),"")</f>
        <v>1613</v>
      </c>
      <c r="BD6" s="37">
        <f>IFERROR(EDATE(Assumptions!$D$9,54),"")</f>
        <v>1643</v>
      </c>
      <c r="BE6" s="37">
        <f>IFERROR(EDATE(Assumptions!$D$9,55),"")</f>
        <v>1674</v>
      </c>
      <c r="BF6" s="37">
        <f>IFERROR(EDATE(Assumptions!$D$9,56),"")</f>
        <v>1705</v>
      </c>
      <c r="BG6" s="37">
        <f>IFERROR(EDATE(Assumptions!$D$9,57),"")</f>
        <v>1735</v>
      </c>
      <c r="BH6" s="37">
        <f>IFERROR(EDATE(Assumptions!$D$9,58),"")</f>
        <v>1766</v>
      </c>
      <c r="BI6" s="37">
        <f>IFERROR(EDATE(Assumptions!$D$9,59),"")</f>
        <v>1796</v>
      </c>
    </row>
    <row r="7" spans="1:61" ht="18" customHeight="1" x14ac:dyDescent="0.25">
      <c r="A7" s="9" t="s">
        <v>188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</row>
    <row r="8" spans="1:61" x14ac:dyDescent="0.25">
      <c r="A8" s="38" t="s">
        <v>189</v>
      </c>
      <c r="B8" s="39">
        <f>Assumptions!$D$11</f>
        <v>0</v>
      </c>
      <c r="C8" s="39">
        <f>Assumptions!$D$11</f>
        <v>0</v>
      </c>
      <c r="D8" s="39">
        <f>Assumptions!$D$11</f>
        <v>0</v>
      </c>
      <c r="E8" s="39">
        <f>Assumptions!$D$11</f>
        <v>0</v>
      </c>
      <c r="F8" s="39">
        <f>Assumptions!$D$11</f>
        <v>0</v>
      </c>
      <c r="G8" s="39">
        <f>Assumptions!$D$11</f>
        <v>0</v>
      </c>
      <c r="H8" s="39">
        <f>Assumptions!$D$11</f>
        <v>0</v>
      </c>
      <c r="I8" s="39">
        <f>Assumptions!$D$11</f>
        <v>0</v>
      </c>
      <c r="J8" s="39">
        <f>Assumptions!$D$11</f>
        <v>0</v>
      </c>
      <c r="K8" s="39">
        <f>Assumptions!$D$11</f>
        <v>0</v>
      </c>
      <c r="L8" s="39">
        <f>Assumptions!$D$11</f>
        <v>0</v>
      </c>
      <c r="M8" s="39">
        <f>Assumptions!$D$11</f>
        <v>0</v>
      </c>
      <c r="N8" s="39">
        <f>Assumptions!$E$11</f>
        <v>0</v>
      </c>
      <c r="O8" s="39">
        <f>Assumptions!$E$11</f>
        <v>0</v>
      </c>
      <c r="P8" s="39">
        <f>Assumptions!$E$11</f>
        <v>0</v>
      </c>
      <c r="Q8" s="39">
        <f>Assumptions!$E$11</f>
        <v>0</v>
      </c>
      <c r="R8" s="39">
        <f>Assumptions!$E$11</f>
        <v>0</v>
      </c>
      <c r="S8" s="39">
        <f>Assumptions!$E$11</f>
        <v>0</v>
      </c>
      <c r="T8" s="39">
        <f>Assumptions!$E$11</f>
        <v>0</v>
      </c>
      <c r="U8" s="39">
        <f>Assumptions!$E$11</f>
        <v>0</v>
      </c>
      <c r="V8" s="39">
        <f>Assumptions!$E$11</f>
        <v>0</v>
      </c>
      <c r="W8" s="39">
        <f>Assumptions!$E$11</f>
        <v>0</v>
      </c>
      <c r="X8" s="39">
        <f>Assumptions!$E$11</f>
        <v>0</v>
      </c>
      <c r="Y8" s="39">
        <f>Assumptions!$E$11</f>
        <v>0</v>
      </c>
      <c r="Z8" s="39">
        <f>Assumptions!$F$11</f>
        <v>0</v>
      </c>
      <c r="AA8" s="39">
        <f>Assumptions!$F$11</f>
        <v>0</v>
      </c>
      <c r="AB8" s="39">
        <f>Assumptions!$F$11</f>
        <v>0</v>
      </c>
      <c r="AC8" s="39">
        <f>Assumptions!$F$11</f>
        <v>0</v>
      </c>
      <c r="AD8" s="39">
        <f>Assumptions!$F$11</f>
        <v>0</v>
      </c>
      <c r="AE8" s="39">
        <f>Assumptions!$F$11</f>
        <v>0</v>
      </c>
      <c r="AF8" s="39">
        <f>Assumptions!$F$11</f>
        <v>0</v>
      </c>
      <c r="AG8" s="39">
        <f>Assumptions!$F$11</f>
        <v>0</v>
      </c>
      <c r="AH8" s="39">
        <f>Assumptions!$F$11</f>
        <v>0</v>
      </c>
      <c r="AI8" s="39">
        <f>Assumptions!$F$11</f>
        <v>0</v>
      </c>
      <c r="AJ8" s="39">
        <f>Assumptions!$F$11</f>
        <v>0</v>
      </c>
      <c r="AK8" s="39">
        <f>Assumptions!$F$11</f>
        <v>0</v>
      </c>
      <c r="AL8" s="39">
        <f>Assumptions!$G$11</f>
        <v>0</v>
      </c>
      <c r="AM8" s="39">
        <f>Assumptions!$G$11</f>
        <v>0</v>
      </c>
      <c r="AN8" s="39">
        <f>Assumptions!$G$11</f>
        <v>0</v>
      </c>
      <c r="AO8" s="39">
        <f>Assumptions!$G$11</f>
        <v>0</v>
      </c>
      <c r="AP8" s="39">
        <f>Assumptions!$G$11</f>
        <v>0</v>
      </c>
      <c r="AQ8" s="39">
        <f>Assumptions!$G$11</f>
        <v>0</v>
      </c>
      <c r="AR8" s="39">
        <f>Assumptions!$G$11</f>
        <v>0</v>
      </c>
      <c r="AS8" s="39">
        <f>Assumptions!$G$11</f>
        <v>0</v>
      </c>
      <c r="AT8" s="39">
        <f>Assumptions!$G$11</f>
        <v>0</v>
      </c>
      <c r="AU8" s="39">
        <f>Assumptions!$G$11</f>
        <v>0</v>
      </c>
      <c r="AV8" s="39">
        <f>Assumptions!$G$11</f>
        <v>0</v>
      </c>
      <c r="AW8" s="39">
        <f>Assumptions!$G$11</f>
        <v>0</v>
      </c>
      <c r="AX8" s="39">
        <f>Assumptions!$H$11</f>
        <v>0</v>
      </c>
      <c r="AY8" s="39">
        <f>Assumptions!$H$11</f>
        <v>0</v>
      </c>
      <c r="AZ8" s="39">
        <f>Assumptions!$H$11</f>
        <v>0</v>
      </c>
      <c r="BA8" s="39">
        <f>Assumptions!$H$11</f>
        <v>0</v>
      </c>
      <c r="BB8" s="39">
        <f>Assumptions!$H$11</f>
        <v>0</v>
      </c>
      <c r="BC8" s="39">
        <f>Assumptions!$H$11</f>
        <v>0</v>
      </c>
      <c r="BD8" s="39">
        <f>Assumptions!$H$11</f>
        <v>0</v>
      </c>
      <c r="BE8" s="39">
        <f>Assumptions!$H$11</f>
        <v>0</v>
      </c>
      <c r="BF8" s="39">
        <f>Assumptions!$H$11</f>
        <v>0</v>
      </c>
      <c r="BG8" s="39">
        <f>Assumptions!$H$11</f>
        <v>0</v>
      </c>
      <c r="BH8" s="39">
        <f>Assumptions!$H$11</f>
        <v>0</v>
      </c>
      <c r="BI8" s="39">
        <f>Assumptions!$H$11</f>
        <v>0</v>
      </c>
    </row>
    <row r="9" spans="1:61" x14ac:dyDescent="0.25">
      <c r="A9" s="38" t="s">
        <v>190</v>
      </c>
      <c r="B9" s="40">
        <f>Assumptions!$D$12</f>
        <v>0</v>
      </c>
      <c r="C9" s="40">
        <f>Assumptions!$D$12</f>
        <v>0</v>
      </c>
      <c r="D9" s="40">
        <f>Assumptions!$D$12</f>
        <v>0</v>
      </c>
      <c r="E9" s="40">
        <f>Assumptions!$D$12</f>
        <v>0</v>
      </c>
      <c r="F9" s="40">
        <f>Assumptions!$D$12</f>
        <v>0</v>
      </c>
      <c r="G9" s="40">
        <f>Assumptions!$D$12</f>
        <v>0</v>
      </c>
      <c r="H9" s="40">
        <f>Assumptions!$D$12</f>
        <v>0</v>
      </c>
      <c r="I9" s="40">
        <f>Assumptions!$D$12</f>
        <v>0</v>
      </c>
      <c r="J9" s="40">
        <f>Assumptions!$D$12</f>
        <v>0</v>
      </c>
      <c r="K9" s="40">
        <f>Assumptions!$D$12</f>
        <v>0</v>
      </c>
      <c r="L9" s="40">
        <f>Assumptions!$D$12</f>
        <v>0</v>
      </c>
      <c r="M9" s="40">
        <f>Assumptions!$D$12</f>
        <v>0</v>
      </c>
      <c r="N9" s="40">
        <f>Assumptions!$E$12</f>
        <v>0</v>
      </c>
      <c r="O9" s="40">
        <f>Assumptions!$E$12</f>
        <v>0</v>
      </c>
      <c r="P9" s="40">
        <f>Assumptions!$E$12</f>
        <v>0</v>
      </c>
      <c r="Q9" s="40">
        <f>Assumptions!$E$12</f>
        <v>0</v>
      </c>
      <c r="R9" s="40">
        <f>Assumptions!$E$12</f>
        <v>0</v>
      </c>
      <c r="S9" s="40">
        <f>Assumptions!$E$12</f>
        <v>0</v>
      </c>
      <c r="T9" s="40">
        <f>Assumptions!$E$12</f>
        <v>0</v>
      </c>
      <c r="U9" s="40">
        <f>Assumptions!$E$12</f>
        <v>0</v>
      </c>
      <c r="V9" s="40">
        <f>Assumptions!$E$12</f>
        <v>0</v>
      </c>
      <c r="W9" s="40">
        <f>Assumptions!$E$12</f>
        <v>0</v>
      </c>
      <c r="X9" s="40">
        <f>Assumptions!$E$12</f>
        <v>0</v>
      </c>
      <c r="Y9" s="40">
        <f>Assumptions!$E$12</f>
        <v>0</v>
      </c>
      <c r="Z9" s="40">
        <f>Assumptions!$F$12</f>
        <v>0</v>
      </c>
      <c r="AA9" s="40">
        <f>Assumptions!$F$12</f>
        <v>0</v>
      </c>
      <c r="AB9" s="40">
        <f>Assumptions!$F$12</f>
        <v>0</v>
      </c>
      <c r="AC9" s="40">
        <f>Assumptions!$F$12</f>
        <v>0</v>
      </c>
      <c r="AD9" s="40">
        <f>Assumptions!$F$12</f>
        <v>0</v>
      </c>
      <c r="AE9" s="40">
        <f>Assumptions!$F$12</f>
        <v>0</v>
      </c>
      <c r="AF9" s="40">
        <f>Assumptions!$F$12</f>
        <v>0</v>
      </c>
      <c r="AG9" s="40">
        <f>Assumptions!$F$12</f>
        <v>0</v>
      </c>
      <c r="AH9" s="40">
        <f>Assumptions!$F$12</f>
        <v>0</v>
      </c>
      <c r="AI9" s="40">
        <f>Assumptions!$F$12</f>
        <v>0</v>
      </c>
      <c r="AJ9" s="40">
        <f>Assumptions!$F$12</f>
        <v>0</v>
      </c>
      <c r="AK9" s="40">
        <f>Assumptions!$F$12</f>
        <v>0</v>
      </c>
      <c r="AL9" s="40">
        <f>Assumptions!$G$12</f>
        <v>0</v>
      </c>
      <c r="AM9" s="40">
        <f>Assumptions!$G$12</f>
        <v>0</v>
      </c>
      <c r="AN9" s="40">
        <f>Assumptions!$G$12</f>
        <v>0</v>
      </c>
      <c r="AO9" s="40">
        <f>Assumptions!$G$12</f>
        <v>0</v>
      </c>
      <c r="AP9" s="40">
        <f>Assumptions!$G$12</f>
        <v>0</v>
      </c>
      <c r="AQ9" s="40">
        <f>Assumptions!$G$12</f>
        <v>0</v>
      </c>
      <c r="AR9" s="40">
        <f>Assumptions!$G$12</f>
        <v>0</v>
      </c>
      <c r="AS9" s="40">
        <f>Assumptions!$G$12</f>
        <v>0</v>
      </c>
      <c r="AT9" s="40">
        <f>Assumptions!$G$12</f>
        <v>0</v>
      </c>
      <c r="AU9" s="40">
        <f>Assumptions!$G$12</f>
        <v>0</v>
      </c>
      <c r="AV9" s="40">
        <f>Assumptions!$G$12</f>
        <v>0</v>
      </c>
      <c r="AW9" s="40">
        <f>Assumptions!$G$12</f>
        <v>0</v>
      </c>
      <c r="AX9" s="40">
        <f>Assumptions!$H$12</f>
        <v>0</v>
      </c>
      <c r="AY9" s="40">
        <f>Assumptions!$H$12</f>
        <v>0</v>
      </c>
      <c r="AZ9" s="40">
        <f>Assumptions!$H$12</f>
        <v>0</v>
      </c>
      <c r="BA9" s="40">
        <f>Assumptions!$H$12</f>
        <v>0</v>
      </c>
      <c r="BB9" s="40">
        <f>Assumptions!$H$12</f>
        <v>0</v>
      </c>
      <c r="BC9" s="40">
        <f>Assumptions!$H$12</f>
        <v>0</v>
      </c>
      <c r="BD9" s="40">
        <f>Assumptions!$H$12</f>
        <v>0</v>
      </c>
      <c r="BE9" s="40">
        <f>Assumptions!$H$12</f>
        <v>0</v>
      </c>
      <c r="BF9" s="40">
        <f>Assumptions!$H$12</f>
        <v>0</v>
      </c>
      <c r="BG9" s="40">
        <f>Assumptions!$H$12</f>
        <v>0</v>
      </c>
      <c r="BH9" s="40">
        <f>Assumptions!$H$12</f>
        <v>0</v>
      </c>
      <c r="BI9" s="40">
        <f>Assumptions!$H$12</f>
        <v>0</v>
      </c>
    </row>
    <row r="10" spans="1:61" x14ac:dyDescent="0.25">
      <c r="A10" s="41" t="s">
        <v>191</v>
      </c>
      <c r="B10" s="42">
        <f t="shared" ref="B10:AG10" si="0">B8*B9</f>
        <v>0</v>
      </c>
      <c r="C10" s="42">
        <f t="shared" si="0"/>
        <v>0</v>
      </c>
      <c r="D10" s="42">
        <f t="shared" si="0"/>
        <v>0</v>
      </c>
      <c r="E10" s="42">
        <f t="shared" si="0"/>
        <v>0</v>
      </c>
      <c r="F10" s="42">
        <f t="shared" si="0"/>
        <v>0</v>
      </c>
      <c r="G10" s="42">
        <f t="shared" si="0"/>
        <v>0</v>
      </c>
      <c r="H10" s="42">
        <f t="shared" si="0"/>
        <v>0</v>
      </c>
      <c r="I10" s="42">
        <f t="shared" si="0"/>
        <v>0</v>
      </c>
      <c r="J10" s="42">
        <f t="shared" si="0"/>
        <v>0</v>
      </c>
      <c r="K10" s="42">
        <f t="shared" si="0"/>
        <v>0</v>
      </c>
      <c r="L10" s="42">
        <f t="shared" si="0"/>
        <v>0</v>
      </c>
      <c r="M10" s="42">
        <f t="shared" si="0"/>
        <v>0</v>
      </c>
      <c r="N10" s="42">
        <f t="shared" si="0"/>
        <v>0</v>
      </c>
      <c r="O10" s="42">
        <f t="shared" si="0"/>
        <v>0</v>
      </c>
      <c r="P10" s="42">
        <f t="shared" si="0"/>
        <v>0</v>
      </c>
      <c r="Q10" s="42">
        <f t="shared" si="0"/>
        <v>0</v>
      </c>
      <c r="R10" s="42">
        <f t="shared" si="0"/>
        <v>0</v>
      </c>
      <c r="S10" s="42">
        <f t="shared" si="0"/>
        <v>0</v>
      </c>
      <c r="T10" s="42">
        <f t="shared" si="0"/>
        <v>0</v>
      </c>
      <c r="U10" s="42">
        <f t="shared" si="0"/>
        <v>0</v>
      </c>
      <c r="V10" s="42">
        <f t="shared" si="0"/>
        <v>0</v>
      </c>
      <c r="W10" s="42">
        <f t="shared" si="0"/>
        <v>0</v>
      </c>
      <c r="X10" s="42">
        <f t="shared" si="0"/>
        <v>0</v>
      </c>
      <c r="Y10" s="42">
        <f t="shared" si="0"/>
        <v>0</v>
      </c>
      <c r="Z10" s="42">
        <f t="shared" si="0"/>
        <v>0</v>
      </c>
      <c r="AA10" s="42">
        <f t="shared" si="0"/>
        <v>0</v>
      </c>
      <c r="AB10" s="42">
        <f t="shared" si="0"/>
        <v>0</v>
      </c>
      <c r="AC10" s="42">
        <f t="shared" si="0"/>
        <v>0</v>
      </c>
      <c r="AD10" s="42">
        <f t="shared" si="0"/>
        <v>0</v>
      </c>
      <c r="AE10" s="42">
        <f t="shared" si="0"/>
        <v>0</v>
      </c>
      <c r="AF10" s="42">
        <f t="shared" si="0"/>
        <v>0</v>
      </c>
      <c r="AG10" s="42">
        <f t="shared" si="0"/>
        <v>0</v>
      </c>
      <c r="AH10" s="42">
        <f t="shared" ref="AH10:BM10" si="1">AH8*AH9</f>
        <v>0</v>
      </c>
      <c r="AI10" s="42">
        <f t="shared" si="1"/>
        <v>0</v>
      </c>
      <c r="AJ10" s="42">
        <f t="shared" si="1"/>
        <v>0</v>
      </c>
      <c r="AK10" s="42">
        <f t="shared" si="1"/>
        <v>0</v>
      </c>
      <c r="AL10" s="42">
        <f t="shared" si="1"/>
        <v>0</v>
      </c>
      <c r="AM10" s="42">
        <f t="shared" si="1"/>
        <v>0</v>
      </c>
      <c r="AN10" s="42">
        <f t="shared" si="1"/>
        <v>0</v>
      </c>
      <c r="AO10" s="42">
        <f t="shared" si="1"/>
        <v>0</v>
      </c>
      <c r="AP10" s="42">
        <f t="shared" si="1"/>
        <v>0</v>
      </c>
      <c r="AQ10" s="42">
        <f t="shared" si="1"/>
        <v>0</v>
      </c>
      <c r="AR10" s="42">
        <f t="shared" si="1"/>
        <v>0</v>
      </c>
      <c r="AS10" s="42">
        <f t="shared" si="1"/>
        <v>0</v>
      </c>
      <c r="AT10" s="42">
        <f t="shared" si="1"/>
        <v>0</v>
      </c>
      <c r="AU10" s="42">
        <f t="shared" si="1"/>
        <v>0</v>
      </c>
      <c r="AV10" s="42">
        <f t="shared" si="1"/>
        <v>0</v>
      </c>
      <c r="AW10" s="42">
        <f t="shared" si="1"/>
        <v>0</v>
      </c>
      <c r="AX10" s="42">
        <f t="shared" si="1"/>
        <v>0</v>
      </c>
      <c r="AY10" s="42">
        <f t="shared" si="1"/>
        <v>0</v>
      </c>
      <c r="AZ10" s="42">
        <f t="shared" si="1"/>
        <v>0</v>
      </c>
      <c r="BA10" s="42">
        <f t="shared" si="1"/>
        <v>0</v>
      </c>
      <c r="BB10" s="42">
        <f t="shared" si="1"/>
        <v>0</v>
      </c>
      <c r="BC10" s="42">
        <f t="shared" si="1"/>
        <v>0</v>
      </c>
      <c r="BD10" s="42">
        <f t="shared" si="1"/>
        <v>0</v>
      </c>
      <c r="BE10" s="42">
        <f t="shared" si="1"/>
        <v>0</v>
      </c>
      <c r="BF10" s="42">
        <f t="shared" si="1"/>
        <v>0</v>
      </c>
      <c r="BG10" s="42">
        <f t="shared" si="1"/>
        <v>0</v>
      </c>
      <c r="BH10" s="42">
        <f t="shared" si="1"/>
        <v>0</v>
      </c>
      <c r="BI10" s="42">
        <f t="shared" si="1"/>
        <v>0</v>
      </c>
    </row>
    <row r="11" spans="1:61" x14ac:dyDescent="0.25">
      <c r="A11" s="38" t="s">
        <v>192</v>
      </c>
      <c r="B11" s="40">
        <f>Assumptions!$D$13</f>
        <v>0</v>
      </c>
      <c r="C11" s="40">
        <f>Assumptions!$D$13</f>
        <v>0</v>
      </c>
      <c r="D11" s="40">
        <f>Assumptions!$D$13</f>
        <v>0</v>
      </c>
      <c r="E11" s="40">
        <f>Assumptions!$D$13</f>
        <v>0</v>
      </c>
      <c r="F11" s="40">
        <f>Assumptions!$D$13</f>
        <v>0</v>
      </c>
      <c r="G11" s="40">
        <f>Assumptions!$D$13</f>
        <v>0</v>
      </c>
      <c r="H11" s="40">
        <f>Assumptions!$D$13</f>
        <v>0</v>
      </c>
      <c r="I11" s="40">
        <f>Assumptions!$D$13</f>
        <v>0</v>
      </c>
      <c r="J11" s="40">
        <f>Assumptions!$D$13</f>
        <v>0</v>
      </c>
      <c r="K11" s="40">
        <f>Assumptions!$D$13</f>
        <v>0</v>
      </c>
      <c r="L11" s="40">
        <f>Assumptions!$D$13</f>
        <v>0</v>
      </c>
      <c r="M11" s="40">
        <f>Assumptions!$D$13</f>
        <v>0</v>
      </c>
      <c r="N11" s="40">
        <f>Assumptions!$D$13</f>
        <v>0</v>
      </c>
      <c r="O11" s="40">
        <f>Assumptions!$D$13</f>
        <v>0</v>
      </c>
      <c r="P11" s="40">
        <f>Assumptions!$D$13</f>
        <v>0</v>
      </c>
      <c r="Q11" s="40">
        <f>Assumptions!$D$13</f>
        <v>0</v>
      </c>
      <c r="R11" s="40">
        <f>Assumptions!$D$13</f>
        <v>0</v>
      </c>
      <c r="S11" s="40">
        <f>Assumptions!$D$13</f>
        <v>0</v>
      </c>
      <c r="T11" s="40">
        <f>Assumptions!$D$13</f>
        <v>0</v>
      </c>
      <c r="U11" s="40">
        <f>Assumptions!$D$13</f>
        <v>0</v>
      </c>
      <c r="V11" s="40">
        <f>Assumptions!$D$13</f>
        <v>0</v>
      </c>
      <c r="W11" s="40">
        <f>Assumptions!$D$13</f>
        <v>0</v>
      </c>
      <c r="X11" s="40">
        <f>Assumptions!$D$13</f>
        <v>0</v>
      </c>
      <c r="Y11" s="40">
        <f>Assumptions!$D$13</f>
        <v>0</v>
      </c>
      <c r="Z11" s="40">
        <f>Assumptions!$D$13</f>
        <v>0</v>
      </c>
      <c r="AA11" s="40">
        <f>Assumptions!$D$13</f>
        <v>0</v>
      </c>
      <c r="AB11" s="40">
        <f>Assumptions!$D$13</f>
        <v>0</v>
      </c>
      <c r="AC11" s="40">
        <f>Assumptions!$D$13</f>
        <v>0</v>
      </c>
      <c r="AD11" s="40">
        <f>Assumptions!$D$13</f>
        <v>0</v>
      </c>
      <c r="AE11" s="40">
        <f>Assumptions!$D$13</f>
        <v>0</v>
      </c>
      <c r="AF11" s="40">
        <f>Assumptions!$D$13</f>
        <v>0</v>
      </c>
      <c r="AG11" s="40">
        <f>Assumptions!$D$13</f>
        <v>0</v>
      </c>
      <c r="AH11" s="40">
        <f>Assumptions!$D$13</f>
        <v>0</v>
      </c>
      <c r="AI11" s="40">
        <f>Assumptions!$D$13</f>
        <v>0</v>
      </c>
      <c r="AJ11" s="40">
        <f>Assumptions!$D$13</f>
        <v>0</v>
      </c>
      <c r="AK11" s="40">
        <f>Assumptions!$D$13</f>
        <v>0</v>
      </c>
      <c r="AL11" s="40">
        <f>Assumptions!$D$13</f>
        <v>0</v>
      </c>
      <c r="AM11" s="40">
        <f>Assumptions!$D$13</f>
        <v>0</v>
      </c>
      <c r="AN11" s="40">
        <f>Assumptions!$D$13</f>
        <v>0</v>
      </c>
      <c r="AO11" s="40">
        <f>Assumptions!$D$13</f>
        <v>0</v>
      </c>
      <c r="AP11" s="40">
        <f>Assumptions!$D$13</f>
        <v>0</v>
      </c>
      <c r="AQ11" s="40">
        <f>Assumptions!$D$13</f>
        <v>0</v>
      </c>
      <c r="AR11" s="40">
        <f>Assumptions!$D$13</f>
        <v>0</v>
      </c>
      <c r="AS11" s="40">
        <f>Assumptions!$D$13</f>
        <v>0</v>
      </c>
      <c r="AT11" s="40">
        <f>Assumptions!$D$13</f>
        <v>0</v>
      </c>
      <c r="AU11" s="40">
        <f>Assumptions!$D$13</f>
        <v>0</v>
      </c>
      <c r="AV11" s="40">
        <f>Assumptions!$D$13</f>
        <v>0</v>
      </c>
      <c r="AW11" s="40">
        <f>Assumptions!$D$13</f>
        <v>0</v>
      </c>
      <c r="AX11" s="40">
        <f>Assumptions!$D$13</f>
        <v>0</v>
      </c>
      <c r="AY11" s="40">
        <f>Assumptions!$D$13</f>
        <v>0</v>
      </c>
      <c r="AZ11" s="40">
        <f>Assumptions!$D$13</f>
        <v>0</v>
      </c>
      <c r="BA11" s="40">
        <f>Assumptions!$D$13</f>
        <v>0</v>
      </c>
      <c r="BB11" s="40">
        <f>Assumptions!$D$13</f>
        <v>0</v>
      </c>
      <c r="BC11" s="40">
        <f>Assumptions!$D$13</f>
        <v>0</v>
      </c>
      <c r="BD11" s="40">
        <f>Assumptions!$D$13</f>
        <v>0</v>
      </c>
      <c r="BE11" s="40">
        <f>Assumptions!$D$13</f>
        <v>0</v>
      </c>
      <c r="BF11" s="40">
        <f>Assumptions!$D$13</f>
        <v>0</v>
      </c>
      <c r="BG11" s="40">
        <f>Assumptions!$D$13</f>
        <v>0</v>
      </c>
      <c r="BH11" s="40">
        <f>Assumptions!$D$13</f>
        <v>0</v>
      </c>
      <c r="BI11" s="40">
        <f>Assumptions!$D$13</f>
        <v>0</v>
      </c>
    </row>
    <row r="12" spans="1:61" x14ac:dyDescent="0.25">
      <c r="A12" s="43" t="s">
        <v>193</v>
      </c>
      <c r="B12" s="44">
        <f t="shared" ref="B12:AG12" si="2">B10*(1-B11)</f>
        <v>0</v>
      </c>
      <c r="C12" s="44">
        <f t="shared" si="2"/>
        <v>0</v>
      </c>
      <c r="D12" s="44">
        <f t="shared" si="2"/>
        <v>0</v>
      </c>
      <c r="E12" s="44">
        <f t="shared" si="2"/>
        <v>0</v>
      </c>
      <c r="F12" s="44">
        <f t="shared" si="2"/>
        <v>0</v>
      </c>
      <c r="G12" s="44">
        <f t="shared" si="2"/>
        <v>0</v>
      </c>
      <c r="H12" s="44">
        <f t="shared" si="2"/>
        <v>0</v>
      </c>
      <c r="I12" s="44">
        <f t="shared" si="2"/>
        <v>0</v>
      </c>
      <c r="J12" s="44">
        <f t="shared" si="2"/>
        <v>0</v>
      </c>
      <c r="K12" s="44">
        <f t="shared" si="2"/>
        <v>0</v>
      </c>
      <c r="L12" s="44">
        <f t="shared" si="2"/>
        <v>0</v>
      </c>
      <c r="M12" s="44">
        <f t="shared" si="2"/>
        <v>0</v>
      </c>
      <c r="N12" s="44">
        <f t="shared" si="2"/>
        <v>0</v>
      </c>
      <c r="O12" s="44">
        <f t="shared" si="2"/>
        <v>0</v>
      </c>
      <c r="P12" s="44">
        <f t="shared" si="2"/>
        <v>0</v>
      </c>
      <c r="Q12" s="44">
        <f t="shared" si="2"/>
        <v>0</v>
      </c>
      <c r="R12" s="44">
        <f t="shared" si="2"/>
        <v>0</v>
      </c>
      <c r="S12" s="44">
        <f t="shared" si="2"/>
        <v>0</v>
      </c>
      <c r="T12" s="44">
        <f t="shared" si="2"/>
        <v>0</v>
      </c>
      <c r="U12" s="44">
        <f t="shared" si="2"/>
        <v>0</v>
      </c>
      <c r="V12" s="44">
        <f t="shared" si="2"/>
        <v>0</v>
      </c>
      <c r="W12" s="44">
        <f t="shared" si="2"/>
        <v>0</v>
      </c>
      <c r="X12" s="44">
        <f t="shared" si="2"/>
        <v>0</v>
      </c>
      <c r="Y12" s="44">
        <f t="shared" si="2"/>
        <v>0</v>
      </c>
      <c r="Z12" s="44">
        <f t="shared" si="2"/>
        <v>0</v>
      </c>
      <c r="AA12" s="44">
        <f t="shared" si="2"/>
        <v>0</v>
      </c>
      <c r="AB12" s="44">
        <f t="shared" si="2"/>
        <v>0</v>
      </c>
      <c r="AC12" s="44">
        <f t="shared" si="2"/>
        <v>0</v>
      </c>
      <c r="AD12" s="44">
        <f t="shared" si="2"/>
        <v>0</v>
      </c>
      <c r="AE12" s="44">
        <f t="shared" si="2"/>
        <v>0</v>
      </c>
      <c r="AF12" s="44">
        <f t="shared" si="2"/>
        <v>0</v>
      </c>
      <c r="AG12" s="44">
        <f t="shared" si="2"/>
        <v>0</v>
      </c>
      <c r="AH12" s="44">
        <f t="shared" ref="AH12:BM12" si="3">AH10*(1-AH11)</f>
        <v>0</v>
      </c>
      <c r="AI12" s="44">
        <f t="shared" si="3"/>
        <v>0</v>
      </c>
      <c r="AJ12" s="44">
        <f t="shared" si="3"/>
        <v>0</v>
      </c>
      <c r="AK12" s="44">
        <f t="shared" si="3"/>
        <v>0</v>
      </c>
      <c r="AL12" s="44">
        <f t="shared" si="3"/>
        <v>0</v>
      </c>
      <c r="AM12" s="44">
        <f t="shared" si="3"/>
        <v>0</v>
      </c>
      <c r="AN12" s="44">
        <f t="shared" si="3"/>
        <v>0</v>
      </c>
      <c r="AO12" s="44">
        <f t="shared" si="3"/>
        <v>0</v>
      </c>
      <c r="AP12" s="44">
        <f t="shared" si="3"/>
        <v>0</v>
      </c>
      <c r="AQ12" s="44">
        <f t="shared" si="3"/>
        <v>0</v>
      </c>
      <c r="AR12" s="44">
        <f t="shared" si="3"/>
        <v>0</v>
      </c>
      <c r="AS12" s="44">
        <f t="shared" si="3"/>
        <v>0</v>
      </c>
      <c r="AT12" s="44">
        <f t="shared" si="3"/>
        <v>0</v>
      </c>
      <c r="AU12" s="44">
        <f t="shared" si="3"/>
        <v>0</v>
      </c>
      <c r="AV12" s="44">
        <f t="shared" si="3"/>
        <v>0</v>
      </c>
      <c r="AW12" s="44">
        <f t="shared" si="3"/>
        <v>0</v>
      </c>
      <c r="AX12" s="44">
        <f t="shared" si="3"/>
        <v>0</v>
      </c>
      <c r="AY12" s="44">
        <f t="shared" si="3"/>
        <v>0</v>
      </c>
      <c r="AZ12" s="44">
        <f t="shared" si="3"/>
        <v>0</v>
      </c>
      <c r="BA12" s="44">
        <f t="shared" si="3"/>
        <v>0</v>
      </c>
      <c r="BB12" s="44">
        <f t="shared" si="3"/>
        <v>0</v>
      </c>
      <c r="BC12" s="44">
        <f t="shared" si="3"/>
        <v>0</v>
      </c>
      <c r="BD12" s="44">
        <f t="shared" si="3"/>
        <v>0</v>
      </c>
      <c r="BE12" s="44">
        <f t="shared" si="3"/>
        <v>0</v>
      </c>
      <c r="BF12" s="44">
        <f t="shared" si="3"/>
        <v>0</v>
      </c>
      <c r="BG12" s="44">
        <f t="shared" si="3"/>
        <v>0</v>
      </c>
      <c r="BH12" s="44">
        <f t="shared" si="3"/>
        <v>0</v>
      </c>
      <c r="BI12" s="44">
        <f t="shared" si="3"/>
        <v>0</v>
      </c>
    </row>
  </sheetData>
  <mergeCells count="8">
    <mergeCell ref="A7:BI7"/>
    <mergeCell ref="A1:BI1"/>
    <mergeCell ref="A2:BI2"/>
    <mergeCell ref="B4:M4"/>
    <mergeCell ref="N4:Y4"/>
    <mergeCell ref="Z4:AK4"/>
    <mergeCell ref="AL4:AW4"/>
    <mergeCell ref="AX4:BI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5496"/>
  </sheetPr>
  <dimension ref="A1:BI14"/>
  <sheetViews>
    <sheetView showGridLines="0" zoomScaleNormal="100" workbookViewId="0">
      <selection sqref="A1:XFD1048576"/>
    </sheetView>
  </sheetViews>
  <sheetFormatPr defaultColWidth="8.7109375" defaultRowHeight="15" x14ac:dyDescent="0.25"/>
  <cols>
    <col min="1" max="1" width="38" customWidth="1"/>
    <col min="2" max="61" width="12" customWidth="1"/>
  </cols>
  <sheetData>
    <row r="1" spans="1:61" ht="33.75" customHeight="1" x14ac:dyDescent="0.25">
      <c r="A1" s="5" t="s">
        <v>194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</row>
    <row r="2" spans="1:61" ht="18" customHeight="1" x14ac:dyDescent="0.25">
      <c r="A2" s="4" t="s">
        <v>195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</row>
    <row r="4" spans="1:61" x14ac:dyDescent="0.25">
      <c r="A4" s="35"/>
      <c r="B4" s="3" t="s">
        <v>121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 t="s">
        <v>122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 t="s">
        <v>123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 t="s">
        <v>124</v>
      </c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 t="s">
        <v>125</v>
      </c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</row>
    <row r="5" spans="1:61" x14ac:dyDescent="0.25">
      <c r="A5" s="19" t="s">
        <v>126</v>
      </c>
      <c r="B5" s="20" t="s">
        <v>127</v>
      </c>
      <c r="C5" s="20" t="s">
        <v>128</v>
      </c>
      <c r="D5" s="20" t="s">
        <v>129</v>
      </c>
      <c r="E5" s="20" t="s">
        <v>130</v>
      </c>
      <c r="F5" s="20" t="s">
        <v>131</v>
      </c>
      <c r="G5" s="20" t="s">
        <v>132</v>
      </c>
      <c r="H5" s="20" t="s">
        <v>133</v>
      </c>
      <c r="I5" s="20" t="s">
        <v>134</v>
      </c>
      <c r="J5" s="20" t="s">
        <v>135</v>
      </c>
      <c r="K5" s="20" t="s">
        <v>136</v>
      </c>
      <c r="L5" s="20" t="s">
        <v>137</v>
      </c>
      <c r="M5" s="20" t="s">
        <v>138</v>
      </c>
      <c r="N5" s="20" t="s">
        <v>139</v>
      </c>
      <c r="O5" s="20" t="s">
        <v>140</v>
      </c>
      <c r="P5" s="20" t="s">
        <v>141</v>
      </c>
      <c r="Q5" s="20" t="s">
        <v>142</v>
      </c>
      <c r="R5" s="20" t="s">
        <v>143</v>
      </c>
      <c r="S5" s="20" t="s">
        <v>144</v>
      </c>
      <c r="T5" s="20" t="s">
        <v>145</v>
      </c>
      <c r="U5" s="20" t="s">
        <v>146</v>
      </c>
      <c r="V5" s="20" t="s">
        <v>147</v>
      </c>
      <c r="W5" s="20" t="s">
        <v>148</v>
      </c>
      <c r="X5" s="20" t="s">
        <v>149</v>
      </c>
      <c r="Y5" s="20" t="s">
        <v>150</v>
      </c>
      <c r="Z5" s="20" t="s">
        <v>151</v>
      </c>
      <c r="AA5" s="20" t="s">
        <v>152</v>
      </c>
      <c r="AB5" s="20" t="s">
        <v>153</v>
      </c>
      <c r="AC5" s="20" t="s">
        <v>154</v>
      </c>
      <c r="AD5" s="20" t="s">
        <v>155</v>
      </c>
      <c r="AE5" s="20" t="s">
        <v>156</v>
      </c>
      <c r="AF5" s="20" t="s">
        <v>157</v>
      </c>
      <c r="AG5" s="20" t="s">
        <v>158</v>
      </c>
      <c r="AH5" s="20" t="s">
        <v>159</v>
      </c>
      <c r="AI5" s="20" t="s">
        <v>160</v>
      </c>
      <c r="AJ5" s="20" t="s">
        <v>161</v>
      </c>
      <c r="AK5" s="20" t="s">
        <v>162</v>
      </c>
      <c r="AL5" s="20" t="s">
        <v>163</v>
      </c>
      <c r="AM5" s="20" t="s">
        <v>164</v>
      </c>
      <c r="AN5" s="20" t="s">
        <v>165</v>
      </c>
      <c r="AO5" s="20" t="s">
        <v>166</v>
      </c>
      <c r="AP5" s="20" t="s">
        <v>167</v>
      </c>
      <c r="AQ5" s="20" t="s">
        <v>168</v>
      </c>
      <c r="AR5" s="20" t="s">
        <v>169</v>
      </c>
      <c r="AS5" s="20" t="s">
        <v>170</v>
      </c>
      <c r="AT5" s="20" t="s">
        <v>171</v>
      </c>
      <c r="AU5" s="20" t="s">
        <v>172</v>
      </c>
      <c r="AV5" s="20" t="s">
        <v>173</v>
      </c>
      <c r="AW5" s="20" t="s">
        <v>174</v>
      </c>
      <c r="AX5" s="20" t="s">
        <v>175</v>
      </c>
      <c r="AY5" s="20" t="s">
        <v>176</v>
      </c>
      <c r="AZ5" s="20" t="s">
        <v>177</v>
      </c>
      <c r="BA5" s="20" t="s">
        <v>178</v>
      </c>
      <c r="BB5" s="20" t="s">
        <v>179</v>
      </c>
      <c r="BC5" s="20" t="s">
        <v>180</v>
      </c>
      <c r="BD5" s="20" t="s">
        <v>181</v>
      </c>
      <c r="BE5" s="20" t="s">
        <v>182</v>
      </c>
      <c r="BF5" s="20" t="s">
        <v>183</v>
      </c>
      <c r="BG5" s="20" t="s">
        <v>184</v>
      </c>
      <c r="BH5" s="20" t="s">
        <v>185</v>
      </c>
      <c r="BI5" s="20" t="s">
        <v>186</v>
      </c>
    </row>
    <row r="6" spans="1:61" x14ac:dyDescent="0.25">
      <c r="A6" s="36" t="s">
        <v>187</v>
      </c>
      <c r="B6" s="37">
        <f>IFERROR(EDATE(Assumptions!$D$9,0),"")</f>
        <v>0</v>
      </c>
      <c r="C6" s="37">
        <f>IFERROR(EDATE(Assumptions!$D$9,1),"")</f>
        <v>31</v>
      </c>
      <c r="D6" s="37">
        <f>IFERROR(EDATE(Assumptions!$D$9,2),"")</f>
        <v>60</v>
      </c>
      <c r="E6" s="37">
        <f>IFERROR(EDATE(Assumptions!$D$9,3),"")</f>
        <v>91</v>
      </c>
      <c r="F6" s="37">
        <f>IFERROR(EDATE(Assumptions!$D$9,4),"")</f>
        <v>121</v>
      </c>
      <c r="G6" s="37">
        <f>IFERROR(EDATE(Assumptions!$D$9,5),"")</f>
        <v>152</v>
      </c>
      <c r="H6" s="37">
        <f>IFERROR(EDATE(Assumptions!$D$9,6),"")</f>
        <v>182</v>
      </c>
      <c r="I6" s="37">
        <f>IFERROR(EDATE(Assumptions!$D$9,7),"")</f>
        <v>213</v>
      </c>
      <c r="J6" s="37">
        <f>IFERROR(EDATE(Assumptions!$D$9,8),"")</f>
        <v>244</v>
      </c>
      <c r="K6" s="37">
        <f>IFERROR(EDATE(Assumptions!$D$9,9),"")</f>
        <v>274</v>
      </c>
      <c r="L6" s="37">
        <f>IFERROR(EDATE(Assumptions!$D$9,10),"")</f>
        <v>305</v>
      </c>
      <c r="M6" s="37">
        <f>IFERROR(EDATE(Assumptions!$D$9,11),"")</f>
        <v>335</v>
      </c>
      <c r="N6" s="37">
        <f>IFERROR(EDATE(Assumptions!$D$9,12),"")</f>
        <v>366</v>
      </c>
      <c r="O6" s="37">
        <f>IFERROR(EDATE(Assumptions!$D$9,13),"")</f>
        <v>397</v>
      </c>
      <c r="P6" s="37">
        <f>IFERROR(EDATE(Assumptions!$D$9,14),"")</f>
        <v>425</v>
      </c>
      <c r="Q6" s="37">
        <f>IFERROR(EDATE(Assumptions!$D$9,15),"")</f>
        <v>456</v>
      </c>
      <c r="R6" s="37">
        <f>IFERROR(EDATE(Assumptions!$D$9,16),"")</f>
        <v>486</v>
      </c>
      <c r="S6" s="37">
        <f>IFERROR(EDATE(Assumptions!$D$9,17),"")</f>
        <v>517</v>
      </c>
      <c r="T6" s="37">
        <f>IFERROR(EDATE(Assumptions!$D$9,18),"")</f>
        <v>547</v>
      </c>
      <c r="U6" s="37">
        <f>IFERROR(EDATE(Assumptions!$D$9,19),"")</f>
        <v>578</v>
      </c>
      <c r="V6" s="37">
        <f>IFERROR(EDATE(Assumptions!$D$9,20),"")</f>
        <v>609</v>
      </c>
      <c r="W6" s="37">
        <f>IFERROR(EDATE(Assumptions!$D$9,21),"")</f>
        <v>639</v>
      </c>
      <c r="X6" s="37">
        <f>IFERROR(EDATE(Assumptions!$D$9,22),"")</f>
        <v>670</v>
      </c>
      <c r="Y6" s="37">
        <f>IFERROR(EDATE(Assumptions!$D$9,23),"")</f>
        <v>700</v>
      </c>
      <c r="Z6" s="37">
        <f>IFERROR(EDATE(Assumptions!$D$9,24),"")</f>
        <v>731</v>
      </c>
      <c r="AA6" s="37">
        <f>IFERROR(EDATE(Assumptions!$D$9,25),"")</f>
        <v>762</v>
      </c>
      <c r="AB6" s="37">
        <f>IFERROR(EDATE(Assumptions!$D$9,26),"")</f>
        <v>790</v>
      </c>
      <c r="AC6" s="37">
        <f>IFERROR(EDATE(Assumptions!$D$9,27),"")</f>
        <v>821</v>
      </c>
      <c r="AD6" s="37">
        <f>IFERROR(EDATE(Assumptions!$D$9,28),"")</f>
        <v>851</v>
      </c>
      <c r="AE6" s="37">
        <f>IFERROR(EDATE(Assumptions!$D$9,29),"")</f>
        <v>882</v>
      </c>
      <c r="AF6" s="37">
        <f>IFERROR(EDATE(Assumptions!$D$9,30),"")</f>
        <v>912</v>
      </c>
      <c r="AG6" s="37">
        <f>IFERROR(EDATE(Assumptions!$D$9,31),"")</f>
        <v>943</v>
      </c>
      <c r="AH6" s="37">
        <f>IFERROR(EDATE(Assumptions!$D$9,32),"")</f>
        <v>974</v>
      </c>
      <c r="AI6" s="37">
        <f>IFERROR(EDATE(Assumptions!$D$9,33),"")</f>
        <v>1004</v>
      </c>
      <c r="AJ6" s="37">
        <f>IFERROR(EDATE(Assumptions!$D$9,34),"")</f>
        <v>1035</v>
      </c>
      <c r="AK6" s="37">
        <f>IFERROR(EDATE(Assumptions!$D$9,35),"")</f>
        <v>1065</v>
      </c>
      <c r="AL6" s="37">
        <f>IFERROR(EDATE(Assumptions!$D$9,36),"")</f>
        <v>1096</v>
      </c>
      <c r="AM6" s="37">
        <f>IFERROR(EDATE(Assumptions!$D$9,37),"")</f>
        <v>1127</v>
      </c>
      <c r="AN6" s="37">
        <f>IFERROR(EDATE(Assumptions!$D$9,38),"")</f>
        <v>1155</v>
      </c>
      <c r="AO6" s="37">
        <f>IFERROR(EDATE(Assumptions!$D$9,39),"")</f>
        <v>1186</v>
      </c>
      <c r="AP6" s="37">
        <f>IFERROR(EDATE(Assumptions!$D$9,40),"")</f>
        <v>1216</v>
      </c>
      <c r="AQ6" s="37">
        <f>IFERROR(EDATE(Assumptions!$D$9,41),"")</f>
        <v>1247</v>
      </c>
      <c r="AR6" s="37">
        <f>IFERROR(EDATE(Assumptions!$D$9,42),"")</f>
        <v>1277</v>
      </c>
      <c r="AS6" s="37">
        <f>IFERROR(EDATE(Assumptions!$D$9,43),"")</f>
        <v>1308</v>
      </c>
      <c r="AT6" s="37">
        <f>IFERROR(EDATE(Assumptions!$D$9,44),"")</f>
        <v>1339</v>
      </c>
      <c r="AU6" s="37">
        <f>IFERROR(EDATE(Assumptions!$D$9,45),"")</f>
        <v>1369</v>
      </c>
      <c r="AV6" s="37">
        <f>IFERROR(EDATE(Assumptions!$D$9,46),"")</f>
        <v>1400</v>
      </c>
      <c r="AW6" s="37">
        <f>IFERROR(EDATE(Assumptions!$D$9,47),"")</f>
        <v>1430</v>
      </c>
      <c r="AX6" s="37">
        <f>IFERROR(EDATE(Assumptions!$D$9,48),"")</f>
        <v>1461</v>
      </c>
      <c r="AY6" s="37">
        <f>IFERROR(EDATE(Assumptions!$D$9,49),"")</f>
        <v>1492</v>
      </c>
      <c r="AZ6" s="37">
        <f>IFERROR(EDATE(Assumptions!$D$9,50),"")</f>
        <v>1521</v>
      </c>
      <c r="BA6" s="37">
        <f>IFERROR(EDATE(Assumptions!$D$9,51),"")</f>
        <v>1552</v>
      </c>
      <c r="BB6" s="37">
        <f>IFERROR(EDATE(Assumptions!$D$9,52),"")</f>
        <v>1582</v>
      </c>
      <c r="BC6" s="37">
        <f>IFERROR(EDATE(Assumptions!$D$9,53),"")</f>
        <v>1613</v>
      </c>
      <c r="BD6" s="37">
        <f>IFERROR(EDATE(Assumptions!$D$9,54),"")</f>
        <v>1643</v>
      </c>
      <c r="BE6" s="37">
        <f>IFERROR(EDATE(Assumptions!$D$9,55),"")</f>
        <v>1674</v>
      </c>
      <c r="BF6" s="37">
        <f>IFERROR(EDATE(Assumptions!$D$9,56),"")</f>
        <v>1705</v>
      </c>
      <c r="BG6" s="37">
        <f>IFERROR(EDATE(Assumptions!$D$9,57),"")</f>
        <v>1735</v>
      </c>
      <c r="BH6" s="37">
        <f>IFERROR(EDATE(Assumptions!$D$9,58),"")</f>
        <v>1766</v>
      </c>
      <c r="BI6" s="37">
        <f>IFERROR(EDATE(Assumptions!$D$9,59),"")</f>
        <v>1796</v>
      </c>
    </row>
    <row r="7" spans="1:61" ht="18" customHeight="1" x14ac:dyDescent="0.25">
      <c r="A7" s="9" t="s">
        <v>196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</row>
    <row r="8" spans="1:61" x14ac:dyDescent="0.25">
      <c r="A8" s="38" t="s">
        <v>193</v>
      </c>
      <c r="B8" s="39">
        <f>Production!B12</f>
        <v>0</v>
      </c>
      <c r="C8" s="39">
        <f>Production!C12</f>
        <v>0</v>
      </c>
      <c r="D8" s="39">
        <f>Production!D12</f>
        <v>0</v>
      </c>
      <c r="E8" s="39">
        <f>Production!E12</f>
        <v>0</v>
      </c>
      <c r="F8" s="39">
        <f>Production!F12</f>
        <v>0</v>
      </c>
      <c r="G8" s="39">
        <f>Production!G12</f>
        <v>0</v>
      </c>
      <c r="H8" s="39">
        <f>Production!H12</f>
        <v>0</v>
      </c>
      <c r="I8" s="39">
        <f>Production!I12</f>
        <v>0</v>
      </c>
      <c r="J8" s="39">
        <f>Production!J12</f>
        <v>0</v>
      </c>
      <c r="K8" s="39">
        <f>Production!K12</f>
        <v>0</v>
      </c>
      <c r="L8" s="39">
        <f>Production!L12</f>
        <v>0</v>
      </c>
      <c r="M8" s="39">
        <f>Production!M12</f>
        <v>0</v>
      </c>
      <c r="N8" s="39">
        <f>Production!N12</f>
        <v>0</v>
      </c>
      <c r="O8" s="39">
        <f>Production!O12</f>
        <v>0</v>
      </c>
      <c r="P8" s="39">
        <f>Production!P12</f>
        <v>0</v>
      </c>
      <c r="Q8" s="39">
        <f>Production!Q12</f>
        <v>0</v>
      </c>
      <c r="R8" s="39">
        <f>Production!R12</f>
        <v>0</v>
      </c>
      <c r="S8" s="39">
        <f>Production!S12</f>
        <v>0</v>
      </c>
      <c r="T8" s="39">
        <f>Production!T12</f>
        <v>0</v>
      </c>
      <c r="U8" s="39">
        <f>Production!U12</f>
        <v>0</v>
      </c>
      <c r="V8" s="39">
        <f>Production!V12</f>
        <v>0</v>
      </c>
      <c r="W8" s="39">
        <f>Production!W12</f>
        <v>0</v>
      </c>
      <c r="X8" s="39">
        <f>Production!X12</f>
        <v>0</v>
      </c>
      <c r="Y8" s="39">
        <f>Production!Y12</f>
        <v>0</v>
      </c>
      <c r="Z8" s="39">
        <f>Production!Z12</f>
        <v>0</v>
      </c>
      <c r="AA8" s="39">
        <f>Production!AA12</f>
        <v>0</v>
      </c>
      <c r="AB8" s="39">
        <f>Production!AB12</f>
        <v>0</v>
      </c>
      <c r="AC8" s="39">
        <f>Production!AC12</f>
        <v>0</v>
      </c>
      <c r="AD8" s="39">
        <f>Production!AD12</f>
        <v>0</v>
      </c>
      <c r="AE8" s="39">
        <f>Production!AE12</f>
        <v>0</v>
      </c>
      <c r="AF8" s="39">
        <f>Production!AF12</f>
        <v>0</v>
      </c>
      <c r="AG8" s="39">
        <f>Production!AG12</f>
        <v>0</v>
      </c>
      <c r="AH8" s="39">
        <f>Production!AH12</f>
        <v>0</v>
      </c>
      <c r="AI8" s="39">
        <f>Production!AI12</f>
        <v>0</v>
      </c>
      <c r="AJ8" s="39">
        <f>Production!AJ12</f>
        <v>0</v>
      </c>
      <c r="AK8" s="39">
        <f>Production!AK12</f>
        <v>0</v>
      </c>
      <c r="AL8" s="39">
        <f>Production!AL12</f>
        <v>0</v>
      </c>
      <c r="AM8" s="39">
        <f>Production!AM12</f>
        <v>0</v>
      </c>
      <c r="AN8" s="39">
        <f>Production!AN12</f>
        <v>0</v>
      </c>
      <c r="AO8" s="39">
        <f>Production!AO12</f>
        <v>0</v>
      </c>
      <c r="AP8" s="39">
        <f>Production!AP12</f>
        <v>0</v>
      </c>
      <c r="AQ8" s="39">
        <f>Production!AQ12</f>
        <v>0</v>
      </c>
      <c r="AR8" s="39">
        <f>Production!AR12</f>
        <v>0</v>
      </c>
      <c r="AS8" s="39">
        <f>Production!AS12</f>
        <v>0</v>
      </c>
      <c r="AT8" s="39">
        <f>Production!AT12</f>
        <v>0</v>
      </c>
      <c r="AU8" s="39">
        <f>Production!AU12</f>
        <v>0</v>
      </c>
      <c r="AV8" s="39">
        <f>Production!AV12</f>
        <v>0</v>
      </c>
      <c r="AW8" s="39">
        <f>Production!AW12</f>
        <v>0</v>
      </c>
      <c r="AX8" s="39">
        <f>Production!AX12</f>
        <v>0</v>
      </c>
      <c r="AY8" s="39">
        <f>Production!AY12</f>
        <v>0</v>
      </c>
      <c r="AZ8" s="39">
        <f>Production!AZ12</f>
        <v>0</v>
      </c>
      <c r="BA8" s="39">
        <f>Production!BA12</f>
        <v>0</v>
      </c>
      <c r="BB8" s="39">
        <f>Production!BB12</f>
        <v>0</v>
      </c>
      <c r="BC8" s="39">
        <f>Production!BC12</f>
        <v>0</v>
      </c>
      <c r="BD8" s="39">
        <f>Production!BD12</f>
        <v>0</v>
      </c>
      <c r="BE8" s="39">
        <f>Production!BE12</f>
        <v>0</v>
      </c>
      <c r="BF8" s="39">
        <f>Production!BF12</f>
        <v>0</v>
      </c>
      <c r="BG8" s="39">
        <f>Production!BG12</f>
        <v>0</v>
      </c>
      <c r="BH8" s="39">
        <f>Production!BH12</f>
        <v>0</v>
      </c>
      <c r="BI8" s="39">
        <f>Production!BI12</f>
        <v>0</v>
      </c>
    </row>
    <row r="9" spans="1:61" x14ac:dyDescent="0.25">
      <c r="A9" s="38" t="s">
        <v>197</v>
      </c>
      <c r="B9" s="40">
        <f>Assumptions!$D$15</f>
        <v>0</v>
      </c>
      <c r="C9" s="40">
        <f>Assumptions!$D$15</f>
        <v>0</v>
      </c>
      <c r="D9" s="40">
        <f>Assumptions!$D$15</f>
        <v>0</v>
      </c>
      <c r="E9" s="40">
        <f>Assumptions!$D$15</f>
        <v>0</v>
      </c>
      <c r="F9" s="40">
        <f>Assumptions!$D$15</f>
        <v>0</v>
      </c>
      <c r="G9" s="40">
        <f>Assumptions!$D$15</f>
        <v>0</v>
      </c>
      <c r="H9" s="40">
        <f>Assumptions!$D$15</f>
        <v>0</v>
      </c>
      <c r="I9" s="40">
        <f>Assumptions!$D$15</f>
        <v>0</v>
      </c>
      <c r="J9" s="40">
        <f>Assumptions!$D$15</f>
        <v>0</v>
      </c>
      <c r="K9" s="40">
        <f>Assumptions!$D$15</f>
        <v>0</v>
      </c>
      <c r="L9" s="40">
        <f>Assumptions!$D$15</f>
        <v>0</v>
      </c>
      <c r="M9" s="40">
        <f>Assumptions!$D$15</f>
        <v>0</v>
      </c>
      <c r="N9" s="40">
        <f>Assumptions!$D$15</f>
        <v>0</v>
      </c>
      <c r="O9" s="40">
        <f>Assumptions!$D$15</f>
        <v>0</v>
      </c>
      <c r="P9" s="40">
        <f>Assumptions!$D$15</f>
        <v>0</v>
      </c>
      <c r="Q9" s="40">
        <f>Assumptions!$D$15</f>
        <v>0</v>
      </c>
      <c r="R9" s="40">
        <f>Assumptions!$D$15</f>
        <v>0</v>
      </c>
      <c r="S9" s="40">
        <f>Assumptions!$D$15</f>
        <v>0</v>
      </c>
      <c r="T9" s="40">
        <f>Assumptions!$D$15</f>
        <v>0</v>
      </c>
      <c r="U9" s="40">
        <f>Assumptions!$D$15</f>
        <v>0</v>
      </c>
      <c r="V9" s="40">
        <f>Assumptions!$D$15</f>
        <v>0</v>
      </c>
      <c r="W9" s="40">
        <f>Assumptions!$D$15</f>
        <v>0</v>
      </c>
      <c r="X9" s="40">
        <f>Assumptions!$D$15</f>
        <v>0</v>
      </c>
      <c r="Y9" s="40">
        <f>Assumptions!$D$15</f>
        <v>0</v>
      </c>
      <c r="Z9" s="40">
        <f>Assumptions!$D$15</f>
        <v>0</v>
      </c>
      <c r="AA9" s="40">
        <f>Assumptions!$D$15</f>
        <v>0</v>
      </c>
      <c r="AB9" s="40">
        <f>Assumptions!$D$15</f>
        <v>0</v>
      </c>
      <c r="AC9" s="40">
        <f>Assumptions!$D$15</f>
        <v>0</v>
      </c>
      <c r="AD9" s="40">
        <f>Assumptions!$D$15</f>
        <v>0</v>
      </c>
      <c r="AE9" s="40">
        <f>Assumptions!$D$15</f>
        <v>0</v>
      </c>
      <c r="AF9" s="40">
        <f>Assumptions!$D$15</f>
        <v>0</v>
      </c>
      <c r="AG9" s="40">
        <f>Assumptions!$D$15</f>
        <v>0</v>
      </c>
      <c r="AH9" s="40">
        <f>Assumptions!$D$15</f>
        <v>0</v>
      </c>
      <c r="AI9" s="40">
        <f>Assumptions!$D$15</f>
        <v>0</v>
      </c>
      <c r="AJ9" s="40">
        <f>Assumptions!$D$15</f>
        <v>0</v>
      </c>
      <c r="AK9" s="40">
        <f>Assumptions!$D$15</f>
        <v>0</v>
      </c>
      <c r="AL9" s="40">
        <f>Assumptions!$D$15</f>
        <v>0</v>
      </c>
      <c r="AM9" s="40">
        <f>Assumptions!$D$15</f>
        <v>0</v>
      </c>
      <c r="AN9" s="40">
        <f>Assumptions!$D$15</f>
        <v>0</v>
      </c>
      <c r="AO9" s="40">
        <f>Assumptions!$D$15</f>
        <v>0</v>
      </c>
      <c r="AP9" s="40">
        <f>Assumptions!$D$15</f>
        <v>0</v>
      </c>
      <c r="AQ9" s="40">
        <f>Assumptions!$D$15</f>
        <v>0</v>
      </c>
      <c r="AR9" s="40">
        <f>Assumptions!$D$15</f>
        <v>0</v>
      </c>
      <c r="AS9" s="40">
        <f>Assumptions!$D$15</f>
        <v>0</v>
      </c>
      <c r="AT9" s="40">
        <f>Assumptions!$D$15</f>
        <v>0</v>
      </c>
      <c r="AU9" s="40">
        <f>Assumptions!$D$15</f>
        <v>0</v>
      </c>
      <c r="AV9" s="40">
        <f>Assumptions!$D$15</f>
        <v>0</v>
      </c>
      <c r="AW9" s="40">
        <f>Assumptions!$D$15</f>
        <v>0</v>
      </c>
      <c r="AX9" s="40">
        <f>Assumptions!$D$15</f>
        <v>0</v>
      </c>
      <c r="AY9" s="40">
        <f>Assumptions!$D$15</f>
        <v>0</v>
      </c>
      <c r="AZ9" s="40">
        <f>Assumptions!$D$15</f>
        <v>0</v>
      </c>
      <c r="BA9" s="40">
        <f>Assumptions!$D$15</f>
        <v>0</v>
      </c>
      <c r="BB9" s="40">
        <f>Assumptions!$D$15</f>
        <v>0</v>
      </c>
      <c r="BC9" s="40">
        <f>Assumptions!$D$15</f>
        <v>0</v>
      </c>
      <c r="BD9" s="40">
        <f>Assumptions!$D$15</f>
        <v>0</v>
      </c>
      <c r="BE9" s="40">
        <f>Assumptions!$D$15</f>
        <v>0</v>
      </c>
      <c r="BF9" s="40">
        <f>Assumptions!$D$15</f>
        <v>0</v>
      </c>
      <c r="BG9" s="40">
        <f>Assumptions!$D$15</f>
        <v>0</v>
      </c>
      <c r="BH9" s="40">
        <f>Assumptions!$D$15</f>
        <v>0</v>
      </c>
      <c r="BI9" s="40">
        <f>Assumptions!$D$15</f>
        <v>0</v>
      </c>
    </row>
    <row r="10" spans="1:61" x14ac:dyDescent="0.25">
      <c r="A10" s="41" t="s">
        <v>198</v>
      </c>
      <c r="B10" s="42">
        <f t="shared" ref="B10:AG10" si="0">B8*B9</f>
        <v>0</v>
      </c>
      <c r="C10" s="42">
        <f t="shared" si="0"/>
        <v>0</v>
      </c>
      <c r="D10" s="42">
        <f t="shared" si="0"/>
        <v>0</v>
      </c>
      <c r="E10" s="42">
        <f t="shared" si="0"/>
        <v>0</v>
      </c>
      <c r="F10" s="42">
        <f t="shared" si="0"/>
        <v>0</v>
      </c>
      <c r="G10" s="42">
        <f t="shared" si="0"/>
        <v>0</v>
      </c>
      <c r="H10" s="42">
        <f t="shared" si="0"/>
        <v>0</v>
      </c>
      <c r="I10" s="42">
        <f t="shared" si="0"/>
        <v>0</v>
      </c>
      <c r="J10" s="42">
        <f t="shared" si="0"/>
        <v>0</v>
      </c>
      <c r="K10" s="42">
        <f t="shared" si="0"/>
        <v>0</v>
      </c>
      <c r="L10" s="42">
        <f t="shared" si="0"/>
        <v>0</v>
      </c>
      <c r="M10" s="42">
        <f t="shared" si="0"/>
        <v>0</v>
      </c>
      <c r="N10" s="42">
        <f t="shared" si="0"/>
        <v>0</v>
      </c>
      <c r="O10" s="42">
        <f t="shared" si="0"/>
        <v>0</v>
      </c>
      <c r="P10" s="42">
        <f t="shared" si="0"/>
        <v>0</v>
      </c>
      <c r="Q10" s="42">
        <f t="shared" si="0"/>
        <v>0</v>
      </c>
      <c r="R10" s="42">
        <f t="shared" si="0"/>
        <v>0</v>
      </c>
      <c r="S10" s="42">
        <f t="shared" si="0"/>
        <v>0</v>
      </c>
      <c r="T10" s="42">
        <f t="shared" si="0"/>
        <v>0</v>
      </c>
      <c r="U10" s="42">
        <f t="shared" si="0"/>
        <v>0</v>
      </c>
      <c r="V10" s="42">
        <f t="shared" si="0"/>
        <v>0</v>
      </c>
      <c r="W10" s="42">
        <f t="shared" si="0"/>
        <v>0</v>
      </c>
      <c r="X10" s="42">
        <f t="shared" si="0"/>
        <v>0</v>
      </c>
      <c r="Y10" s="42">
        <f t="shared" si="0"/>
        <v>0</v>
      </c>
      <c r="Z10" s="42">
        <f t="shared" si="0"/>
        <v>0</v>
      </c>
      <c r="AA10" s="42">
        <f t="shared" si="0"/>
        <v>0</v>
      </c>
      <c r="AB10" s="42">
        <f t="shared" si="0"/>
        <v>0</v>
      </c>
      <c r="AC10" s="42">
        <f t="shared" si="0"/>
        <v>0</v>
      </c>
      <c r="AD10" s="42">
        <f t="shared" si="0"/>
        <v>0</v>
      </c>
      <c r="AE10" s="42">
        <f t="shared" si="0"/>
        <v>0</v>
      </c>
      <c r="AF10" s="42">
        <f t="shared" si="0"/>
        <v>0</v>
      </c>
      <c r="AG10" s="42">
        <f t="shared" si="0"/>
        <v>0</v>
      </c>
      <c r="AH10" s="42">
        <f t="shared" ref="AH10:BM10" si="1">AH8*AH9</f>
        <v>0</v>
      </c>
      <c r="AI10" s="42">
        <f t="shared" si="1"/>
        <v>0</v>
      </c>
      <c r="AJ10" s="42">
        <f t="shared" si="1"/>
        <v>0</v>
      </c>
      <c r="AK10" s="42">
        <f t="shared" si="1"/>
        <v>0</v>
      </c>
      <c r="AL10" s="42">
        <f t="shared" si="1"/>
        <v>0</v>
      </c>
      <c r="AM10" s="42">
        <f t="shared" si="1"/>
        <v>0</v>
      </c>
      <c r="AN10" s="42">
        <f t="shared" si="1"/>
        <v>0</v>
      </c>
      <c r="AO10" s="42">
        <f t="shared" si="1"/>
        <v>0</v>
      </c>
      <c r="AP10" s="42">
        <f t="shared" si="1"/>
        <v>0</v>
      </c>
      <c r="AQ10" s="42">
        <f t="shared" si="1"/>
        <v>0</v>
      </c>
      <c r="AR10" s="42">
        <f t="shared" si="1"/>
        <v>0</v>
      </c>
      <c r="AS10" s="42">
        <f t="shared" si="1"/>
        <v>0</v>
      </c>
      <c r="AT10" s="42">
        <f t="shared" si="1"/>
        <v>0</v>
      </c>
      <c r="AU10" s="42">
        <f t="shared" si="1"/>
        <v>0</v>
      </c>
      <c r="AV10" s="42">
        <f t="shared" si="1"/>
        <v>0</v>
      </c>
      <c r="AW10" s="42">
        <f t="shared" si="1"/>
        <v>0</v>
      </c>
      <c r="AX10" s="42">
        <f t="shared" si="1"/>
        <v>0</v>
      </c>
      <c r="AY10" s="42">
        <f t="shared" si="1"/>
        <v>0</v>
      </c>
      <c r="AZ10" s="42">
        <f t="shared" si="1"/>
        <v>0</v>
      </c>
      <c r="BA10" s="42">
        <f t="shared" si="1"/>
        <v>0</v>
      </c>
      <c r="BB10" s="42">
        <f t="shared" si="1"/>
        <v>0</v>
      </c>
      <c r="BC10" s="42">
        <f t="shared" si="1"/>
        <v>0</v>
      </c>
      <c r="BD10" s="42">
        <f t="shared" si="1"/>
        <v>0</v>
      </c>
      <c r="BE10" s="42">
        <f t="shared" si="1"/>
        <v>0</v>
      </c>
      <c r="BF10" s="42">
        <f t="shared" si="1"/>
        <v>0</v>
      </c>
      <c r="BG10" s="42">
        <f t="shared" si="1"/>
        <v>0</v>
      </c>
      <c r="BH10" s="42">
        <f t="shared" si="1"/>
        <v>0</v>
      </c>
      <c r="BI10" s="42">
        <f t="shared" si="1"/>
        <v>0</v>
      </c>
    </row>
    <row r="11" spans="1:61" x14ac:dyDescent="0.25">
      <c r="A11" s="38" t="s">
        <v>199</v>
      </c>
      <c r="B11" s="45">
        <f>Assumptions!$D$16</f>
        <v>0</v>
      </c>
      <c r="C11" s="45">
        <f>Assumptions!$D$16</f>
        <v>0</v>
      </c>
      <c r="D11" s="45">
        <f>Assumptions!$D$16</f>
        <v>0</v>
      </c>
      <c r="E11" s="45">
        <f>Assumptions!$D$16</f>
        <v>0</v>
      </c>
      <c r="F11" s="45">
        <f>Assumptions!$D$16</f>
        <v>0</v>
      </c>
      <c r="G11" s="45">
        <f>Assumptions!$D$16</f>
        <v>0</v>
      </c>
      <c r="H11" s="45">
        <f>Assumptions!$D$16</f>
        <v>0</v>
      </c>
      <c r="I11" s="45">
        <f>Assumptions!$D$16</f>
        <v>0</v>
      </c>
      <c r="J11" s="45">
        <f>Assumptions!$D$16</f>
        <v>0</v>
      </c>
      <c r="K11" s="45">
        <f>Assumptions!$D$16</f>
        <v>0</v>
      </c>
      <c r="L11" s="45">
        <f>Assumptions!$D$16</f>
        <v>0</v>
      </c>
      <c r="M11" s="45">
        <f>Assumptions!$D$16</f>
        <v>0</v>
      </c>
      <c r="N11" s="45">
        <f>Assumptions!$E$16</f>
        <v>0</v>
      </c>
      <c r="O11" s="45">
        <f>Assumptions!$E$16</f>
        <v>0</v>
      </c>
      <c r="P11" s="45">
        <f>Assumptions!$E$16</f>
        <v>0</v>
      </c>
      <c r="Q11" s="45">
        <f>Assumptions!$E$16</f>
        <v>0</v>
      </c>
      <c r="R11" s="45">
        <f>Assumptions!$E$16</f>
        <v>0</v>
      </c>
      <c r="S11" s="45">
        <f>Assumptions!$E$16</f>
        <v>0</v>
      </c>
      <c r="T11" s="45">
        <f>Assumptions!$E$16</f>
        <v>0</v>
      </c>
      <c r="U11" s="45">
        <f>Assumptions!$E$16</f>
        <v>0</v>
      </c>
      <c r="V11" s="45">
        <f>Assumptions!$E$16</f>
        <v>0</v>
      </c>
      <c r="W11" s="45">
        <f>Assumptions!$E$16</f>
        <v>0</v>
      </c>
      <c r="X11" s="45">
        <f>Assumptions!$E$16</f>
        <v>0</v>
      </c>
      <c r="Y11" s="45">
        <f>Assumptions!$E$16</f>
        <v>0</v>
      </c>
      <c r="Z11" s="45">
        <f>Assumptions!$F$16</f>
        <v>0</v>
      </c>
      <c r="AA11" s="45">
        <f>Assumptions!$F$16</f>
        <v>0</v>
      </c>
      <c r="AB11" s="45">
        <f>Assumptions!$F$16</f>
        <v>0</v>
      </c>
      <c r="AC11" s="45">
        <f>Assumptions!$F$16</f>
        <v>0</v>
      </c>
      <c r="AD11" s="45">
        <f>Assumptions!$F$16</f>
        <v>0</v>
      </c>
      <c r="AE11" s="45">
        <f>Assumptions!$F$16</f>
        <v>0</v>
      </c>
      <c r="AF11" s="45">
        <f>Assumptions!$F$16</f>
        <v>0</v>
      </c>
      <c r="AG11" s="45">
        <f>Assumptions!$F$16</f>
        <v>0</v>
      </c>
      <c r="AH11" s="45">
        <f>Assumptions!$F$16</f>
        <v>0</v>
      </c>
      <c r="AI11" s="45">
        <f>Assumptions!$F$16</f>
        <v>0</v>
      </c>
      <c r="AJ11" s="45">
        <f>Assumptions!$F$16</f>
        <v>0</v>
      </c>
      <c r="AK11" s="45">
        <f>Assumptions!$F$16</f>
        <v>0</v>
      </c>
      <c r="AL11" s="45">
        <f>Assumptions!$G$16</f>
        <v>0</v>
      </c>
      <c r="AM11" s="45">
        <f>Assumptions!$G$16</f>
        <v>0</v>
      </c>
      <c r="AN11" s="45">
        <f>Assumptions!$G$16</f>
        <v>0</v>
      </c>
      <c r="AO11" s="45">
        <f>Assumptions!$G$16</f>
        <v>0</v>
      </c>
      <c r="AP11" s="45">
        <f>Assumptions!$G$16</f>
        <v>0</v>
      </c>
      <c r="AQ11" s="45">
        <f>Assumptions!$G$16</f>
        <v>0</v>
      </c>
      <c r="AR11" s="45">
        <f>Assumptions!$G$16</f>
        <v>0</v>
      </c>
      <c r="AS11" s="45">
        <f>Assumptions!$G$16</f>
        <v>0</v>
      </c>
      <c r="AT11" s="45">
        <f>Assumptions!$G$16</f>
        <v>0</v>
      </c>
      <c r="AU11" s="45">
        <f>Assumptions!$G$16</f>
        <v>0</v>
      </c>
      <c r="AV11" s="45">
        <f>Assumptions!$G$16</f>
        <v>0</v>
      </c>
      <c r="AW11" s="45">
        <f>Assumptions!$G$16</f>
        <v>0</v>
      </c>
      <c r="AX11" s="45">
        <f>Assumptions!$H$16</f>
        <v>0</v>
      </c>
      <c r="AY11" s="45">
        <f>Assumptions!$H$16</f>
        <v>0</v>
      </c>
      <c r="AZ11" s="45">
        <f>Assumptions!$H$16</f>
        <v>0</v>
      </c>
      <c r="BA11" s="45">
        <f>Assumptions!$H$16</f>
        <v>0</v>
      </c>
      <c r="BB11" s="45">
        <f>Assumptions!$H$16</f>
        <v>0</v>
      </c>
      <c r="BC11" s="45">
        <f>Assumptions!$H$16</f>
        <v>0</v>
      </c>
      <c r="BD11" s="45">
        <f>Assumptions!$H$16</f>
        <v>0</v>
      </c>
      <c r="BE11" s="45">
        <f>Assumptions!$H$16</f>
        <v>0</v>
      </c>
      <c r="BF11" s="45">
        <f>Assumptions!$H$16</f>
        <v>0</v>
      </c>
      <c r="BG11" s="45">
        <f>Assumptions!$H$16</f>
        <v>0</v>
      </c>
      <c r="BH11" s="45">
        <f>Assumptions!$H$16</f>
        <v>0</v>
      </c>
      <c r="BI11" s="45">
        <f>Assumptions!$H$16</f>
        <v>0</v>
      </c>
    </row>
    <row r="12" spans="1:61" x14ac:dyDescent="0.25">
      <c r="A12" s="38" t="s">
        <v>200</v>
      </c>
      <c r="B12" s="46">
        <f t="shared" ref="B12:AG12" si="2">B10*B11</f>
        <v>0</v>
      </c>
      <c r="C12" s="46">
        <f t="shared" si="2"/>
        <v>0</v>
      </c>
      <c r="D12" s="46">
        <f t="shared" si="2"/>
        <v>0</v>
      </c>
      <c r="E12" s="46">
        <f t="shared" si="2"/>
        <v>0</v>
      </c>
      <c r="F12" s="46">
        <f t="shared" si="2"/>
        <v>0</v>
      </c>
      <c r="G12" s="46">
        <f t="shared" si="2"/>
        <v>0</v>
      </c>
      <c r="H12" s="46">
        <f t="shared" si="2"/>
        <v>0</v>
      </c>
      <c r="I12" s="46">
        <f t="shared" si="2"/>
        <v>0</v>
      </c>
      <c r="J12" s="46">
        <f t="shared" si="2"/>
        <v>0</v>
      </c>
      <c r="K12" s="46">
        <f t="shared" si="2"/>
        <v>0</v>
      </c>
      <c r="L12" s="46">
        <f t="shared" si="2"/>
        <v>0</v>
      </c>
      <c r="M12" s="46">
        <f t="shared" si="2"/>
        <v>0</v>
      </c>
      <c r="N12" s="46">
        <f t="shared" si="2"/>
        <v>0</v>
      </c>
      <c r="O12" s="46">
        <f t="shared" si="2"/>
        <v>0</v>
      </c>
      <c r="P12" s="46">
        <f t="shared" si="2"/>
        <v>0</v>
      </c>
      <c r="Q12" s="46">
        <f t="shared" si="2"/>
        <v>0</v>
      </c>
      <c r="R12" s="46">
        <f t="shared" si="2"/>
        <v>0</v>
      </c>
      <c r="S12" s="46">
        <f t="shared" si="2"/>
        <v>0</v>
      </c>
      <c r="T12" s="46">
        <f t="shared" si="2"/>
        <v>0</v>
      </c>
      <c r="U12" s="46">
        <f t="shared" si="2"/>
        <v>0</v>
      </c>
      <c r="V12" s="46">
        <f t="shared" si="2"/>
        <v>0</v>
      </c>
      <c r="W12" s="46">
        <f t="shared" si="2"/>
        <v>0</v>
      </c>
      <c r="X12" s="46">
        <f t="shared" si="2"/>
        <v>0</v>
      </c>
      <c r="Y12" s="46">
        <f t="shared" si="2"/>
        <v>0</v>
      </c>
      <c r="Z12" s="46">
        <f t="shared" si="2"/>
        <v>0</v>
      </c>
      <c r="AA12" s="46">
        <f t="shared" si="2"/>
        <v>0</v>
      </c>
      <c r="AB12" s="46">
        <f t="shared" si="2"/>
        <v>0</v>
      </c>
      <c r="AC12" s="46">
        <f t="shared" si="2"/>
        <v>0</v>
      </c>
      <c r="AD12" s="46">
        <f t="shared" si="2"/>
        <v>0</v>
      </c>
      <c r="AE12" s="46">
        <f t="shared" si="2"/>
        <v>0</v>
      </c>
      <c r="AF12" s="46">
        <f t="shared" si="2"/>
        <v>0</v>
      </c>
      <c r="AG12" s="46">
        <f t="shared" si="2"/>
        <v>0</v>
      </c>
      <c r="AH12" s="46">
        <f t="shared" ref="AH12:BM12" si="3">AH10*AH11</f>
        <v>0</v>
      </c>
      <c r="AI12" s="46">
        <f t="shared" si="3"/>
        <v>0</v>
      </c>
      <c r="AJ12" s="46">
        <f t="shared" si="3"/>
        <v>0</v>
      </c>
      <c r="AK12" s="46">
        <f t="shared" si="3"/>
        <v>0</v>
      </c>
      <c r="AL12" s="46">
        <f t="shared" si="3"/>
        <v>0</v>
      </c>
      <c r="AM12" s="46">
        <f t="shared" si="3"/>
        <v>0</v>
      </c>
      <c r="AN12" s="46">
        <f t="shared" si="3"/>
        <v>0</v>
      </c>
      <c r="AO12" s="46">
        <f t="shared" si="3"/>
        <v>0</v>
      </c>
      <c r="AP12" s="46">
        <f t="shared" si="3"/>
        <v>0</v>
      </c>
      <c r="AQ12" s="46">
        <f t="shared" si="3"/>
        <v>0</v>
      </c>
      <c r="AR12" s="46">
        <f t="shared" si="3"/>
        <v>0</v>
      </c>
      <c r="AS12" s="46">
        <f t="shared" si="3"/>
        <v>0</v>
      </c>
      <c r="AT12" s="46">
        <f t="shared" si="3"/>
        <v>0</v>
      </c>
      <c r="AU12" s="46">
        <f t="shared" si="3"/>
        <v>0</v>
      </c>
      <c r="AV12" s="46">
        <f t="shared" si="3"/>
        <v>0</v>
      </c>
      <c r="AW12" s="46">
        <f t="shared" si="3"/>
        <v>0</v>
      </c>
      <c r="AX12" s="46">
        <f t="shared" si="3"/>
        <v>0</v>
      </c>
      <c r="AY12" s="46">
        <f t="shared" si="3"/>
        <v>0</v>
      </c>
      <c r="AZ12" s="46">
        <f t="shared" si="3"/>
        <v>0</v>
      </c>
      <c r="BA12" s="46">
        <f t="shared" si="3"/>
        <v>0</v>
      </c>
      <c r="BB12" s="46">
        <f t="shared" si="3"/>
        <v>0</v>
      </c>
      <c r="BC12" s="46">
        <f t="shared" si="3"/>
        <v>0</v>
      </c>
      <c r="BD12" s="46">
        <f t="shared" si="3"/>
        <v>0</v>
      </c>
      <c r="BE12" s="46">
        <f t="shared" si="3"/>
        <v>0</v>
      </c>
      <c r="BF12" s="46">
        <f t="shared" si="3"/>
        <v>0</v>
      </c>
      <c r="BG12" s="46">
        <f t="shared" si="3"/>
        <v>0</v>
      </c>
      <c r="BH12" s="46">
        <f t="shared" si="3"/>
        <v>0</v>
      </c>
      <c r="BI12" s="46">
        <f t="shared" si="3"/>
        <v>0</v>
      </c>
    </row>
    <row r="13" spans="1:61" x14ac:dyDescent="0.25">
      <c r="A13" s="38" t="s">
        <v>201</v>
      </c>
      <c r="B13" s="46">
        <f>B12*Assumptions!$D$17</f>
        <v>0</v>
      </c>
      <c r="C13" s="46">
        <f>C12*Assumptions!$D$17</f>
        <v>0</v>
      </c>
      <c r="D13" s="46">
        <f>D12*Assumptions!$D$17</f>
        <v>0</v>
      </c>
      <c r="E13" s="46">
        <f>E12*Assumptions!$D$17</f>
        <v>0</v>
      </c>
      <c r="F13" s="46">
        <f>F12*Assumptions!$D$17</f>
        <v>0</v>
      </c>
      <c r="G13" s="46">
        <f>G12*Assumptions!$D$17</f>
        <v>0</v>
      </c>
      <c r="H13" s="46">
        <f>H12*Assumptions!$D$17</f>
        <v>0</v>
      </c>
      <c r="I13" s="46">
        <f>I12*Assumptions!$D$17</f>
        <v>0</v>
      </c>
      <c r="J13" s="46">
        <f>J12*Assumptions!$D$17</f>
        <v>0</v>
      </c>
      <c r="K13" s="46">
        <f>K12*Assumptions!$D$17</f>
        <v>0</v>
      </c>
      <c r="L13" s="46">
        <f>L12*Assumptions!$D$17</f>
        <v>0</v>
      </c>
      <c r="M13" s="46">
        <f>M12*Assumptions!$D$17</f>
        <v>0</v>
      </c>
      <c r="N13" s="46">
        <f>N12*Assumptions!$D$17</f>
        <v>0</v>
      </c>
      <c r="O13" s="46">
        <f>O12*Assumptions!$D$17</f>
        <v>0</v>
      </c>
      <c r="P13" s="46">
        <f>P12*Assumptions!$D$17</f>
        <v>0</v>
      </c>
      <c r="Q13" s="46">
        <f>Q12*Assumptions!$D$17</f>
        <v>0</v>
      </c>
      <c r="R13" s="46">
        <f>R12*Assumptions!$D$17</f>
        <v>0</v>
      </c>
      <c r="S13" s="46">
        <f>S12*Assumptions!$D$17</f>
        <v>0</v>
      </c>
      <c r="T13" s="46">
        <f>T12*Assumptions!$D$17</f>
        <v>0</v>
      </c>
      <c r="U13" s="46">
        <f>U12*Assumptions!$D$17</f>
        <v>0</v>
      </c>
      <c r="V13" s="46">
        <f>V12*Assumptions!$D$17</f>
        <v>0</v>
      </c>
      <c r="W13" s="46">
        <f>W12*Assumptions!$D$17</f>
        <v>0</v>
      </c>
      <c r="X13" s="46">
        <f>X12*Assumptions!$D$17</f>
        <v>0</v>
      </c>
      <c r="Y13" s="46">
        <f>Y12*Assumptions!$D$17</f>
        <v>0</v>
      </c>
      <c r="Z13" s="46">
        <f>Z12*Assumptions!$D$17</f>
        <v>0</v>
      </c>
      <c r="AA13" s="46">
        <f>AA12*Assumptions!$D$17</f>
        <v>0</v>
      </c>
      <c r="AB13" s="46">
        <f>AB12*Assumptions!$D$17</f>
        <v>0</v>
      </c>
      <c r="AC13" s="46">
        <f>AC12*Assumptions!$D$17</f>
        <v>0</v>
      </c>
      <c r="AD13" s="46">
        <f>AD12*Assumptions!$D$17</f>
        <v>0</v>
      </c>
      <c r="AE13" s="46">
        <f>AE12*Assumptions!$D$17</f>
        <v>0</v>
      </c>
      <c r="AF13" s="46">
        <f>AF12*Assumptions!$D$17</f>
        <v>0</v>
      </c>
      <c r="AG13" s="46">
        <f>AG12*Assumptions!$D$17</f>
        <v>0</v>
      </c>
      <c r="AH13" s="46">
        <f>AH12*Assumptions!$D$17</f>
        <v>0</v>
      </c>
      <c r="AI13" s="46">
        <f>AI12*Assumptions!$D$17</f>
        <v>0</v>
      </c>
      <c r="AJ13" s="46">
        <f>AJ12*Assumptions!$D$17</f>
        <v>0</v>
      </c>
      <c r="AK13" s="46">
        <f>AK12*Assumptions!$D$17</f>
        <v>0</v>
      </c>
      <c r="AL13" s="46">
        <f>AL12*Assumptions!$D$17</f>
        <v>0</v>
      </c>
      <c r="AM13" s="46">
        <f>AM12*Assumptions!$D$17</f>
        <v>0</v>
      </c>
      <c r="AN13" s="46">
        <f>AN12*Assumptions!$D$17</f>
        <v>0</v>
      </c>
      <c r="AO13" s="46">
        <f>AO12*Assumptions!$D$17</f>
        <v>0</v>
      </c>
      <c r="AP13" s="46">
        <f>AP12*Assumptions!$D$17</f>
        <v>0</v>
      </c>
      <c r="AQ13" s="46">
        <f>AQ12*Assumptions!$D$17</f>
        <v>0</v>
      </c>
      <c r="AR13" s="46">
        <f>AR12*Assumptions!$D$17</f>
        <v>0</v>
      </c>
      <c r="AS13" s="46">
        <f>AS12*Assumptions!$D$17</f>
        <v>0</v>
      </c>
      <c r="AT13" s="46">
        <f>AT12*Assumptions!$D$17</f>
        <v>0</v>
      </c>
      <c r="AU13" s="46">
        <f>AU12*Assumptions!$D$17</f>
        <v>0</v>
      </c>
      <c r="AV13" s="46">
        <f>AV12*Assumptions!$D$17</f>
        <v>0</v>
      </c>
      <c r="AW13" s="46">
        <f>AW12*Assumptions!$D$17</f>
        <v>0</v>
      </c>
      <c r="AX13" s="46">
        <f>AX12*Assumptions!$D$17</f>
        <v>0</v>
      </c>
      <c r="AY13" s="46">
        <f>AY12*Assumptions!$D$17</f>
        <v>0</v>
      </c>
      <c r="AZ13" s="46">
        <f>AZ12*Assumptions!$D$17</f>
        <v>0</v>
      </c>
      <c r="BA13" s="46">
        <f>BA12*Assumptions!$D$17</f>
        <v>0</v>
      </c>
      <c r="BB13" s="46">
        <f>BB12*Assumptions!$D$17</f>
        <v>0</v>
      </c>
      <c r="BC13" s="46">
        <f>BC12*Assumptions!$D$17</f>
        <v>0</v>
      </c>
      <c r="BD13" s="46">
        <f>BD12*Assumptions!$D$17</f>
        <v>0</v>
      </c>
      <c r="BE13" s="46">
        <f>BE12*Assumptions!$D$17</f>
        <v>0</v>
      </c>
      <c r="BF13" s="46">
        <f>BF12*Assumptions!$D$17</f>
        <v>0</v>
      </c>
      <c r="BG13" s="46">
        <f>BG12*Assumptions!$D$17</f>
        <v>0</v>
      </c>
      <c r="BH13" s="46">
        <f>BH12*Assumptions!$D$17</f>
        <v>0</v>
      </c>
      <c r="BI13" s="46">
        <f>BI12*Assumptions!$D$17</f>
        <v>0</v>
      </c>
    </row>
    <row r="14" spans="1:61" x14ac:dyDescent="0.25">
      <c r="A14" s="43" t="s">
        <v>202</v>
      </c>
      <c r="B14" s="47">
        <f t="shared" ref="B14:AG14" si="4">B12-B13</f>
        <v>0</v>
      </c>
      <c r="C14" s="47">
        <f t="shared" si="4"/>
        <v>0</v>
      </c>
      <c r="D14" s="47">
        <f t="shared" si="4"/>
        <v>0</v>
      </c>
      <c r="E14" s="47">
        <f t="shared" si="4"/>
        <v>0</v>
      </c>
      <c r="F14" s="47">
        <f t="shared" si="4"/>
        <v>0</v>
      </c>
      <c r="G14" s="47">
        <f t="shared" si="4"/>
        <v>0</v>
      </c>
      <c r="H14" s="47">
        <f t="shared" si="4"/>
        <v>0</v>
      </c>
      <c r="I14" s="47">
        <f t="shared" si="4"/>
        <v>0</v>
      </c>
      <c r="J14" s="47">
        <f t="shared" si="4"/>
        <v>0</v>
      </c>
      <c r="K14" s="47">
        <f t="shared" si="4"/>
        <v>0</v>
      </c>
      <c r="L14" s="47">
        <f t="shared" si="4"/>
        <v>0</v>
      </c>
      <c r="M14" s="47">
        <f t="shared" si="4"/>
        <v>0</v>
      </c>
      <c r="N14" s="47">
        <f t="shared" si="4"/>
        <v>0</v>
      </c>
      <c r="O14" s="47">
        <f t="shared" si="4"/>
        <v>0</v>
      </c>
      <c r="P14" s="47">
        <f t="shared" si="4"/>
        <v>0</v>
      </c>
      <c r="Q14" s="47">
        <f t="shared" si="4"/>
        <v>0</v>
      </c>
      <c r="R14" s="47">
        <f t="shared" si="4"/>
        <v>0</v>
      </c>
      <c r="S14" s="47">
        <f t="shared" si="4"/>
        <v>0</v>
      </c>
      <c r="T14" s="47">
        <f t="shared" si="4"/>
        <v>0</v>
      </c>
      <c r="U14" s="47">
        <f t="shared" si="4"/>
        <v>0</v>
      </c>
      <c r="V14" s="47">
        <f t="shared" si="4"/>
        <v>0</v>
      </c>
      <c r="W14" s="47">
        <f t="shared" si="4"/>
        <v>0</v>
      </c>
      <c r="X14" s="47">
        <f t="shared" si="4"/>
        <v>0</v>
      </c>
      <c r="Y14" s="47">
        <f t="shared" si="4"/>
        <v>0</v>
      </c>
      <c r="Z14" s="47">
        <f t="shared" si="4"/>
        <v>0</v>
      </c>
      <c r="AA14" s="47">
        <f t="shared" si="4"/>
        <v>0</v>
      </c>
      <c r="AB14" s="47">
        <f t="shared" si="4"/>
        <v>0</v>
      </c>
      <c r="AC14" s="47">
        <f t="shared" si="4"/>
        <v>0</v>
      </c>
      <c r="AD14" s="47">
        <f t="shared" si="4"/>
        <v>0</v>
      </c>
      <c r="AE14" s="47">
        <f t="shared" si="4"/>
        <v>0</v>
      </c>
      <c r="AF14" s="47">
        <f t="shared" si="4"/>
        <v>0</v>
      </c>
      <c r="AG14" s="47">
        <f t="shared" si="4"/>
        <v>0</v>
      </c>
      <c r="AH14" s="47">
        <f t="shared" ref="AH14:BM14" si="5">AH12-AH13</f>
        <v>0</v>
      </c>
      <c r="AI14" s="47">
        <f t="shared" si="5"/>
        <v>0</v>
      </c>
      <c r="AJ14" s="47">
        <f t="shared" si="5"/>
        <v>0</v>
      </c>
      <c r="AK14" s="47">
        <f t="shared" si="5"/>
        <v>0</v>
      </c>
      <c r="AL14" s="47">
        <f t="shared" si="5"/>
        <v>0</v>
      </c>
      <c r="AM14" s="47">
        <f t="shared" si="5"/>
        <v>0</v>
      </c>
      <c r="AN14" s="47">
        <f t="shared" si="5"/>
        <v>0</v>
      </c>
      <c r="AO14" s="47">
        <f t="shared" si="5"/>
        <v>0</v>
      </c>
      <c r="AP14" s="47">
        <f t="shared" si="5"/>
        <v>0</v>
      </c>
      <c r="AQ14" s="47">
        <f t="shared" si="5"/>
        <v>0</v>
      </c>
      <c r="AR14" s="47">
        <f t="shared" si="5"/>
        <v>0</v>
      </c>
      <c r="AS14" s="47">
        <f t="shared" si="5"/>
        <v>0</v>
      </c>
      <c r="AT14" s="47">
        <f t="shared" si="5"/>
        <v>0</v>
      </c>
      <c r="AU14" s="47">
        <f t="shared" si="5"/>
        <v>0</v>
      </c>
      <c r="AV14" s="47">
        <f t="shared" si="5"/>
        <v>0</v>
      </c>
      <c r="AW14" s="47">
        <f t="shared" si="5"/>
        <v>0</v>
      </c>
      <c r="AX14" s="47">
        <f t="shared" si="5"/>
        <v>0</v>
      </c>
      <c r="AY14" s="47">
        <f t="shared" si="5"/>
        <v>0</v>
      </c>
      <c r="AZ14" s="47">
        <f t="shared" si="5"/>
        <v>0</v>
      </c>
      <c r="BA14" s="47">
        <f t="shared" si="5"/>
        <v>0</v>
      </c>
      <c r="BB14" s="47">
        <f t="shared" si="5"/>
        <v>0</v>
      </c>
      <c r="BC14" s="47">
        <f t="shared" si="5"/>
        <v>0</v>
      </c>
      <c r="BD14" s="47">
        <f t="shared" si="5"/>
        <v>0</v>
      </c>
      <c r="BE14" s="47">
        <f t="shared" si="5"/>
        <v>0</v>
      </c>
      <c r="BF14" s="47">
        <f t="shared" si="5"/>
        <v>0</v>
      </c>
      <c r="BG14" s="47">
        <f t="shared" si="5"/>
        <v>0</v>
      </c>
      <c r="BH14" s="47">
        <f t="shared" si="5"/>
        <v>0</v>
      </c>
      <c r="BI14" s="47">
        <f t="shared" si="5"/>
        <v>0</v>
      </c>
    </row>
  </sheetData>
  <mergeCells count="8">
    <mergeCell ref="A7:BI7"/>
    <mergeCell ref="A1:BI1"/>
    <mergeCell ref="A2:BI2"/>
    <mergeCell ref="B4:M4"/>
    <mergeCell ref="N4:Y4"/>
    <mergeCell ref="Z4:AK4"/>
    <mergeCell ref="AL4:AW4"/>
    <mergeCell ref="AX4:BI4"/>
  </mergeCells>
  <pageMargins left="0.75" right="0.75" top="1" bottom="1" header="0.511811023622047" footer="0.511811023622047"/>
  <pageSetup paperSize="9" orientation="portrait" horizontalDpi="300" verticalDpi="300"/>
  <ignoredErrors>
    <ignoredError sqref="B11:M11 N10:AF11 AG11:BI11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5496"/>
  </sheetPr>
  <dimension ref="A1:BI34"/>
  <sheetViews>
    <sheetView showGridLines="0" zoomScaleNormal="100" workbookViewId="0">
      <selection sqref="A1:XFD1048576"/>
    </sheetView>
  </sheetViews>
  <sheetFormatPr defaultColWidth="8.7109375" defaultRowHeight="15" x14ac:dyDescent="0.25"/>
  <cols>
    <col min="1" max="1" width="38" customWidth="1"/>
    <col min="2" max="61" width="12" customWidth="1"/>
  </cols>
  <sheetData>
    <row r="1" spans="1:61" ht="33.75" customHeight="1" x14ac:dyDescent="0.25">
      <c r="A1" s="5" t="s">
        <v>203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</row>
    <row r="2" spans="1:61" ht="18" customHeight="1" x14ac:dyDescent="0.25">
      <c r="A2" s="4" t="s">
        <v>204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</row>
    <row r="4" spans="1:61" x14ac:dyDescent="0.25">
      <c r="A4" s="35"/>
      <c r="B4" s="3" t="s">
        <v>121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 t="s">
        <v>122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 t="s">
        <v>123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 t="s">
        <v>124</v>
      </c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 t="s">
        <v>125</v>
      </c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</row>
    <row r="5" spans="1:61" x14ac:dyDescent="0.25">
      <c r="A5" s="19" t="s">
        <v>126</v>
      </c>
      <c r="B5" s="20" t="s">
        <v>127</v>
      </c>
      <c r="C5" s="20" t="s">
        <v>128</v>
      </c>
      <c r="D5" s="20" t="s">
        <v>129</v>
      </c>
      <c r="E5" s="20" t="s">
        <v>130</v>
      </c>
      <c r="F5" s="20" t="s">
        <v>131</v>
      </c>
      <c r="G5" s="20" t="s">
        <v>132</v>
      </c>
      <c r="H5" s="20" t="s">
        <v>133</v>
      </c>
      <c r="I5" s="20" t="s">
        <v>134</v>
      </c>
      <c r="J5" s="20" t="s">
        <v>135</v>
      </c>
      <c r="K5" s="20" t="s">
        <v>136</v>
      </c>
      <c r="L5" s="20" t="s">
        <v>137</v>
      </c>
      <c r="M5" s="20" t="s">
        <v>138</v>
      </c>
      <c r="N5" s="20" t="s">
        <v>139</v>
      </c>
      <c r="O5" s="20" t="s">
        <v>140</v>
      </c>
      <c r="P5" s="20" t="s">
        <v>141</v>
      </c>
      <c r="Q5" s="20" t="s">
        <v>142</v>
      </c>
      <c r="R5" s="20" t="s">
        <v>143</v>
      </c>
      <c r="S5" s="20" t="s">
        <v>144</v>
      </c>
      <c r="T5" s="20" t="s">
        <v>145</v>
      </c>
      <c r="U5" s="20" t="s">
        <v>146</v>
      </c>
      <c r="V5" s="20" t="s">
        <v>147</v>
      </c>
      <c r="W5" s="20" t="s">
        <v>148</v>
      </c>
      <c r="X5" s="20" t="s">
        <v>149</v>
      </c>
      <c r="Y5" s="20" t="s">
        <v>150</v>
      </c>
      <c r="Z5" s="20" t="s">
        <v>151</v>
      </c>
      <c r="AA5" s="20" t="s">
        <v>152</v>
      </c>
      <c r="AB5" s="20" t="s">
        <v>153</v>
      </c>
      <c r="AC5" s="20" t="s">
        <v>154</v>
      </c>
      <c r="AD5" s="20" t="s">
        <v>155</v>
      </c>
      <c r="AE5" s="20" t="s">
        <v>156</v>
      </c>
      <c r="AF5" s="20" t="s">
        <v>157</v>
      </c>
      <c r="AG5" s="20" t="s">
        <v>158</v>
      </c>
      <c r="AH5" s="20" t="s">
        <v>159</v>
      </c>
      <c r="AI5" s="20" t="s">
        <v>160</v>
      </c>
      <c r="AJ5" s="20" t="s">
        <v>161</v>
      </c>
      <c r="AK5" s="20" t="s">
        <v>162</v>
      </c>
      <c r="AL5" s="20" t="s">
        <v>163</v>
      </c>
      <c r="AM5" s="20" t="s">
        <v>164</v>
      </c>
      <c r="AN5" s="20" t="s">
        <v>165</v>
      </c>
      <c r="AO5" s="20" t="s">
        <v>166</v>
      </c>
      <c r="AP5" s="20" t="s">
        <v>167</v>
      </c>
      <c r="AQ5" s="20" t="s">
        <v>168</v>
      </c>
      <c r="AR5" s="20" t="s">
        <v>169</v>
      </c>
      <c r="AS5" s="20" t="s">
        <v>170</v>
      </c>
      <c r="AT5" s="20" t="s">
        <v>171</v>
      </c>
      <c r="AU5" s="20" t="s">
        <v>172</v>
      </c>
      <c r="AV5" s="20" t="s">
        <v>173</v>
      </c>
      <c r="AW5" s="20" t="s">
        <v>174</v>
      </c>
      <c r="AX5" s="20" t="s">
        <v>175</v>
      </c>
      <c r="AY5" s="20" t="s">
        <v>176</v>
      </c>
      <c r="AZ5" s="20" t="s">
        <v>177</v>
      </c>
      <c r="BA5" s="20" t="s">
        <v>178</v>
      </c>
      <c r="BB5" s="20" t="s">
        <v>179</v>
      </c>
      <c r="BC5" s="20" t="s">
        <v>180</v>
      </c>
      <c r="BD5" s="20" t="s">
        <v>181</v>
      </c>
      <c r="BE5" s="20" t="s">
        <v>182</v>
      </c>
      <c r="BF5" s="20" t="s">
        <v>183</v>
      </c>
      <c r="BG5" s="20" t="s">
        <v>184</v>
      </c>
      <c r="BH5" s="20" t="s">
        <v>185</v>
      </c>
      <c r="BI5" s="20" t="s">
        <v>186</v>
      </c>
    </row>
    <row r="6" spans="1:61" x14ac:dyDescent="0.25">
      <c r="A6" s="36" t="s">
        <v>187</v>
      </c>
      <c r="B6" s="37">
        <f>IFERROR(EDATE(Assumptions!$D$9,0),"")</f>
        <v>0</v>
      </c>
      <c r="C6" s="37">
        <f>IFERROR(EDATE(Assumptions!$D$9,1),"")</f>
        <v>31</v>
      </c>
      <c r="D6" s="37">
        <f>IFERROR(EDATE(Assumptions!$D$9,2),"")</f>
        <v>60</v>
      </c>
      <c r="E6" s="37">
        <f>IFERROR(EDATE(Assumptions!$D$9,3),"")</f>
        <v>91</v>
      </c>
      <c r="F6" s="37">
        <f>IFERROR(EDATE(Assumptions!$D$9,4),"")</f>
        <v>121</v>
      </c>
      <c r="G6" s="37">
        <f>IFERROR(EDATE(Assumptions!$D$9,5),"")</f>
        <v>152</v>
      </c>
      <c r="H6" s="37">
        <f>IFERROR(EDATE(Assumptions!$D$9,6),"")</f>
        <v>182</v>
      </c>
      <c r="I6" s="37">
        <f>IFERROR(EDATE(Assumptions!$D$9,7),"")</f>
        <v>213</v>
      </c>
      <c r="J6" s="37">
        <f>IFERROR(EDATE(Assumptions!$D$9,8),"")</f>
        <v>244</v>
      </c>
      <c r="K6" s="37">
        <f>IFERROR(EDATE(Assumptions!$D$9,9),"")</f>
        <v>274</v>
      </c>
      <c r="L6" s="37">
        <f>IFERROR(EDATE(Assumptions!$D$9,10),"")</f>
        <v>305</v>
      </c>
      <c r="M6" s="37">
        <f>IFERROR(EDATE(Assumptions!$D$9,11),"")</f>
        <v>335</v>
      </c>
      <c r="N6" s="37">
        <f>IFERROR(EDATE(Assumptions!$D$9,12),"")</f>
        <v>366</v>
      </c>
      <c r="O6" s="37">
        <f>IFERROR(EDATE(Assumptions!$D$9,13),"")</f>
        <v>397</v>
      </c>
      <c r="P6" s="37">
        <f>IFERROR(EDATE(Assumptions!$D$9,14),"")</f>
        <v>425</v>
      </c>
      <c r="Q6" s="37">
        <f>IFERROR(EDATE(Assumptions!$D$9,15),"")</f>
        <v>456</v>
      </c>
      <c r="R6" s="37">
        <f>IFERROR(EDATE(Assumptions!$D$9,16),"")</f>
        <v>486</v>
      </c>
      <c r="S6" s="37">
        <f>IFERROR(EDATE(Assumptions!$D$9,17),"")</f>
        <v>517</v>
      </c>
      <c r="T6" s="37">
        <f>IFERROR(EDATE(Assumptions!$D$9,18),"")</f>
        <v>547</v>
      </c>
      <c r="U6" s="37">
        <f>IFERROR(EDATE(Assumptions!$D$9,19),"")</f>
        <v>578</v>
      </c>
      <c r="V6" s="37">
        <f>IFERROR(EDATE(Assumptions!$D$9,20),"")</f>
        <v>609</v>
      </c>
      <c r="W6" s="37">
        <f>IFERROR(EDATE(Assumptions!$D$9,21),"")</f>
        <v>639</v>
      </c>
      <c r="X6" s="37">
        <f>IFERROR(EDATE(Assumptions!$D$9,22),"")</f>
        <v>670</v>
      </c>
      <c r="Y6" s="37">
        <f>IFERROR(EDATE(Assumptions!$D$9,23),"")</f>
        <v>700</v>
      </c>
      <c r="Z6" s="37">
        <f>IFERROR(EDATE(Assumptions!$D$9,24),"")</f>
        <v>731</v>
      </c>
      <c r="AA6" s="37">
        <f>IFERROR(EDATE(Assumptions!$D$9,25),"")</f>
        <v>762</v>
      </c>
      <c r="AB6" s="37">
        <f>IFERROR(EDATE(Assumptions!$D$9,26),"")</f>
        <v>790</v>
      </c>
      <c r="AC6" s="37">
        <f>IFERROR(EDATE(Assumptions!$D$9,27),"")</f>
        <v>821</v>
      </c>
      <c r="AD6" s="37">
        <f>IFERROR(EDATE(Assumptions!$D$9,28),"")</f>
        <v>851</v>
      </c>
      <c r="AE6" s="37">
        <f>IFERROR(EDATE(Assumptions!$D$9,29),"")</f>
        <v>882</v>
      </c>
      <c r="AF6" s="37">
        <f>IFERROR(EDATE(Assumptions!$D$9,30),"")</f>
        <v>912</v>
      </c>
      <c r="AG6" s="37">
        <f>IFERROR(EDATE(Assumptions!$D$9,31),"")</f>
        <v>943</v>
      </c>
      <c r="AH6" s="37">
        <f>IFERROR(EDATE(Assumptions!$D$9,32),"")</f>
        <v>974</v>
      </c>
      <c r="AI6" s="37">
        <f>IFERROR(EDATE(Assumptions!$D$9,33),"")</f>
        <v>1004</v>
      </c>
      <c r="AJ6" s="37">
        <f>IFERROR(EDATE(Assumptions!$D$9,34),"")</f>
        <v>1035</v>
      </c>
      <c r="AK6" s="37">
        <f>IFERROR(EDATE(Assumptions!$D$9,35),"")</f>
        <v>1065</v>
      </c>
      <c r="AL6" s="37">
        <f>IFERROR(EDATE(Assumptions!$D$9,36),"")</f>
        <v>1096</v>
      </c>
      <c r="AM6" s="37">
        <f>IFERROR(EDATE(Assumptions!$D$9,37),"")</f>
        <v>1127</v>
      </c>
      <c r="AN6" s="37">
        <f>IFERROR(EDATE(Assumptions!$D$9,38),"")</f>
        <v>1155</v>
      </c>
      <c r="AO6" s="37">
        <f>IFERROR(EDATE(Assumptions!$D$9,39),"")</f>
        <v>1186</v>
      </c>
      <c r="AP6" s="37">
        <f>IFERROR(EDATE(Assumptions!$D$9,40),"")</f>
        <v>1216</v>
      </c>
      <c r="AQ6" s="37">
        <f>IFERROR(EDATE(Assumptions!$D$9,41),"")</f>
        <v>1247</v>
      </c>
      <c r="AR6" s="37">
        <f>IFERROR(EDATE(Assumptions!$D$9,42),"")</f>
        <v>1277</v>
      </c>
      <c r="AS6" s="37">
        <f>IFERROR(EDATE(Assumptions!$D$9,43),"")</f>
        <v>1308</v>
      </c>
      <c r="AT6" s="37">
        <f>IFERROR(EDATE(Assumptions!$D$9,44),"")</f>
        <v>1339</v>
      </c>
      <c r="AU6" s="37">
        <f>IFERROR(EDATE(Assumptions!$D$9,45),"")</f>
        <v>1369</v>
      </c>
      <c r="AV6" s="37">
        <f>IFERROR(EDATE(Assumptions!$D$9,46),"")</f>
        <v>1400</v>
      </c>
      <c r="AW6" s="37">
        <f>IFERROR(EDATE(Assumptions!$D$9,47),"")</f>
        <v>1430</v>
      </c>
      <c r="AX6" s="37">
        <f>IFERROR(EDATE(Assumptions!$D$9,48),"")</f>
        <v>1461</v>
      </c>
      <c r="AY6" s="37">
        <f>IFERROR(EDATE(Assumptions!$D$9,49),"")</f>
        <v>1492</v>
      </c>
      <c r="AZ6" s="37">
        <f>IFERROR(EDATE(Assumptions!$D$9,50),"")</f>
        <v>1521</v>
      </c>
      <c r="BA6" s="37">
        <f>IFERROR(EDATE(Assumptions!$D$9,51),"")</f>
        <v>1552</v>
      </c>
      <c r="BB6" s="37">
        <f>IFERROR(EDATE(Assumptions!$D$9,52),"")</f>
        <v>1582</v>
      </c>
      <c r="BC6" s="37">
        <f>IFERROR(EDATE(Assumptions!$D$9,53),"")</f>
        <v>1613</v>
      </c>
      <c r="BD6" s="37">
        <f>IFERROR(EDATE(Assumptions!$D$9,54),"")</f>
        <v>1643</v>
      </c>
      <c r="BE6" s="37">
        <f>IFERROR(EDATE(Assumptions!$D$9,55),"")</f>
        <v>1674</v>
      </c>
      <c r="BF6" s="37">
        <f>IFERROR(EDATE(Assumptions!$D$9,56),"")</f>
        <v>1705</v>
      </c>
      <c r="BG6" s="37">
        <f>IFERROR(EDATE(Assumptions!$D$9,57),"")</f>
        <v>1735</v>
      </c>
      <c r="BH6" s="37">
        <f>IFERROR(EDATE(Assumptions!$D$9,58),"")</f>
        <v>1766</v>
      </c>
      <c r="BI6" s="37">
        <f>IFERROR(EDATE(Assumptions!$D$9,59),"")</f>
        <v>1796</v>
      </c>
    </row>
    <row r="7" spans="1:61" ht="18" customHeight="1" x14ac:dyDescent="0.25">
      <c r="A7" s="9" t="s">
        <v>205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</row>
    <row r="8" spans="1:61" x14ac:dyDescent="0.25">
      <c r="A8" s="38" t="s">
        <v>206</v>
      </c>
      <c r="B8" s="46">
        <f>Production!B10*Assumptions!$D$19</f>
        <v>0</v>
      </c>
      <c r="C8" s="46">
        <f>Production!C10*Assumptions!$D$19</f>
        <v>0</v>
      </c>
      <c r="D8" s="46">
        <f>Production!D10*Assumptions!$D$19</f>
        <v>0</v>
      </c>
      <c r="E8" s="46">
        <f>Production!E10*Assumptions!$D$19</f>
        <v>0</v>
      </c>
      <c r="F8" s="46">
        <f>Production!F10*Assumptions!$D$19</f>
        <v>0</v>
      </c>
      <c r="G8" s="46">
        <f>Production!G10*Assumptions!$D$19</f>
        <v>0</v>
      </c>
      <c r="H8" s="46">
        <f>Production!H10*Assumptions!$D$19</f>
        <v>0</v>
      </c>
      <c r="I8" s="46">
        <f>Production!I10*Assumptions!$D$19</f>
        <v>0</v>
      </c>
      <c r="J8" s="46">
        <f>Production!J10*Assumptions!$D$19</f>
        <v>0</v>
      </c>
      <c r="K8" s="46">
        <f>Production!K10*Assumptions!$D$19</f>
        <v>0</v>
      </c>
      <c r="L8" s="46">
        <f>Production!L10*Assumptions!$D$19</f>
        <v>0</v>
      </c>
      <c r="M8" s="46">
        <f>Production!M10*Assumptions!$D$19</f>
        <v>0</v>
      </c>
      <c r="N8" s="46">
        <f>Production!N10*Assumptions!$E$19</f>
        <v>0</v>
      </c>
      <c r="O8" s="46">
        <f>Production!O10*Assumptions!$E$19</f>
        <v>0</v>
      </c>
      <c r="P8" s="46">
        <f>Production!P10*Assumptions!$E$19</f>
        <v>0</v>
      </c>
      <c r="Q8" s="46">
        <f>Production!Q10*Assumptions!$E$19</f>
        <v>0</v>
      </c>
      <c r="R8" s="46">
        <f>Production!R10*Assumptions!$E$19</f>
        <v>0</v>
      </c>
      <c r="S8" s="46">
        <f>Production!S10*Assumptions!$E$19</f>
        <v>0</v>
      </c>
      <c r="T8" s="46">
        <f>Production!T10*Assumptions!$E$19</f>
        <v>0</v>
      </c>
      <c r="U8" s="46">
        <f>Production!U10*Assumptions!$E$19</f>
        <v>0</v>
      </c>
      <c r="V8" s="46">
        <f>Production!V10*Assumptions!$E$19</f>
        <v>0</v>
      </c>
      <c r="W8" s="46">
        <f>Production!W10*Assumptions!$E$19</f>
        <v>0</v>
      </c>
      <c r="X8" s="46">
        <f>Production!X10*Assumptions!$E$19</f>
        <v>0</v>
      </c>
      <c r="Y8" s="46">
        <f>Production!Y10*Assumptions!$E$19</f>
        <v>0</v>
      </c>
      <c r="Z8" s="46">
        <f>Production!Z10*Assumptions!$F$19</f>
        <v>0</v>
      </c>
      <c r="AA8" s="46">
        <f>Production!AA10*Assumptions!$F$19</f>
        <v>0</v>
      </c>
      <c r="AB8" s="46">
        <f>Production!AB10*Assumptions!$F$19</f>
        <v>0</v>
      </c>
      <c r="AC8" s="46">
        <f>Production!AC10*Assumptions!$F$19</f>
        <v>0</v>
      </c>
      <c r="AD8" s="46">
        <f>Production!AD10*Assumptions!$F$19</f>
        <v>0</v>
      </c>
      <c r="AE8" s="46">
        <f>Production!AE10*Assumptions!$F$19</f>
        <v>0</v>
      </c>
      <c r="AF8" s="46">
        <f>Production!AF10*Assumptions!$F$19</f>
        <v>0</v>
      </c>
      <c r="AG8" s="46">
        <f>Production!AG10*Assumptions!$F$19</f>
        <v>0</v>
      </c>
      <c r="AH8" s="46">
        <f>Production!AH10*Assumptions!$F$19</f>
        <v>0</v>
      </c>
      <c r="AI8" s="46">
        <f>Production!AI10*Assumptions!$F$19</f>
        <v>0</v>
      </c>
      <c r="AJ8" s="46">
        <f>Production!AJ10*Assumptions!$F$19</f>
        <v>0</v>
      </c>
      <c r="AK8" s="46">
        <f>Production!AK10*Assumptions!$F$19</f>
        <v>0</v>
      </c>
      <c r="AL8" s="46">
        <f>Production!AL10*Assumptions!$G$19</f>
        <v>0</v>
      </c>
      <c r="AM8" s="46">
        <f>Production!AM10*Assumptions!$G$19</f>
        <v>0</v>
      </c>
      <c r="AN8" s="46">
        <f>Production!AN10*Assumptions!$G$19</f>
        <v>0</v>
      </c>
      <c r="AO8" s="46">
        <f>Production!AO10*Assumptions!$G$19</f>
        <v>0</v>
      </c>
      <c r="AP8" s="46">
        <f>Production!AP10*Assumptions!$G$19</f>
        <v>0</v>
      </c>
      <c r="AQ8" s="46">
        <f>Production!AQ10*Assumptions!$G$19</f>
        <v>0</v>
      </c>
      <c r="AR8" s="46">
        <f>Production!AR10*Assumptions!$G$19</f>
        <v>0</v>
      </c>
      <c r="AS8" s="46">
        <f>Production!AS10*Assumptions!$G$19</f>
        <v>0</v>
      </c>
      <c r="AT8" s="46">
        <f>Production!AT10*Assumptions!$G$19</f>
        <v>0</v>
      </c>
      <c r="AU8" s="46">
        <f>Production!AU10*Assumptions!$G$19</f>
        <v>0</v>
      </c>
      <c r="AV8" s="46">
        <f>Production!AV10*Assumptions!$G$19</f>
        <v>0</v>
      </c>
      <c r="AW8" s="46">
        <f>Production!AW10*Assumptions!$G$19</f>
        <v>0</v>
      </c>
      <c r="AX8" s="46">
        <f>Production!AX10*Assumptions!$H$19</f>
        <v>0</v>
      </c>
      <c r="AY8" s="46">
        <f>Production!AY10*Assumptions!$H$19</f>
        <v>0</v>
      </c>
      <c r="AZ8" s="46">
        <f>Production!AZ10*Assumptions!$H$19</f>
        <v>0</v>
      </c>
      <c r="BA8" s="46">
        <f>Production!BA10*Assumptions!$H$19</f>
        <v>0</v>
      </c>
      <c r="BB8" s="46">
        <f>Production!BB10*Assumptions!$H$19</f>
        <v>0</v>
      </c>
      <c r="BC8" s="46">
        <f>Production!BC10*Assumptions!$H$19</f>
        <v>0</v>
      </c>
      <c r="BD8" s="46">
        <f>Production!BD10*Assumptions!$H$19</f>
        <v>0</v>
      </c>
      <c r="BE8" s="46">
        <f>Production!BE10*Assumptions!$H$19</f>
        <v>0</v>
      </c>
      <c r="BF8" s="46">
        <f>Production!BF10*Assumptions!$H$19</f>
        <v>0</v>
      </c>
      <c r="BG8" s="46">
        <f>Production!BG10*Assumptions!$H$19</f>
        <v>0</v>
      </c>
      <c r="BH8" s="46">
        <f>Production!BH10*Assumptions!$H$19</f>
        <v>0</v>
      </c>
      <c r="BI8" s="46">
        <f>Production!BI10*Assumptions!$H$19</f>
        <v>0</v>
      </c>
    </row>
    <row r="9" spans="1:61" x14ac:dyDescent="0.25">
      <c r="A9" s="38" t="s">
        <v>207</v>
      </c>
      <c r="B9" s="46">
        <f>Production!B10*Assumptions!$D$20*(1+Assumptions!$D$36)^0</f>
        <v>0</v>
      </c>
      <c r="C9" s="46">
        <f>Production!C10*Assumptions!$D$20*(1+Assumptions!$D$36)^0</f>
        <v>0</v>
      </c>
      <c r="D9" s="46">
        <f>Production!D10*Assumptions!$D$20*(1+Assumptions!$D$36)^0</f>
        <v>0</v>
      </c>
      <c r="E9" s="46">
        <f>Production!E10*Assumptions!$D$20*(1+Assumptions!$D$36)^0</f>
        <v>0</v>
      </c>
      <c r="F9" s="46">
        <f>Production!F10*Assumptions!$D$20*(1+Assumptions!$D$36)^0</f>
        <v>0</v>
      </c>
      <c r="G9" s="46">
        <f>Production!G10*Assumptions!$D$20*(1+Assumptions!$D$36)^0</f>
        <v>0</v>
      </c>
      <c r="H9" s="46">
        <f>Production!H10*Assumptions!$D$20*(1+Assumptions!$D$36)^0</f>
        <v>0</v>
      </c>
      <c r="I9" s="46">
        <f>Production!I10*Assumptions!$D$20*(1+Assumptions!$D$36)^0</f>
        <v>0</v>
      </c>
      <c r="J9" s="46">
        <f>Production!J10*Assumptions!$D$20*(1+Assumptions!$D$36)^0</f>
        <v>0</v>
      </c>
      <c r="K9" s="46">
        <f>Production!K10*Assumptions!$D$20*(1+Assumptions!$D$36)^0</f>
        <v>0</v>
      </c>
      <c r="L9" s="46">
        <f>Production!L10*Assumptions!$D$20*(1+Assumptions!$D$36)^0</f>
        <v>0</v>
      </c>
      <c r="M9" s="46">
        <f>Production!M10*Assumptions!$D$20*(1+Assumptions!$D$36)^0</f>
        <v>0</v>
      </c>
      <c r="N9" s="46">
        <f>Production!N10*Assumptions!$D$20*(1+Assumptions!$D$36)^1</f>
        <v>0</v>
      </c>
      <c r="O9" s="46">
        <f>Production!O10*Assumptions!$D$20*(1+Assumptions!$D$36)^1</f>
        <v>0</v>
      </c>
      <c r="P9" s="46">
        <f>Production!P10*Assumptions!$D$20*(1+Assumptions!$D$36)^1</f>
        <v>0</v>
      </c>
      <c r="Q9" s="46">
        <f>Production!Q10*Assumptions!$D$20*(1+Assumptions!$D$36)^1</f>
        <v>0</v>
      </c>
      <c r="R9" s="46">
        <f>Production!R10*Assumptions!$D$20*(1+Assumptions!$D$36)^1</f>
        <v>0</v>
      </c>
      <c r="S9" s="46">
        <f>Production!S10*Assumptions!$D$20*(1+Assumptions!$D$36)^1</f>
        <v>0</v>
      </c>
      <c r="T9" s="46">
        <f>Production!T10*Assumptions!$D$20*(1+Assumptions!$D$36)^1</f>
        <v>0</v>
      </c>
      <c r="U9" s="46">
        <f>Production!U10*Assumptions!$D$20*(1+Assumptions!$D$36)^1</f>
        <v>0</v>
      </c>
      <c r="V9" s="46">
        <f>Production!V10*Assumptions!$D$20*(1+Assumptions!$D$36)^1</f>
        <v>0</v>
      </c>
      <c r="W9" s="46">
        <f>Production!W10*Assumptions!$D$20*(1+Assumptions!$D$36)^1</f>
        <v>0</v>
      </c>
      <c r="X9" s="46">
        <f>Production!X10*Assumptions!$D$20*(1+Assumptions!$D$36)^1</f>
        <v>0</v>
      </c>
      <c r="Y9" s="46">
        <f>Production!Y10*Assumptions!$D$20*(1+Assumptions!$D$36)^1</f>
        <v>0</v>
      </c>
      <c r="Z9" s="46">
        <f>Production!Z10*Assumptions!$D$20*(1+Assumptions!$D$36)^2</f>
        <v>0</v>
      </c>
      <c r="AA9" s="46">
        <f>Production!AA10*Assumptions!$D$20*(1+Assumptions!$D$36)^2</f>
        <v>0</v>
      </c>
      <c r="AB9" s="46">
        <f>Production!AB10*Assumptions!$D$20*(1+Assumptions!$D$36)^2</f>
        <v>0</v>
      </c>
      <c r="AC9" s="46">
        <f>Production!AC10*Assumptions!$D$20*(1+Assumptions!$D$36)^2</f>
        <v>0</v>
      </c>
      <c r="AD9" s="46">
        <f>Production!AD10*Assumptions!$D$20*(1+Assumptions!$D$36)^2</f>
        <v>0</v>
      </c>
      <c r="AE9" s="46">
        <f>Production!AE10*Assumptions!$D$20*(1+Assumptions!$D$36)^2</f>
        <v>0</v>
      </c>
      <c r="AF9" s="46">
        <f>Production!AF10*Assumptions!$D$20*(1+Assumptions!$D$36)^2</f>
        <v>0</v>
      </c>
      <c r="AG9" s="46">
        <f>Production!AG10*Assumptions!$D$20*(1+Assumptions!$D$36)^2</f>
        <v>0</v>
      </c>
      <c r="AH9" s="46">
        <f>Production!AH10*Assumptions!$D$20*(1+Assumptions!$D$36)^2</f>
        <v>0</v>
      </c>
      <c r="AI9" s="46">
        <f>Production!AI10*Assumptions!$D$20*(1+Assumptions!$D$36)^2</f>
        <v>0</v>
      </c>
      <c r="AJ9" s="46">
        <f>Production!AJ10*Assumptions!$D$20*(1+Assumptions!$D$36)^2</f>
        <v>0</v>
      </c>
      <c r="AK9" s="46">
        <f>Production!AK10*Assumptions!$D$20*(1+Assumptions!$D$36)^2</f>
        <v>0</v>
      </c>
      <c r="AL9" s="46">
        <f>Production!AL10*Assumptions!$D$20*(1+Assumptions!$D$36)^3</f>
        <v>0</v>
      </c>
      <c r="AM9" s="46">
        <f>Production!AM10*Assumptions!$D$20*(1+Assumptions!$D$36)^3</f>
        <v>0</v>
      </c>
      <c r="AN9" s="46">
        <f>Production!AN10*Assumptions!$D$20*(1+Assumptions!$D$36)^3</f>
        <v>0</v>
      </c>
      <c r="AO9" s="46">
        <f>Production!AO10*Assumptions!$D$20*(1+Assumptions!$D$36)^3</f>
        <v>0</v>
      </c>
      <c r="AP9" s="46">
        <f>Production!AP10*Assumptions!$D$20*(1+Assumptions!$D$36)^3</f>
        <v>0</v>
      </c>
      <c r="AQ9" s="46">
        <f>Production!AQ10*Assumptions!$D$20*(1+Assumptions!$D$36)^3</f>
        <v>0</v>
      </c>
      <c r="AR9" s="46">
        <f>Production!AR10*Assumptions!$D$20*(1+Assumptions!$D$36)^3</f>
        <v>0</v>
      </c>
      <c r="AS9" s="46">
        <f>Production!AS10*Assumptions!$D$20*(1+Assumptions!$D$36)^3</f>
        <v>0</v>
      </c>
      <c r="AT9" s="46">
        <f>Production!AT10*Assumptions!$D$20*(1+Assumptions!$D$36)^3</f>
        <v>0</v>
      </c>
      <c r="AU9" s="46">
        <f>Production!AU10*Assumptions!$D$20*(1+Assumptions!$D$36)^3</f>
        <v>0</v>
      </c>
      <c r="AV9" s="46">
        <f>Production!AV10*Assumptions!$D$20*(1+Assumptions!$D$36)^3</f>
        <v>0</v>
      </c>
      <c r="AW9" s="46">
        <f>Production!AW10*Assumptions!$D$20*(1+Assumptions!$D$36)^3</f>
        <v>0</v>
      </c>
      <c r="AX9" s="46">
        <f>Production!AX10*Assumptions!$D$20*(1+Assumptions!$D$36)^4</f>
        <v>0</v>
      </c>
      <c r="AY9" s="46">
        <f>Production!AY10*Assumptions!$D$20*(1+Assumptions!$D$36)^4</f>
        <v>0</v>
      </c>
      <c r="AZ9" s="46">
        <f>Production!AZ10*Assumptions!$D$20*(1+Assumptions!$D$36)^4</f>
        <v>0</v>
      </c>
      <c r="BA9" s="46">
        <f>Production!BA10*Assumptions!$D$20*(1+Assumptions!$D$36)^4</f>
        <v>0</v>
      </c>
      <c r="BB9" s="46">
        <f>Production!BB10*Assumptions!$D$20*(1+Assumptions!$D$36)^4</f>
        <v>0</v>
      </c>
      <c r="BC9" s="46">
        <f>Production!BC10*Assumptions!$D$20*(1+Assumptions!$D$36)^4</f>
        <v>0</v>
      </c>
      <c r="BD9" s="46">
        <f>Production!BD10*Assumptions!$D$20*(1+Assumptions!$D$36)^4</f>
        <v>0</v>
      </c>
      <c r="BE9" s="46">
        <f>Production!BE10*Assumptions!$D$20*(1+Assumptions!$D$36)^4</f>
        <v>0</v>
      </c>
      <c r="BF9" s="46">
        <f>Production!BF10*Assumptions!$D$20*(1+Assumptions!$D$36)^4</f>
        <v>0</v>
      </c>
      <c r="BG9" s="46">
        <f>Production!BG10*Assumptions!$D$20*(1+Assumptions!$D$36)^4</f>
        <v>0</v>
      </c>
      <c r="BH9" s="46">
        <f>Production!BH10*Assumptions!$D$20*(1+Assumptions!$D$36)^4</f>
        <v>0</v>
      </c>
      <c r="BI9" s="46">
        <f>Production!BI10*Assumptions!$D$20*(1+Assumptions!$D$36)^4</f>
        <v>0</v>
      </c>
    </row>
    <row r="10" spans="1:61" x14ac:dyDescent="0.25">
      <c r="A10" s="38" t="s">
        <v>208</v>
      </c>
      <c r="B10" s="46">
        <f>Production!B10*Assumptions!$D$21*(1+Assumptions!$D$36)^0</f>
        <v>0</v>
      </c>
      <c r="C10" s="46">
        <f>Production!C10*Assumptions!$D$21*(1+Assumptions!$D$36)^0</f>
        <v>0</v>
      </c>
      <c r="D10" s="46">
        <f>Production!D10*Assumptions!$D$21*(1+Assumptions!$D$36)^0</f>
        <v>0</v>
      </c>
      <c r="E10" s="46">
        <f>Production!E10*Assumptions!$D$21*(1+Assumptions!$D$36)^0</f>
        <v>0</v>
      </c>
      <c r="F10" s="46">
        <f>Production!F10*Assumptions!$D$21*(1+Assumptions!$D$36)^0</f>
        <v>0</v>
      </c>
      <c r="G10" s="46">
        <f>Production!G10*Assumptions!$D$21*(1+Assumptions!$D$36)^0</f>
        <v>0</v>
      </c>
      <c r="H10" s="46">
        <f>Production!H10*Assumptions!$D$21*(1+Assumptions!$D$36)^0</f>
        <v>0</v>
      </c>
      <c r="I10" s="46">
        <f>Production!I10*Assumptions!$D$21*(1+Assumptions!$D$36)^0</f>
        <v>0</v>
      </c>
      <c r="J10" s="46">
        <f>Production!J10*Assumptions!$D$21*(1+Assumptions!$D$36)^0</f>
        <v>0</v>
      </c>
      <c r="K10" s="46">
        <f>Production!K10*Assumptions!$D$21*(1+Assumptions!$D$36)^0</f>
        <v>0</v>
      </c>
      <c r="L10" s="46">
        <f>Production!L10*Assumptions!$D$21*(1+Assumptions!$D$36)^0</f>
        <v>0</v>
      </c>
      <c r="M10" s="46">
        <f>Production!M10*Assumptions!$D$21*(1+Assumptions!$D$36)^0</f>
        <v>0</v>
      </c>
      <c r="N10" s="46">
        <f>Production!N10*Assumptions!$D$21*(1+Assumptions!$D$36)^1</f>
        <v>0</v>
      </c>
      <c r="O10" s="46">
        <f>Production!O10*Assumptions!$D$21*(1+Assumptions!$D$36)^1</f>
        <v>0</v>
      </c>
      <c r="P10" s="46">
        <f>Production!P10*Assumptions!$D$21*(1+Assumptions!$D$36)^1</f>
        <v>0</v>
      </c>
      <c r="Q10" s="46">
        <f>Production!Q10*Assumptions!$D$21*(1+Assumptions!$D$36)^1</f>
        <v>0</v>
      </c>
      <c r="R10" s="46">
        <f>Production!R10*Assumptions!$D$21*(1+Assumptions!$D$36)^1</f>
        <v>0</v>
      </c>
      <c r="S10" s="46">
        <f>Production!S10*Assumptions!$D$21*(1+Assumptions!$D$36)^1</f>
        <v>0</v>
      </c>
      <c r="T10" s="46">
        <f>Production!T10*Assumptions!$D$21*(1+Assumptions!$D$36)^1</f>
        <v>0</v>
      </c>
      <c r="U10" s="46">
        <f>Production!U10*Assumptions!$D$21*(1+Assumptions!$D$36)^1</f>
        <v>0</v>
      </c>
      <c r="V10" s="46">
        <f>Production!V10*Assumptions!$D$21*(1+Assumptions!$D$36)^1</f>
        <v>0</v>
      </c>
      <c r="W10" s="46">
        <f>Production!W10*Assumptions!$D$21*(1+Assumptions!$D$36)^1</f>
        <v>0</v>
      </c>
      <c r="X10" s="46">
        <f>Production!X10*Assumptions!$D$21*(1+Assumptions!$D$36)^1</f>
        <v>0</v>
      </c>
      <c r="Y10" s="46">
        <f>Production!Y10*Assumptions!$D$21*(1+Assumptions!$D$36)^1</f>
        <v>0</v>
      </c>
      <c r="Z10" s="46">
        <f>Production!Z10*Assumptions!$D$21*(1+Assumptions!$D$36)^2</f>
        <v>0</v>
      </c>
      <c r="AA10" s="46">
        <f>Production!AA10*Assumptions!$D$21*(1+Assumptions!$D$36)^2</f>
        <v>0</v>
      </c>
      <c r="AB10" s="46">
        <f>Production!AB10*Assumptions!$D$21*(1+Assumptions!$D$36)^2</f>
        <v>0</v>
      </c>
      <c r="AC10" s="46">
        <f>Production!AC10*Assumptions!$D$21*(1+Assumptions!$D$36)^2</f>
        <v>0</v>
      </c>
      <c r="AD10" s="46">
        <f>Production!AD10*Assumptions!$D$21*(1+Assumptions!$D$36)^2</f>
        <v>0</v>
      </c>
      <c r="AE10" s="46">
        <f>Production!AE10*Assumptions!$D$21*(1+Assumptions!$D$36)^2</f>
        <v>0</v>
      </c>
      <c r="AF10" s="46">
        <f>Production!AF10*Assumptions!$D$21*(1+Assumptions!$D$36)^2</f>
        <v>0</v>
      </c>
      <c r="AG10" s="46">
        <f>Production!AG10*Assumptions!$D$21*(1+Assumptions!$D$36)^2</f>
        <v>0</v>
      </c>
      <c r="AH10" s="46">
        <f>Production!AH10*Assumptions!$D$21*(1+Assumptions!$D$36)^2</f>
        <v>0</v>
      </c>
      <c r="AI10" s="46">
        <f>Production!AI10*Assumptions!$D$21*(1+Assumptions!$D$36)^2</f>
        <v>0</v>
      </c>
      <c r="AJ10" s="46">
        <f>Production!AJ10*Assumptions!$D$21*(1+Assumptions!$D$36)^2</f>
        <v>0</v>
      </c>
      <c r="AK10" s="46">
        <f>Production!AK10*Assumptions!$D$21*(1+Assumptions!$D$36)^2</f>
        <v>0</v>
      </c>
      <c r="AL10" s="46">
        <f>Production!AL10*Assumptions!$D$21*(1+Assumptions!$D$36)^3</f>
        <v>0</v>
      </c>
      <c r="AM10" s="46">
        <f>Production!AM10*Assumptions!$D$21*(1+Assumptions!$D$36)^3</f>
        <v>0</v>
      </c>
      <c r="AN10" s="46">
        <f>Production!AN10*Assumptions!$D$21*(1+Assumptions!$D$36)^3</f>
        <v>0</v>
      </c>
      <c r="AO10" s="46">
        <f>Production!AO10*Assumptions!$D$21*(1+Assumptions!$D$36)^3</f>
        <v>0</v>
      </c>
      <c r="AP10" s="46">
        <f>Production!AP10*Assumptions!$D$21*(1+Assumptions!$D$36)^3</f>
        <v>0</v>
      </c>
      <c r="AQ10" s="46">
        <f>Production!AQ10*Assumptions!$D$21*(1+Assumptions!$D$36)^3</f>
        <v>0</v>
      </c>
      <c r="AR10" s="46">
        <f>Production!AR10*Assumptions!$D$21*(1+Assumptions!$D$36)^3</f>
        <v>0</v>
      </c>
      <c r="AS10" s="46">
        <f>Production!AS10*Assumptions!$D$21*(1+Assumptions!$D$36)^3</f>
        <v>0</v>
      </c>
      <c r="AT10" s="46">
        <f>Production!AT10*Assumptions!$D$21*(1+Assumptions!$D$36)^3</f>
        <v>0</v>
      </c>
      <c r="AU10" s="46">
        <f>Production!AU10*Assumptions!$D$21*(1+Assumptions!$D$36)^3</f>
        <v>0</v>
      </c>
      <c r="AV10" s="46">
        <f>Production!AV10*Assumptions!$D$21*(1+Assumptions!$D$36)^3</f>
        <v>0</v>
      </c>
      <c r="AW10" s="46">
        <f>Production!AW10*Assumptions!$D$21*(1+Assumptions!$D$36)^3</f>
        <v>0</v>
      </c>
      <c r="AX10" s="46">
        <f>Production!AX10*Assumptions!$D$21*(1+Assumptions!$D$36)^4</f>
        <v>0</v>
      </c>
      <c r="AY10" s="46">
        <f>Production!AY10*Assumptions!$D$21*(1+Assumptions!$D$36)^4</f>
        <v>0</v>
      </c>
      <c r="AZ10" s="46">
        <f>Production!AZ10*Assumptions!$D$21*(1+Assumptions!$D$36)^4</f>
        <v>0</v>
      </c>
      <c r="BA10" s="46">
        <f>Production!BA10*Assumptions!$D$21*(1+Assumptions!$D$36)^4</f>
        <v>0</v>
      </c>
      <c r="BB10" s="46">
        <f>Production!BB10*Assumptions!$D$21*(1+Assumptions!$D$36)^4</f>
        <v>0</v>
      </c>
      <c r="BC10" s="46">
        <f>Production!BC10*Assumptions!$D$21*(1+Assumptions!$D$36)^4</f>
        <v>0</v>
      </c>
      <c r="BD10" s="46">
        <f>Production!BD10*Assumptions!$D$21*(1+Assumptions!$D$36)^4</f>
        <v>0</v>
      </c>
      <c r="BE10" s="46">
        <f>Production!BE10*Assumptions!$D$21*(1+Assumptions!$D$36)^4</f>
        <v>0</v>
      </c>
      <c r="BF10" s="46">
        <f>Production!BF10*Assumptions!$D$21*(1+Assumptions!$D$36)^4</f>
        <v>0</v>
      </c>
      <c r="BG10" s="46">
        <f>Production!BG10*Assumptions!$D$21*(1+Assumptions!$D$36)^4</f>
        <v>0</v>
      </c>
      <c r="BH10" s="46">
        <f>Production!BH10*Assumptions!$D$21*(1+Assumptions!$D$36)^4</f>
        <v>0</v>
      </c>
      <c r="BI10" s="46">
        <f>Production!BI10*Assumptions!$D$21*(1+Assumptions!$D$36)^4</f>
        <v>0</v>
      </c>
    </row>
    <row r="11" spans="1:61" x14ac:dyDescent="0.25">
      <c r="A11" s="38" t="s">
        <v>209</v>
      </c>
      <c r="B11" s="46">
        <f>Production!B10*Assumptions!$D$22*(1+Assumptions!$D$36)^0</f>
        <v>0</v>
      </c>
      <c r="C11" s="46">
        <f>Production!C10*Assumptions!$D$22*(1+Assumptions!$D$36)^0</f>
        <v>0</v>
      </c>
      <c r="D11" s="46">
        <f>Production!D10*Assumptions!$D$22*(1+Assumptions!$D$36)^0</f>
        <v>0</v>
      </c>
      <c r="E11" s="46">
        <f>Production!E10*Assumptions!$D$22*(1+Assumptions!$D$36)^0</f>
        <v>0</v>
      </c>
      <c r="F11" s="46">
        <f>Production!F10*Assumptions!$D$22*(1+Assumptions!$D$36)^0</f>
        <v>0</v>
      </c>
      <c r="G11" s="46">
        <f>Production!G10*Assumptions!$D$22*(1+Assumptions!$D$36)^0</f>
        <v>0</v>
      </c>
      <c r="H11" s="46">
        <f>Production!H10*Assumptions!$D$22*(1+Assumptions!$D$36)^0</f>
        <v>0</v>
      </c>
      <c r="I11" s="46">
        <f>Production!I10*Assumptions!$D$22*(1+Assumptions!$D$36)^0</f>
        <v>0</v>
      </c>
      <c r="J11" s="46">
        <f>Production!J10*Assumptions!$D$22*(1+Assumptions!$D$36)^0</f>
        <v>0</v>
      </c>
      <c r="K11" s="46">
        <f>Production!K10*Assumptions!$D$22*(1+Assumptions!$D$36)^0</f>
        <v>0</v>
      </c>
      <c r="L11" s="46">
        <f>Production!L10*Assumptions!$D$22*(1+Assumptions!$D$36)^0</f>
        <v>0</v>
      </c>
      <c r="M11" s="46">
        <f>Production!M10*Assumptions!$D$22*(1+Assumptions!$D$36)^0</f>
        <v>0</v>
      </c>
      <c r="N11" s="46">
        <f>Production!N10*Assumptions!$D$22*(1+Assumptions!$D$36)^1</f>
        <v>0</v>
      </c>
      <c r="O11" s="46">
        <f>Production!O10*Assumptions!$D$22*(1+Assumptions!$D$36)^1</f>
        <v>0</v>
      </c>
      <c r="P11" s="46">
        <f>Production!P10*Assumptions!$D$22*(1+Assumptions!$D$36)^1</f>
        <v>0</v>
      </c>
      <c r="Q11" s="46">
        <f>Production!Q10*Assumptions!$D$22*(1+Assumptions!$D$36)^1</f>
        <v>0</v>
      </c>
      <c r="R11" s="46">
        <f>Production!R10*Assumptions!$D$22*(1+Assumptions!$D$36)^1</f>
        <v>0</v>
      </c>
      <c r="S11" s="46">
        <f>Production!S10*Assumptions!$D$22*(1+Assumptions!$D$36)^1</f>
        <v>0</v>
      </c>
      <c r="T11" s="46">
        <f>Production!T10*Assumptions!$D$22*(1+Assumptions!$D$36)^1</f>
        <v>0</v>
      </c>
      <c r="U11" s="46">
        <f>Production!U10*Assumptions!$D$22*(1+Assumptions!$D$36)^1</f>
        <v>0</v>
      </c>
      <c r="V11" s="46">
        <f>Production!V10*Assumptions!$D$22*(1+Assumptions!$D$36)^1</f>
        <v>0</v>
      </c>
      <c r="W11" s="46">
        <f>Production!W10*Assumptions!$D$22*(1+Assumptions!$D$36)^1</f>
        <v>0</v>
      </c>
      <c r="X11" s="46">
        <f>Production!X10*Assumptions!$D$22*(1+Assumptions!$D$36)^1</f>
        <v>0</v>
      </c>
      <c r="Y11" s="46">
        <f>Production!Y10*Assumptions!$D$22*(1+Assumptions!$D$36)^1</f>
        <v>0</v>
      </c>
      <c r="Z11" s="46">
        <f>Production!Z10*Assumptions!$D$22*(1+Assumptions!$D$36)^2</f>
        <v>0</v>
      </c>
      <c r="AA11" s="46">
        <f>Production!AA10*Assumptions!$D$22*(1+Assumptions!$D$36)^2</f>
        <v>0</v>
      </c>
      <c r="AB11" s="46">
        <f>Production!AB10*Assumptions!$D$22*(1+Assumptions!$D$36)^2</f>
        <v>0</v>
      </c>
      <c r="AC11" s="46">
        <f>Production!AC10*Assumptions!$D$22*(1+Assumptions!$D$36)^2</f>
        <v>0</v>
      </c>
      <c r="AD11" s="46">
        <f>Production!AD10*Assumptions!$D$22*(1+Assumptions!$D$36)^2</f>
        <v>0</v>
      </c>
      <c r="AE11" s="46">
        <f>Production!AE10*Assumptions!$D$22*(1+Assumptions!$D$36)^2</f>
        <v>0</v>
      </c>
      <c r="AF11" s="46">
        <f>Production!AF10*Assumptions!$D$22*(1+Assumptions!$D$36)^2</f>
        <v>0</v>
      </c>
      <c r="AG11" s="46">
        <f>Production!AG10*Assumptions!$D$22*(1+Assumptions!$D$36)^2</f>
        <v>0</v>
      </c>
      <c r="AH11" s="46">
        <f>Production!AH10*Assumptions!$D$22*(1+Assumptions!$D$36)^2</f>
        <v>0</v>
      </c>
      <c r="AI11" s="46">
        <f>Production!AI10*Assumptions!$D$22*(1+Assumptions!$D$36)^2</f>
        <v>0</v>
      </c>
      <c r="AJ11" s="46">
        <f>Production!AJ10*Assumptions!$D$22*(1+Assumptions!$D$36)^2</f>
        <v>0</v>
      </c>
      <c r="AK11" s="46">
        <f>Production!AK10*Assumptions!$D$22*(1+Assumptions!$D$36)^2</f>
        <v>0</v>
      </c>
      <c r="AL11" s="46">
        <f>Production!AL10*Assumptions!$D$22*(1+Assumptions!$D$36)^3</f>
        <v>0</v>
      </c>
      <c r="AM11" s="46">
        <f>Production!AM10*Assumptions!$D$22*(1+Assumptions!$D$36)^3</f>
        <v>0</v>
      </c>
      <c r="AN11" s="46">
        <f>Production!AN10*Assumptions!$D$22*(1+Assumptions!$D$36)^3</f>
        <v>0</v>
      </c>
      <c r="AO11" s="46">
        <f>Production!AO10*Assumptions!$D$22*(1+Assumptions!$D$36)^3</f>
        <v>0</v>
      </c>
      <c r="AP11" s="46">
        <f>Production!AP10*Assumptions!$D$22*(1+Assumptions!$D$36)^3</f>
        <v>0</v>
      </c>
      <c r="AQ11" s="46">
        <f>Production!AQ10*Assumptions!$D$22*(1+Assumptions!$D$36)^3</f>
        <v>0</v>
      </c>
      <c r="AR11" s="46">
        <f>Production!AR10*Assumptions!$D$22*(1+Assumptions!$D$36)^3</f>
        <v>0</v>
      </c>
      <c r="AS11" s="46">
        <f>Production!AS10*Assumptions!$D$22*(1+Assumptions!$D$36)^3</f>
        <v>0</v>
      </c>
      <c r="AT11" s="46">
        <f>Production!AT10*Assumptions!$D$22*(1+Assumptions!$D$36)^3</f>
        <v>0</v>
      </c>
      <c r="AU11" s="46">
        <f>Production!AU10*Assumptions!$D$22*(1+Assumptions!$D$36)^3</f>
        <v>0</v>
      </c>
      <c r="AV11" s="46">
        <f>Production!AV10*Assumptions!$D$22*(1+Assumptions!$D$36)^3</f>
        <v>0</v>
      </c>
      <c r="AW11" s="46">
        <f>Production!AW10*Assumptions!$D$22*(1+Assumptions!$D$36)^3</f>
        <v>0</v>
      </c>
      <c r="AX11" s="46">
        <f>Production!AX10*Assumptions!$D$22*(1+Assumptions!$D$36)^4</f>
        <v>0</v>
      </c>
      <c r="AY11" s="46">
        <f>Production!AY10*Assumptions!$D$22*(1+Assumptions!$D$36)^4</f>
        <v>0</v>
      </c>
      <c r="AZ11" s="46">
        <f>Production!AZ10*Assumptions!$D$22*(1+Assumptions!$D$36)^4</f>
        <v>0</v>
      </c>
      <c r="BA11" s="46">
        <f>Production!BA10*Assumptions!$D$22*(1+Assumptions!$D$36)^4</f>
        <v>0</v>
      </c>
      <c r="BB11" s="46">
        <f>Production!BB10*Assumptions!$D$22*(1+Assumptions!$D$36)^4</f>
        <v>0</v>
      </c>
      <c r="BC11" s="46">
        <f>Production!BC10*Assumptions!$D$22*(1+Assumptions!$D$36)^4</f>
        <v>0</v>
      </c>
      <c r="BD11" s="46">
        <f>Production!BD10*Assumptions!$D$22*(1+Assumptions!$D$36)^4</f>
        <v>0</v>
      </c>
      <c r="BE11" s="46">
        <f>Production!BE10*Assumptions!$D$22*(1+Assumptions!$D$36)^4</f>
        <v>0</v>
      </c>
      <c r="BF11" s="46">
        <f>Production!BF10*Assumptions!$D$22*(1+Assumptions!$D$36)^4</f>
        <v>0</v>
      </c>
      <c r="BG11" s="46">
        <f>Production!BG10*Assumptions!$D$22*(1+Assumptions!$D$36)^4</f>
        <v>0</v>
      </c>
      <c r="BH11" s="46">
        <f>Production!BH10*Assumptions!$D$22*(1+Assumptions!$D$36)^4</f>
        <v>0</v>
      </c>
      <c r="BI11" s="46">
        <f>Production!BI10*Assumptions!$D$22*(1+Assumptions!$D$36)^4</f>
        <v>0</v>
      </c>
    </row>
    <row r="12" spans="1:61" x14ac:dyDescent="0.25">
      <c r="A12" s="38" t="s">
        <v>210</v>
      </c>
      <c r="B12" s="48">
        <f>Assumptions!$D$24</f>
        <v>0</v>
      </c>
      <c r="C12" s="48">
        <f>Assumptions!$D$24</f>
        <v>0</v>
      </c>
      <c r="D12" s="48">
        <f>Assumptions!$D$24</f>
        <v>0</v>
      </c>
      <c r="E12" s="48">
        <f>Assumptions!$D$24</f>
        <v>0</v>
      </c>
      <c r="F12" s="48">
        <f>Assumptions!$D$24</f>
        <v>0</v>
      </c>
      <c r="G12" s="48">
        <f>Assumptions!$D$24</f>
        <v>0</v>
      </c>
      <c r="H12" s="48">
        <f>Assumptions!$D$24</f>
        <v>0</v>
      </c>
      <c r="I12" s="48">
        <f>Assumptions!$D$24</f>
        <v>0</v>
      </c>
      <c r="J12" s="48">
        <f>Assumptions!$D$24</f>
        <v>0</v>
      </c>
      <c r="K12" s="48">
        <f>Assumptions!$D$24</f>
        <v>0</v>
      </c>
      <c r="L12" s="48">
        <f>Assumptions!$D$24</f>
        <v>0</v>
      </c>
      <c r="M12" s="48">
        <f>Assumptions!$D$24</f>
        <v>0</v>
      </c>
      <c r="N12" s="48">
        <f>Assumptions!$E$24</f>
        <v>0</v>
      </c>
      <c r="O12" s="48">
        <f>Assumptions!$E$24</f>
        <v>0</v>
      </c>
      <c r="P12" s="48">
        <f>Assumptions!$E$24</f>
        <v>0</v>
      </c>
      <c r="Q12" s="48">
        <f>Assumptions!$E$24</f>
        <v>0</v>
      </c>
      <c r="R12" s="48">
        <f>Assumptions!$E$24</f>
        <v>0</v>
      </c>
      <c r="S12" s="48">
        <f>Assumptions!$E$24</f>
        <v>0</v>
      </c>
      <c r="T12" s="48">
        <f>Assumptions!$E$24</f>
        <v>0</v>
      </c>
      <c r="U12" s="48">
        <f>Assumptions!$E$24</f>
        <v>0</v>
      </c>
      <c r="V12" s="48">
        <f>Assumptions!$E$24</f>
        <v>0</v>
      </c>
      <c r="W12" s="48">
        <f>Assumptions!$E$24</f>
        <v>0</v>
      </c>
      <c r="X12" s="48">
        <f>Assumptions!$E$24</f>
        <v>0</v>
      </c>
      <c r="Y12" s="48">
        <f>Assumptions!$E$24</f>
        <v>0</v>
      </c>
      <c r="Z12" s="48">
        <f>Assumptions!$F$24</f>
        <v>0</v>
      </c>
      <c r="AA12" s="48">
        <f>Assumptions!$F$24</f>
        <v>0</v>
      </c>
      <c r="AB12" s="48">
        <f>Assumptions!$F$24</f>
        <v>0</v>
      </c>
      <c r="AC12" s="48">
        <f>Assumptions!$F$24</f>
        <v>0</v>
      </c>
      <c r="AD12" s="48">
        <f>Assumptions!$F$24</f>
        <v>0</v>
      </c>
      <c r="AE12" s="48">
        <f>Assumptions!$F$24</f>
        <v>0</v>
      </c>
      <c r="AF12" s="48">
        <f>Assumptions!$F$24</f>
        <v>0</v>
      </c>
      <c r="AG12" s="48">
        <f>Assumptions!$F$24</f>
        <v>0</v>
      </c>
      <c r="AH12" s="48">
        <f>Assumptions!$F$24</f>
        <v>0</v>
      </c>
      <c r="AI12" s="48">
        <f>Assumptions!$F$24</f>
        <v>0</v>
      </c>
      <c r="AJ12" s="48">
        <f>Assumptions!$F$24</f>
        <v>0</v>
      </c>
      <c r="AK12" s="48">
        <f>Assumptions!$F$24</f>
        <v>0</v>
      </c>
      <c r="AL12" s="48">
        <f>Assumptions!$G$24</f>
        <v>0</v>
      </c>
      <c r="AM12" s="48">
        <f>Assumptions!$G$24</f>
        <v>0</v>
      </c>
      <c r="AN12" s="48">
        <f>Assumptions!$G$24</f>
        <v>0</v>
      </c>
      <c r="AO12" s="48">
        <f>Assumptions!$G$24</f>
        <v>0</v>
      </c>
      <c r="AP12" s="48">
        <f>Assumptions!$G$24</f>
        <v>0</v>
      </c>
      <c r="AQ12" s="48">
        <f>Assumptions!$G$24</f>
        <v>0</v>
      </c>
      <c r="AR12" s="48">
        <f>Assumptions!$G$24</f>
        <v>0</v>
      </c>
      <c r="AS12" s="48">
        <f>Assumptions!$G$24</f>
        <v>0</v>
      </c>
      <c r="AT12" s="48">
        <f>Assumptions!$G$24</f>
        <v>0</v>
      </c>
      <c r="AU12" s="48">
        <f>Assumptions!$G$24</f>
        <v>0</v>
      </c>
      <c r="AV12" s="48">
        <f>Assumptions!$G$24</f>
        <v>0</v>
      </c>
      <c r="AW12" s="48">
        <f>Assumptions!$G$24</f>
        <v>0</v>
      </c>
      <c r="AX12" s="48">
        <f>Assumptions!$H$24</f>
        <v>0</v>
      </c>
      <c r="AY12" s="48">
        <f>Assumptions!$H$24</f>
        <v>0</v>
      </c>
      <c r="AZ12" s="48">
        <f>Assumptions!$H$24</f>
        <v>0</v>
      </c>
      <c r="BA12" s="48">
        <f>Assumptions!$H$24</f>
        <v>0</v>
      </c>
      <c r="BB12" s="48">
        <f>Assumptions!$H$24</f>
        <v>0</v>
      </c>
      <c r="BC12" s="48">
        <f>Assumptions!$H$24</f>
        <v>0</v>
      </c>
      <c r="BD12" s="48">
        <f>Assumptions!$H$24</f>
        <v>0</v>
      </c>
      <c r="BE12" s="48">
        <f>Assumptions!$H$24</f>
        <v>0</v>
      </c>
      <c r="BF12" s="48">
        <f>Assumptions!$H$24</f>
        <v>0</v>
      </c>
      <c r="BG12" s="48">
        <f>Assumptions!$H$24</f>
        <v>0</v>
      </c>
      <c r="BH12" s="48">
        <f>Assumptions!$H$24</f>
        <v>0</v>
      </c>
      <c r="BI12" s="48">
        <f>Assumptions!$H$24</f>
        <v>0</v>
      </c>
    </row>
    <row r="13" spans="1:61" x14ac:dyDescent="0.25">
      <c r="A13" s="38" t="s">
        <v>70</v>
      </c>
      <c r="B13" s="46">
        <f>Assumptions!$D$25*(1+Assumptions!$D$36)^0</f>
        <v>0</v>
      </c>
      <c r="C13" s="46">
        <f>Assumptions!$D$25*(1+Assumptions!$D$36)^0</f>
        <v>0</v>
      </c>
      <c r="D13" s="46">
        <f>Assumptions!$D$25*(1+Assumptions!$D$36)^0</f>
        <v>0</v>
      </c>
      <c r="E13" s="46">
        <f>Assumptions!$D$25*(1+Assumptions!$D$36)^0</f>
        <v>0</v>
      </c>
      <c r="F13" s="46">
        <f>Assumptions!$D$25*(1+Assumptions!$D$36)^0</f>
        <v>0</v>
      </c>
      <c r="G13" s="46">
        <f>Assumptions!$D$25*(1+Assumptions!$D$36)^0</f>
        <v>0</v>
      </c>
      <c r="H13" s="46">
        <f>Assumptions!$D$25*(1+Assumptions!$D$36)^0</f>
        <v>0</v>
      </c>
      <c r="I13" s="46">
        <f>Assumptions!$D$25*(1+Assumptions!$D$36)^0</f>
        <v>0</v>
      </c>
      <c r="J13" s="46">
        <f>Assumptions!$D$25*(1+Assumptions!$D$36)^0</f>
        <v>0</v>
      </c>
      <c r="K13" s="46">
        <f>Assumptions!$D$25*(1+Assumptions!$D$36)^0</f>
        <v>0</v>
      </c>
      <c r="L13" s="46">
        <f>Assumptions!$D$25*(1+Assumptions!$D$36)^0</f>
        <v>0</v>
      </c>
      <c r="M13" s="46">
        <f>Assumptions!$D$25*(1+Assumptions!$D$36)^0</f>
        <v>0</v>
      </c>
      <c r="N13" s="46">
        <f>Assumptions!$D$25*(1+Assumptions!$D$36)^1</f>
        <v>0</v>
      </c>
      <c r="O13" s="46">
        <f>Assumptions!$D$25*(1+Assumptions!$D$36)^1</f>
        <v>0</v>
      </c>
      <c r="P13" s="46">
        <f>Assumptions!$D$25*(1+Assumptions!$D$36)^1</f>
        <v>0</v>
      </c>
      <c r="Q13" s="46">
        <f>Assumptions!$D$25*(1+Assumptions!$D$36)^1</f>
        <v>0</v>
      </c>
      <c r="R13" s="46">
        <f>Assumptions!$D$25*(1+Assumptions!$D$36)^1</f>
        <v>0</v>
      </c>
      <c r="S13" s="46">
        <f>Assumptions!$D$25*(1+Assumptions!$D$36)^1</f>
        <v>0</v>
      </c>
      <c r="T13" s="46">
        <f>Assumptions!$D$25*(1+Assumptions!$D$36)^1</f>
        <v>0</v>
      </c>
      <c r="U13" s="46">
        <f>Assumptions!$D$25*(1+Assumptions!$D$36)^1</f>
        <v>0</v>
      </c>
      <c r="V13" s="46">
        <f>Assumptions!$D$25*(1+Assumptions!$D$36)^1</f>
        <v>0</v>
      </c>
      <c r="W13" s="46">
        <f>Assumptions!$D$25*(1+Assumptions!$D$36)^1</f>
        <v>0</v>
      </c>
      <c r="X13" s="46">
        <f>Assumptions!$D$25*(1+Assumptions!$D$36)^1</f>
        <v>0</v>
      </c>
      <c r="Y13" s="46">
        <f>Assumptions!$D$25*(1+Assumptions!$D$36)^1</f>
        <v>0</v>
      </c>
      <c r="Z13" s="46">
        <f>Assumptions!$D$25*(1+Assumptions!$D$36)^2</f>
        <v>0</v>
      </c>
      <c r="AA13" s="46">
        <f>Assumptions!$D$25*(1+Assumptions!$D$36)^2</f>
        <v>0</v>
      </c>
      <c r="AB13" s="46">
        <f>Assumptions!$D$25*(1+Assumptions!$D$36)^2</f>
        <v>0</v>
      </c>
      <c r="AC13" s="46">
        <f>Assumptions!$D$25*(1+Assumptions!$D$36)^2</f>
        <v>0</v>
      </c>
      <c r="AD13" s="46">
        <f>Assumptions!$D$25*(1+Assumptions!$D$36)^2</f>
        <v>0</v>
      </c>
      <c r="AE13" s="46">
        <f>Assumptions!$D$25*(1+Assumptions!$D$36)^2</f>
        <v>0</v>
      </c>
      <c r="AF13" s="46">
        <f>Assumptions!$D$25*(1+Assumptions!$D$36)^2</f>
        <v>0</v>
      </c>
      <c r="AG13" s="46">
        <f>Assumptions!$D$25*(1+Assumptions!$D$36)^2</f>
        <v>0</v>
      </c>
      <c r="AH13" s="46">
        <f>Assumptions!$D$25*(1+Assumptions!$D$36)^2</f>
        <v>0</v>
      </c>
      <c r="AI13" s="46">
        <f>Assumptions!$D$25*(1+Assumptions!$D$36)^2</f>
        <v>0</v>
      </c>
      <c r="AJ13" s="46">
        <f>Assumptions!$D$25*(1+Assumptions!$D$36)^2</f>
        <v>0</v>
      </c>
      <c r="AK13" s="46">
        <f>Assumptions!$D$25*(1+Assumptions!$D$36)^2</f>
        <v>0</v>
      </c>
      <c r="AL13" s="46">
        <f>Assumptions!$D$25*(1+Assumptions!$D$36)^3</f>
        <v>0</v>
      </c>
      <c r="AM13" s="46">
        <f>Assumptions!$D$25*(1+Assumptions!$D$36)^3</f>
        <v>0</v>
      </c>
      <c r="AN13" s="46">
        <f>Assumptions!$D$25*(1+Assumptions!$D$36)^3</f>
        <v>0</v>
      </c>
      <c r="AO13" s="46">
        <f>Assumptions!$D$25*(1+Assumptions!$D$36)^3</f>
        <v>0</v>
      </c>
      <c r="AP13" s="46">
        <f>Assumptions!$D$25*(1+Assumptions!$D$36)^3</f>
        <v>0</v>
      </c>
      <c r="AQ13" s="46">
        <f>Assumptions!$D$25*(1+Assumptions!$D$36)^3</f>
        <v>0</v>
      </c>
      <c r="AR13" s="46">
        <f>Assumptions!$D$25*(1+Assumptions!$D$36)^3</f>
        <v>0</v>
      </c>
      <c r="AS13" s="46">
        <f>Assumptions!$D$25*(1+Assumptions!$D$36)^3</f>
        <v>0</v>
      </c>
      <c r="AT13" s="46">
        <f>Assumptions!$D$25*(1+Assumptions!$D$36)^3</f>
        <v>0</v>
      </c>
      <c r="AU13" s="46">
        <f>Assumptions!$D$25*(1+Assumptions!$D$36)^3</f>
        <v>0</v>
      </c>
      <c r="AV13" s="46">
        <f>Assumptions!$D$25*(1+Assumptions!$D$36)^3</f>
        <v>0</v>
      </c>
      <c r="AW13" s="46">
        <f>Assumptions!$D$25*(1+Assumptions!$D$36)^3</f>
        <v>0</v>
      </c>
      <c r="AX13" s="46">
        <f>Assumptions!$D$25*(1+Assumptions!$D$36)^4</f>
        <v>0</v>
      </c>
      <c r="AY13" s="46">
        <f>Assumptions!$D$25*(1+Assumptions!$D$36)^4</f>
        <v>0</v>
      </c>
      <c r="AZ13" s="46">
        <f>Assumptions!$D$25*(1+Assumptions!$D$36)^4</f>
        <v>0</v>
      </c>
      <c r="BA13" s="46">
        <f>Assumptions!$D$25*(1+Assumptions!$D$36)^4</f>
        <v>0</v>
      </c>
      <c r="BB13" s="46">
        <f>Assumptions!$D$25*(1+Assumptions!$D$36)^4</f>
        <v>0</v>
      </c>
      <c r="BC13" s="46">
        <f>Assumptions!$D$25*(1+Assumptions!$D$36)^4</f>
        <v>0</v>
      </c>
      <c r="BD13" s="46">
        <f>Assumptions!$D$25*(1+Assumptions!$D$36)^4</f>
        <v>0</v>
      </c>
      <c r="BE13" s="46">
        <f>Assumptions!$D$25*(1+Assumptions!$D$36)^4</f>
        <v>0</v>
      </c>
      <c r="BF13" s="46">
        <f>Assumptions!$D$25*(1+Assumptions!$D$36)^4</f>
        <v>0</v>
      </c>
      <c r="BG13" s="46">
        <f>Assumptions!$D$25*(1+Assumptions!$D$36)^4</f>
        <v>0</v>
      </c>
      <c r="BH13" s="46">
        <f>Assumptions!$D$25*(1+Assumptions!$D$36)^4</f>
        <v>0</v>
      </c>
      <c r="BI13" s="46">
        <f>Assumptions!$D$25*(1+Assumptions!$D$36)^4</f>
        <v>0</v>
      </c>
    </row>
    <row r="14" spans="1:61" x14ac:dyDescent="0.25">
      <c r="A14" s="38" t="s">
        <v>71</v>
      </c>
      <c r="B14" s="46">
        <f>Assumptions!$D$26*(1+Assumptions!$D$36)^0</f>
        <v>0</v>
      </c>
      <c r="C14" s="46">
        <f>Assumptions!$D$26*(1+Assumptions!$D$36)^0</f>
        <v>0</v>
      </c>
      <c r="D14" s="46">
        <f>Assumptions!$D$26*(1+Assumptions!$D$36)^0</f>
        <v>0</v>
      </c>
      <c r="E14" s="46">
        <f>Assumptions!$D$26*(1+Assumptions!$D$36)^0</f>
        <v>0</v>
      </c>
      <c r="F14" s="46">
        <f>Assumptions!$D$26*(1+Assumptions!$D$36)^0</f>
        <v>0</v>
      </c>
      <c r="G14" s="46">
        <f>Assumptions!$D$26*(1+Assumptions!$D$36)^0</f>
        <v>0</v>
      </c>
      <c r="H14" s="46">
        <f>Assumptions!$D$26*(1+Assumptions!$D$36)^0</f>
        <v>0</v>
      </c>
      <c r="I14" s="46">
        <f>Assumptions!$D$26*(1+Assumptions!$D$36)^0</f>
        <v>0</v>
      </c>
      <c r="J14" s="46">
        <f>Assumptions!$D$26*(1+Assumptions!$D$36)^0</f>
        <v>0</v>
      </c>
      <c r="K14" s="46">
        <f>Assumptions!$D$26*(1+Assumptions!$D$36)^0</f>
        <v>0</v>
      </c>
      <c r="L14" s="46">
        <f>Assumptions!$D$26*(1+Assumptions!$D$36)^0</f>
        <v>0</v>
      </c>
      <c r="M14" s="46">
        <f>Assumptions!$D$26*(1+Assumptions!$D$36)^0</f>
        <v>0</v>
      </c>
      <c r="N14" s="46">
        <f>Assumptions!$D$26*(1+Assumptions!$D$36)^1</f>
        <v>0</v>
      </c>
      <c r="O14" s="46">
        <f>Assumptions!$D$26*(1+Assumptions!$D$36)^1</f>
        <v>0</v>
      </c>
      <c r="P14" s="46">
        <f>Assumptions!$D$26*(1+Assumptions!$D$36)^1</f>
        <v>0</v>
      </c>
      <c r="Q14" s="46">
        <f>Assumptions!$D$26*(1+Assumptions!$D$36)^1</f>
        <v>0</v>
      </c>
      <c r="R14" s="46">
        <f>Assumptions!$D$26*(1+Assumptions!$D$36)^1</f>
        <v>0</v>
      </c>
      <c r="S14" s="46">
        <f>Assumptions!$D$26*(1+Assumptions!$D$36)^1</f>
        <v>0</v>
      </c>
      <c r="T14" s="46">
        <f>Assumptions!$D$26*(1+Assumptions!$D$36)^1</f>
        <v>0</v>
      </c>
      <c r="U14" s="46">
        <f>Assumptions!$D$26*(1+Assumptions!$D$36)^1</f>
        <v>0</v>
      </c>
      <c r="V14" s="46">
        <f>Assumptions!$D$26*(1+Assumptions!$D$36)^1</f>
        <v>0</v>
      </c>
      <c r="W14" s="46">
        <f>Assumptions!$D$26*(1+Assumptions!$D$36)^1</f>
        <v>0</v>
      </c>
      <c r="X14" s="46">
        <f>Assumptions!$D$26*(1+Assumptions!$D$36)^1</f>
        <v>0</v>
      </c>
      <c r="Y14" s="46">
        <f>Assumptions!$D$26*(1+Assumptions!$D$36)^1</f>
        <v>0</v>
      </c>
      <c r="Z14" s="46">
        <f>Assumptions!$D$26*(1+Assumptions!$D$36)^2</f>
        <v>0</v>
      </c>
      <c r="AA14" s="46">
        <f>Assumptions!$D$26*(1+Assumptions!$D$36)^2</f>
        <v>0</v>
      </c>
      <c r="AB14" s="46">
        <f>Assumptions!$D$26*(1+Assumptions!$D$36)^2</f>
        <v>0</v>
      </c>
      <c r="AC14" s="46">
        <f>Assumptions!$D$26*(1+Assumptions!$D$36)^2</f>
        <v>0</v>
      </c>
      <c r="AD14" s="46">
        <f>Assumptions!$D$26*(1+Assumptions!$D$36)^2</f>
        <v>0</v>
      </c>
      <c r="AE14" s="46">
        <f>Assumptions!$D$26*(1+Assumptions!$D$36)^2</f>
        <v>0</v>
      </c>
      <c r="AF14" s="46">
        <f>Assumptions!$D$26*(1+Assumptions!$D$36)^2</f>
        <v>0</v>
      </c>
      <c r="AG14" s="46">
        <f>Assumptions!$D$26*(1+Assumptions!$D$36)^2</f>
        <v>0</v>
      </c>
      <c r="AH14" s="46">
        <f>Assumptions!$D$26*(1+Assumptions!$D$36)^2</f>
        <v>0</v>
      </c>
      <c r="AI14" s="46">
        <f>Assumptions!$D$26*(1+Assumptions!$D$36)^2</f>
        <v>0</v>
      </c>
      <c r="AJ14" s="46">
        <f>Assumptions!$D$26*(1+Assumptions!$D$36)^2</f>
        <v>0</v>
      </c>
      <c r="AK14" s="46">
        <f>Assumptions!$D$26*(1+Assumptions!$D$36)^2</f>
        <v>0</v>
      </c>
      <c r="AL14" s="46">
        <f>Assumptions!$D$26*(1+Assumptions!$D$36)^3</f>
        <v>0</v>
      </c>
      <c r="AM14" s="46">
        <f>Assumptions!$D$26*(1+Assumptions!$D$36)^3</f>
        <v>0</v>
      </c>
      <c r="AN14" s="46">
        <f>Assumptions!$D$26*(1+Assumptions!$D$36)^3</f>
        <v>0</v>
      </c>
      <c r="AO14" s="46">
        <f>Assumptions!$D$26*(1+Assumptions!$D$36)^3</f>
        <v>0</v>
      </c>
      <c r="AP14" s="46">
        <f>Assumptions!$D$26*(1+Assumptions!$D$36)^3</f>
        <v>0</v>
      </c>
      <c r="AQ14" s="46">
        <f>Assumptions!$D$26*(1+Assumptions!$D$36)^3</f>
        <v>0</v>
      </c>
      <c r="AR14" s="46">
        <f>Assumptions!$D$26*(1+Assumptions!$D$36)^3</f>
        <v>0</v>
      </c>
      <c r="AS14" s="46">
        <f>Assumptions!$D$26*(1+Assumptions!$D$36)^3</f>
        <v>0</v>
      </c>
      <c r="AT14" s="46">
        <f>Assumptions!$D$26*(1+Assumptions!$D$36)^3</f>
        <v>0</v>
      </c>
      <c r="AU14" s="46">
        <f>Assumptions!$D$26*(1+Assumptions!$D$36)^3</f>
        <v>0</v>
      </c>
      <c r="AV14" s="46">
        <f>Assumptions!$D$26*(1+Assumptions!$D$36)^3</f>
        <v>0</v>
      </c>
      <c r="AW14" s="46">
        <f>Assumptions!$D$26*(1+Assumptions!$D$36)^3</f>
        <v>0</v>
      </c>
      <c r="AX14" s="46">
        <f>Assumptions!$D$26*(1+Assumptions!$D$36)^4</f>
        <v>0</v>
      </c>
      <c r="AY14" s="46">
        <f>Assumptions!$D$26*(1+Assumptions!$D$36)^4</f>
        <v>0</v>
      </c>
      <c r="AZ14" s="46">
        <f>Assumptions!$D$26*(1+Assumptions!$D$36)^4</f>
        <v>0</v>
      </c>
      <c r="BA14" s="46">
        <f>Assumptions!$D$26*(1+Assumptions!$D$36)^4</f>
        <v>0</v>
      </c>
      <c r="BB14" s="46">
        <f>Assumptions!$D$26*(1+Assumptions!$D$36)^4</f>
        <v>0</v>
      </c>
      <c r="BC14" s="46">
        <f>Assumptions!$D$26*(1+Assumptions!$D$36)^4</f>
        <v>0</v>
      </c>
      <c r="BD14" s="46">
        <f>Assumptions!$D$26*(1+Assumptions!$D$36)^4</f>
        <v>0</v>
      </c>
      <c r="BE14" s="46">
        <f>Assumptions!$D$26*(1+Assumptions!$D$36)^4</f>
        <v>0</v>
      </c>
      <c r="BF14" s="46">
        <f>Assumptions!$D$26*(1+Assumptions!$D$36)^4</f>
        <v>0</v>
      </c>
      <c r="BG14" s="46">
        <f>Assumptions!$D$26*(1+Assumptions!$D$36)^4</f>
        <v>0</v>
      </c>
      <c r="BH14" s="46">
        <f>Assumptions!$D$26*(1+Assumptions!$D$36)^4</f>
        <v>0</v>
      </c>
      <c r="BI14" s="46">
        <f>Assumptions!$D$26*(1+Assumptions!$D$36)^4</f>
        <v>0</v>
      </c>
    </row>
    <row r="15" spans="1:61" x14ac:dyDescent="0.25">
      <c r="A15" s="38" t="s">
        <v>211</v>
      </c>
      <c r="B15" s="46">
        <f>Assumptions!$D$27*(1+Assumptions!$D$36)^0</f>
        <v>0</v>
      </c>
      <c r="C15" s="46">
        <f>Assumptions!$D$27*(1+Assumptions!$D$36)^0</f>
        <v>0</v>
      </c>
      <c r="D15" s="46">
        <f>Assumptions!$D$27*(1+Assumptions!$D$36)^0</f>
        <v>0</v>
      </c>
      <c r="E15" s="46">
        <f>Assumptions!$D$27*(1+Assumptions!$D$36)^0</f>
        <v>0</v>
      </c>
      <c r="F15" s="46">
        <f>Assumptions!$D$27*(1+Assumptions!$D$36)^0</f>
        <v>0</v>
      </c>
      <c r="G15" s="46">
        <f>Assumptions!$D$27*(1+Assumptions!$D$36)^0</f>
        <v>0</v>
      </c>
      <c r="H15" s="46">
        <f>Assumptions!$D$27*(1+Assumptions!$D$36)^0</f>
        <v>0</v>
      </c>
      <c r="I15" s="46">
        <f>Assumptions!$D$27*(1+Assumptions!$D$36)^0</f>
        <v>0</v>
      </c>
      <c r="J15" s="46">
        <f>Assumptions!$D$27*(1+Assumptions!$D$36)^0</f>
        <v>0</v>
      </c>
      <c r="K15" s="46">
        <f>Assumptions!$D$27*(1+Assumptions!$D$36)^0</f>
        <v>0</v>
      </c>
      <c r="L15" s="46">
        <f>Assumptions!$D$27*(1+Assumptions!$D$36)^0</f>
        <v>0</v>
      </c>
      <c r="M15" s="46">
        <f>Assumptions!$D$27*(1+Assumptions!$D$36)^0</f>
        <v>0</v>
      </c>
      <c r="N15" s="46">
        <f>Assumptions!$D$27*(1+Assumptions!$D$36)^1</f>
        <v>0</v>
      </c>
      <c r="O15" s="46">
        <f>Assumptions!$D$27*(1+Assumptions!$D$36)^1</f>
        <v>0</v>
      </c>
      <c r="P15" s="46">
        <f>Assumptions!$D$27*(1+Assumptions!$D$36)^1</f>
        <v>0</v>
      </c>
      <c r="Q15" s="46">
        <f>Assumptions!$D$27*(1+Assumptions!$D$36)^1</f>
        <v>0</v>
      </c>
      <c r="R15" s="46">
        <f>Assumptions!$D$27*(1+Assumptions!$D$36)^1</f>
        <v>0</v>
      </c>
      <c r="S15" s="46">
        <f>Assumptions!$D$27*(1+Assumptions!$D$36)^1</f>
        <v>0</v>
      </c>
      <c r="T15" s="46">
        <f>Assumptions!$D$27*(1+Assumptions!$D$36)^1</f>
        <v>0</v>
      </c>
      <c r="U15" s="46">
        <f>Assumptions!$D$27*(1+Assumptions!$D$36)^1</f>
        <v>0</v>
      </c>
      <c r="V15" s="46">
        <f>Assumptions!$D$27*(1+Assumptions!$D$36)^1</f>
        <v>0</v>
      </c>
      <c r="W15" s="46">
        <f>Assumptions!$D$27*(1+Assumptions!$D$36)^1</f>
        <v>0</v>
      </c>
      <c r="X15" s="46">
        <f>Assumptions!$D$27*(1+Assumptions!$D$36)^1</f>
        <v>0</v>
      </c>
      <c r="Y15" s="46">
        <f>Assumptions!$D$27*(1+Assumptions!$D$36)^1</f>
        <v>0</v>
      </c>
      <c r="Z15" s="46">
        <f>Assumptions!$D$27*(1+Assumptions!$D$36)^2</f>
        <v>0</v>
      </c>
      <c r="AA15" s="46">
        <f>Assumptions!$D$27*(1+Assumptions!$D$36)^2</f>
        <v>0</v>
      </c>
      <c r="AB15" s="46">
        <f>Assumptions!$D$27*(1+Assumptions!$D$36)^2</f>
        <v>0</v>
      </c>
      <c r="AC15" s="46">
        <f>Assumptions!$D$27*(1+Assumptions!$D$36)^2</f>
        <v>0</v>
      </c>
      <c r="AD15" s="46">
        <f>Assumptions!$D$27*(1+Assumptions!$D$36)^2</f>
        <v>0</v>
      </c>
      <c r="AE15" s="46">
        <f>Assumptions!$D$27*(1+Assumptions!$D$36)^2</f>
        <v>0</v>
      </c>
      <c r="AF15" s="46">
        <f>Assumptions!$D$27*(1+Assumptions!$D$36)^2</f>
        <v>0</v>
      </c>
      <c r="AG15" s="46">
        <f>Assumptions!$D$27*(1+Assumptions!$D$36)^2</f>
        <v>0</v>
      </c>
      <c r="AH15" s="46">
        <f>Assumptions!$D$27*(1+Assumptions!$D$36)^2</f>
        <v>0</v>
      </c>
      <c r="AI15" s="46">
        <f>Assumptions!$D$27*(1+Assumptions!$D$36)^2</f>
        <v>0</v>
      </c>
      <c r="AJ15" s="46">
        <f>Assumptions!$D$27*(1+Assumptions!$D$36)^2</f>
        <v>0</v>
      </c>
      <c r="AK15" s="46">
        <f>Assumptions!$D$27*(1+Assumptions!$D$36)^2</f>
        <v>0</v>
      </c>
      <c r="AL15" s="46">
        <f>Assumptions!$D$27*(1+Assumptions!$D$36)^3</f>
        <v>0</v>
      </c>
      <c r="AM15" s="46">
        <f>Assumptions!$D$27*(1+Assumptions!$D$36)^3</f>
        <v>0</v>
      </c>
      <c r="AN15" s="46">
        <f>Assumptions!$D$27*(1+Assumptions!$D$36)^3</f>
        <v>0</v>
      </c>
      <c r="AO15" s="46">
        <f>Assumptions!$D$27*(1+Assumptions!$D$36)^3</f>
        <v>0</v>
      </c>
      <c r="AP15" s="46">
        <f>Assumptions!$D$27*(1+Assumptions!$D$36)^3</f>
        <v>0</v>
      </c>
      <c r="AQ15" s="46">
        <f>Assumptions!$D$27*(1+Assumptions!$D$36)^3</f>
        <v>0</v>
      </c>
      <c r="AR15" s="46">
        <f>Assumptions!$D$27*(1+Assumptions!$D$36)^3</f>
        <v>0</v>
      </c>
      <c r="AS15" s="46">
        <f>Assumptions!$D$27*(1+Assumptions!$D$36)^3</f>
        <v>0</v>
      </c>
      <c r="AT15" s="46">
        <f>Assumptions!$D$27*(1+Assumptions!$D$36)^3</f>
        <v>0</v>
      </c>
      <c r="AU15" s="46">
        <f>Assumptions!$D$27*(1+Assumptions!$D$36)^3</f>
        <v>0</v>
      </c>
      <c r="AV15" s="46">
        <f>Assumptions!$D$27*(1+Assumptions!$D$36)^3</f>
        <v>0</v>
      </c>
      <c r="AW15" s="46">
        <f>Assumptions!$D$27*(1+Assumptions!$D$36)^3</f>
        <v>0</v>
      </c>
      <c r="AX15" s="46">
        <f>Assumptions!$D$27*(1+Assumptions!$D$36)^4</f>
        <v>0</v>
      </c>
      <c r="AY15" s="46">
        <f>Assumptions!$D$27*(1+Assumptions!$D$36)^4</f>
        <v>0</v>
      </c>
      <c r="AZ15" s="46">
        <f>Assumptions!$D$27*(1+Assumptions!$D$36)^4</f>
        <v>0</v>
      </c>
      <c r="BA15" s="46">
        <f>Assumptions!$D$27*(1+Assumptions!$D$36)^4</f>
        <v>0</v>
      </c>
      <c r="BB15" s="46">
        <f>Assumptions!$D$27*(1+Assumptions!$D$36)^4</f>
        <v>0</v>
      </c>
      <c r="BC15" s="46">
        <f>Assumptions!$D$27*(1+Assumptions!$D$36)^4</f>
        <v>0</v>
      </c>
      <c r="BD15" s="46">
        <f>Assumptions!$D$27*(1+Assumptions!$D$36)^4</f>
        <v>0</v>
      </c>
      <c r="BE15" s="46">
        <f>Assumptions!$D$27*(1+Assumptions!$D$36)^4</f>
        <v>0</v>
      </c>
      <c r="BF15" s="46">
        <f>Assumptions!$D$27*(1+Assumptions!$D$36)^4</f>
        <v>0</v>
      </c>
      <c r="BG15" s="46">
        <f>Assumptions!$D$27*(1+Assumptions!$D$36)^4</f>
        <v>0</v>
      </c>
      <c r="BH15" s="46">
        <f>Assumptions!$D$27*(1+Assumptions!$D$36)^4</f>
        <v>0</v>
      </c>
      <c r="BI15" s="46">
        <f>Assumptions!$D$27*(1+Assumptions!$D$36)^4</f>
        <v>0</v>
      </c>
    </row>
    <row r="16" spans="1:61" x14ac:dyDescent="0.25">
      <c r="A16" s="38" t="s">
        <v>212</v>
      </c>
      <c r="B16" s="46">
        <f>Assumptions!$D$28*(1+Assumptions!$D$36)^0</f>
        <v>0</v>
      </c>
      <c r="C16" s="46">
        <f>Assumptions!$D$28*(1+Assumptions!$D$36)^0</f>
        <v>0</v>
      </c>
      <c r="D16" s="46">
        <f>Assumptions!$D$28*(1+Assumptions!$D$36)^0</f>
        <v>0</v>
      </c>
      <c r="E16" s="46">
        <f>Assumptions!$D$28*(1+Assumptions!$D$36)^0</f>
        <v>0</v>
      </c>
      <c r="F16" s="46">
        <f>Assumptions!$D$28*(1+Assumptions!$D$36)^0</f>
        <v>0</v>
      </c>
      <c r="G16" s="46">
        <f>Assumptions!$D$28*(1+Assumptions!$D$36)^0</f>
        <v>0</v>
      </c>
      <c r="H16" s="46">
        <f>Assumptions!$D$28*(1+Assumptions!$D$36)^0</f>
        <v>0</v>
      </c>
      <c r="I16" s="46">
        <f>Assumptions!$D$28*(1+Assumptions!$D$36)^0</f>
        <v>0</v>
      </c>
      <c r="J16" s="46">
        <f>Assumptions!$D$28*(1+Assumptions!$D$36)^0</f>
        <v>0</v>
      </c>
      <c r="K16" s="46">
        <f>Assumptions!$D$28*(1+Assumptions!$D$36)^0</f>
        <v>0</v>
      </c>
      <c r="L16" s="46">
        <f>Assumptions!$D$28*(1+Assumptions!$D$36)^0</f>
        <v>0</v>
      </c>
      <c r="M16" s="46">
        <f>Assumptions!$D$28*(1+Assumptions!$D$36)^0</f>
        <v>0</v>
      </c>
      <c r="N16" s="46">
        <f>Assumptions!$D$28*(1+Assumptions!$D$36)^1</f>
        <v>0</v>
      </c>
      <c r="O16" s="46">
        <f>Assumptions!$D$28*(1+Assumptions!$D$36)^1</f>
        <v>0</v>
      </c>
      <c r="P16" s="46">
        <f>Assumptions!$D$28*(1+Assumptions!$D$36)^1</f>
        <v>0</v>
      </c>
      <c r="Q16" s="46">
        <f>Assumptions!$D$28*(1+Assumptions!$D$36)^1</f>
        <v>0</v>
      </c>
      <c r="R16" s="46">
        <f>Assumptions!$D$28*(1+Assumptions!$D$36)^1</f>
        <v>0</v>
      </c>
      <c r="S16" s="46">
        <f>Assumptions!$D$28*(1+Assumptions!$D$36)^1</f>
        <v>0</v>
      </c>
      <c r="T16" s="46">
        <f>Assumptions!$D$28*(1+Assumptions!$D$36)^1</f>
        <v>0</v>
      </c>
      <c r="U16" s="46">
        <f>Assumptions!$D$28*(1+Assumptions!$D$36)^1</f>
        <v>0</v>
      </c>
      <c r="V16" s="46">
        <f>Assumptions!$D$28*(1+Assumptions!$D$36)^1</f>
        <v>0</v>
      </c>
      <c r="W16" s="46">
        <f>Assumptions!$D$28*(1+Assumptions!$D$36)^1</f>
        <v>0</v>
      </c>
      <c r="X16" s="46">
        <f>Assumptions!$D$28*(1+Assumptions!$D$36)^1</f>
        <v>0</v>
      </c>
      <c r="Y16" s="46">
        <f>Assumptions!$D$28*(1+Assumptions!$D$36)^1</f>
        <v>0</v>
      </c>
      <c r="Z16" s="46">
        <f>Assumptions!$D$28*(1+Assumptions!$D$36)^2</f>
        <v>0</v>
      </c>
      <c r="AA16" s="46">
        <f>Assumptions!$D$28*(1+Assumptions!$D$36)^2</f>
        <v>0</v>
      </c>
      <c r="AB16" s="46">
        <f>Assumptions!$D$28*(1+Assumptions!$D$36)^2</f>
        <v>0</v>
      </c>
      <c r="AC16" s="46">
        <f>Assumptions!$D$28*(1+Assumptions!$D$36)^2</f>
        <v>0</v>
      </c>
      <c r="AD16" s="46">
        <f>Assumptions!$D$28*(1+Assumptions!$D$36)^2</f>
        <v>0</v>
      </c>
      <c r="AE16" s="46">
        <f>Assumptions!$D$28*(1+Assumptions!$D$36)^2</f>
        <v>0</v>
      </c>
      <c r="AF16" s="46">
        <f>Assumptions!$D$28*(1+Assumptions!$D$36)^2</f>
        <v>0</v>
      </c>
      <c r="AG16" s="46">
        <f>Assumptions!$D$28*(1+Assumptions!$D$36)^2</f>
        <v>0</v>
      </c>
      <c r="AH16" s="46">
        <f>Assumptions!$D$28*(1+Assumptions!$D$36)^2</f>
        <v>0</v>
      </c>
      <c r="AI16" s="46">
        <f>Assumptions!$D$28*(1+Assumptions!$D$36)^2</f>
        <v>0</v>
      </c>
      <c r="AJ16" s="46">
        <f>Assumptions!$D$28*(1+Assumptions!$D$36)^2</f>
        <v>0</v>
      </c>
      <c r="AK16" s="46">
        <f>Assumptions!$D$28*(1+Assumptions!$D$36)^2</f>
        <v>0</v>
      </c>
      <c r="AL16" s="46">
        <f>Assumptions!$D$28*(1+Assumptions!$D$36)^3</f>
        <v>0</v>
      </c>
      <c r="AM16" s="46">
        <f>Assumptions!$D$28*(1+Assumptions!$D$36)^3</f>
        <v>0</v>
      </c>
      <c r="AN16" s="46">
        <f>Assumptions!$D$28*(1+Assumptions!$D$36)^3</f>
        <v>0</v>
      </c>
      <c r="AO16" s="46">
        <f>Assumptions!$D$28*(1+Assumptions!$D$36)^3</f>
        <v>0</v>
      </c>
      <c r="AP16" s="46">
        <f>Assumptions!$D$28*(1+Assumptions!$D$36)^3</f>
        <v>0</v>
      </c>
      <c r="AQ16" s="46">
        <f>Assumptions!$D$28*(1+Assumptions!$D$36)^3</f>
        <v>0</v>
      </c>
      <c r="AR16" s="46">
        <f>Assumptions!$D$28*(1+Assumptions!$D$36)^3</f>
        <v>0</v>
      </c>
      <c r="AS16" s="46">
        <f>Assumptions!$D$28*(1+Assumptions!$D$36)^3</f>
        <v>0</v>
      </c>
      <c r="AT16" s="46">
        <f>Assumptions!$D$28*(1+Assumptions!$D$36)^3</f>
        <v>0</v>
      </c>
      <c r="AU16" s="46">
        <f>Assumptions!$D$28*(1+Assumptions!$D$36)^3</f>
        <v>0</v>
      </c>
      <c r="AV16" s="46">
        <f>Assumptions!$D$28*(1+Assumptions!$D$36)^3</f>
        <v>0</v>
      </c>
      <c r="AW16" s="46">
        <f>Assumptions!$D$28*(1+Assumptions!$D$36)^3</f>
        <v>0</v>
      </c>
      <c r="AX16" s="46">
        <f>Assumptions!$D$28*(1+Assumptions!$D$36)^4</f>
        <v>0</v>
      </c>
      <c r="AY16" s="46">
        <f>Assumptions!$D$28*(1+Assumptions!$D$36)^4</f>
        <v>0</v>
      </c>
      <c r="AZ16" s="46">
        <f>Assumptions!$D$28*(1+Assumptions!$D$36)^4</f>
        <v>0</v>
      </c>
      <c r="BA16" s="46">
        <f>Assumptions!$D$28*(1+Assumptions!$D$36)^4</f>
        <v>0</v>
      </c>
      <c r="BB16" s="46">
        <f>Assumptions!$D$28*(1+Assumptions!$D$36)^4</f>
        <v>0</v>
      </c>
      <c r="BC16" s="46">
        <f>Assumptions!$D$28*(1+Assumptions!$D$36)^4</f>
        <v>0</v>
      </c>
      <c r="BD16" s="46">
        <f>Assumptions!$D$28*(1+Assumptions!$D$36)^4</f>
        <v>0</v>
      </c>
      <c r="BE16" s="46">
        <f>Assumptions!$D$28*(1+Assumptions!$D$36)^4</f>
        <v>0</v>
      </c>
      <c r="BF16" s="46">
        <f>Assumptions!$D$28*(1+Assumptions!$D$36)^4</f>
        <v>0</v>
      </c>
      <c r="BG16" s="46">
        <f>Assumptions!$D$28*(1+Assumptions!$D$36)^4</f>
        <v>0</v>
      </c>
      <c r="BH16" s="46">
        <f>Assumptions!$D$28*(1+Assumptions!$D$36)^4</f>
        <v>0</v>
      </c>
      <c r="BI16" s="46">
        <f>Assumptions!$D$28*(1+Assumptions!$D$36)^4</f>
        <v>0</v>
      </c>
    </row>
    <row r="17" spans="1:61" x14ac:dyDescent="0.25">
      <c r="A17" s="41" t="s">
        <v>213</v>
      </c>
      <c r="B17" s="49">
        <f t="shared" ref="B17:AG17" si="0">SUM(B8:B16)</f>
        <v>0</v>
      </c>
      <c r="C17" s="49">
        <f t="shared" si="0"/>
        <v>0</v>
      </c>
      <c r="D17" s="49">
        <f t="shared" si="0"/>
        <v>0</v>
      </c>
      <c r="E17" s="49">
        <f t="shared" si="0"/>
        <v>0</v>
      </c>
      <c r="F17" s="49">
        <f t="shared" si="0"/>
        <v>0</v>
      </c>
      <c r="G17" s="49">
        <f t="shared" si="0"/>
        <v>0</v>
      </c>
      <c r="H17" s="49">
        <f t="shared" si="0"/>
        <v>0</v>
      </c>
      <c r="I17" s="49">
        <f t="shared" si="0"/>
        <v>0</v>
      </c>
      <c r="J17" s="49">
        <f t="shared" si="0"/>
        <v>0</v>
      </c>
      <c r="K17" s="49">
        <f t="shared" si="0"/>
        <v>0</v>
      </c>
      <c r="L17" s="49">
        <f t="shared" si="0"/>
        <v>0</v>
      </c>
      <c r="M17" s="49">
        <f t="shared" si="0"/>
        <v>0</v>
      </c>
      <c r="N17" s="49">
        <f t="shared" si="0"/>
        <v>0</v>
      </c>
      <c r="O17" s="49">
        <f t="shared" si="0"/>
        <v>0</v>
      </c>
      <c r="P17" s="49">
        <f t="shared" si="0"/>
        <v>0</v>
      </c>
      <c r="Q17" s="49">
        <f t="shared" si="0"/>
        <v>0</v>
      </c>
      <c r="R17" s="49">
        <f t="shared" si="0"/>
        <v>0</v>
      </c>
      <c r="S17" s="49">
        <f t="shared" si="0"/>
        <v>0</v>
      </c>
      <c r="T17" s="49">
        <f t="shared" si="0"/>
        <v>0</v>
      </c>
      <c r="U17" s="49">
        <f t="shared" si="0"/>
        <v>0</v>
      </c>
      <c r="V17" s="49">
        <f t="shared" si="0"/>
        <v>0</v>
      </c>
      <c r="W17" s="49">
        <f t="shared" si="0"/>
        <v>0</v>
      </c>
      <c r="X17" s="49">
        <f t="shared" si="0"/>
        <v>0</v>
      </c>
      <c r="Y17" s="49">
        <f t="shared" si="0"/>
        <v>0</v>
      </c>
      <c r="Z17" s="49">
        <f t="shared" si="0"/>
        <v>0</v>
      </c>
      <c r="AA17" s="49">
        <f t="shared" si="0"/>
        <v>0</v>
      </c>
      <c r="AB17" s="49">
        <f t="shared" si="0"/>
        <v>0</v>
      </c>
      <c r="AC17" s="49">
        <f t="shared" si="0"/>
        <v>0</v>
      </c>
      <c r="AD17" s="49">
        <f t="shared" si="0"/>
        <v>0</v>
      </c>
      <c r="AE17" s="49">
        <f t="shared" si="0"/>
        <v>0</v>
      </c>
      <c r="AF17" s="49">
        <f t="shared" si="0"/>
        <v>0</v>
      </c>
      <c r="AG17" s="49">
        <f t="shared" si="0"/>
        <v>0</v>
      </c>
      <c r="AH17" s="49">
        <f t="shared" ref="AH17:BM17" si="1">SUM(AH8:AH16)</f>
        <v>0</v>
      </c>
      <c r="AI17" s="49">
        <f t="shared" si="1"/>
        <v>0</v>
      </c>
      <c r="AJ17" s="49">
        <f t="shared" si="1"/>
        <v>0</v>
      </c>
      <c r="AK17" s="49">
        <f t="shared" si="1"/>
        <v>0</v>
      </c>
      <c r="AL17" s="49">
        <f t="shared" si="1"/>
        <v>0</v>
      </c>
      <c r="AM17" s="49">
        <f t="shared" si="1"/>
        <v>0</v>
      </c>
      <c r="AN17" s="49">
        <f t="shared" si="1"/>
        <v>0</v>
      </c>
      <c r="AO17" s="49">
        <f t="shared" si="1"/>
        <v>0</v>
      </c>
      <c r="AP17" s="49">
        <f t="shared" si="1"/>
        <v>0</v>
      </c>
      <c r="AQ17" s="49">
        <f t="shared" si="1"/>
        <v>0</v>
      </c>
      <c r="AR17" s="49">
        <f t="shared" si="1"/>
        <v>0</v>
      </c>
      <c r="AS17" s="49">
        <f t="shared" si="1"/>
        <v>0</v>
      </c>
      <c r="AT17" s="49">
        <f t="shared" si="1"/>
        <v>0</v>
      </c>
      <c r="AU17" s="49">
        <f t="shared" si="1"/>
        <v>0</v>
      </c>
      <c r="AV17" s="49">
        <f t="shared" si="1"/>
        <v>0</v>
      </c>
      <c r="AW17" s="49">
        <f t="shared" si="1"/>
        <v>0</v>
      </c>
      <c r="AX17" s="49">
        <f t="shared" si="1"/>
        <v>0</v>
      </c>
      <c r="AY17" s="49">
        <f t="shared" si="1"/>
        <v>0</v>
      </c>
      <c r="AZ17" s="49">
        <f t="shared" si="1"/>
        <v>0</v>
      </c>
      <c r="BA17" s="49">
        <f t="shared" si="1"/>
        <v>0</v>
      </c>
      <c r="BB17" s="49">
        <f t="shared" si="1"/>
        <v>0</v>
      </c>
      <c r="BC17" s="49">
        <f t="shared" si="1"/>
        <v>0</v>
      </c>
      <c r="BD17" s="49">
        <f t="shared" si="1"/>
        <v>0</v>
      </c>
      <c r="BE17" s="49">
        <f t="shared" si="1"/>
        <v>0</v>
      </c>
      <c r="BF17" s="49">
        <f t="shared" si="1"/>
        <v>0</v>
      </c>
      <c r="BG17" s="49">
        <f t="shared" si="1"/>
        <v>0</v>
      </c>
      <c r="BH17" s="49">
        <f t="shared" si="1"/>
        <v>0</v>
      </c>
      <c r="BI17" s="49">
        <f t="shared" si="1"/>
        <v>0</v>
      </c>
    </row>
    <row r="18" spans="1:61" ht="18" customHeight="1" x14ac:dyDescent="0.25">
      <c r="A18" s="9" t="s">
        <v>214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</row>
    <row r="19" spans="1:61" x14ac:dyDescent="0.25">
      <c r="A19" s="38" t="s">
        <v>75</v>
      </c>
      <c r="B19" s="46">
        <f>Assumptions!$D$30*(1+Assumptions!$D$36)^0</f>
        <v>0</v>
      </c>
      <c r="C19" s="46">
        <f>Assumptions!$D$30*(1+Assumptions!$D$36)^0</f>
        <v>0</v>
      </c>
      <c r="D19" s="46">
        <f>Assumptions!$D$30*(1+Assumptions!$D$36)^0</f>
        <v>0</v>
      </c>
      <c r="E19" s="46">
        <f>Assumptions!$D$30*(1+Assumptions!$D$36)^0</f>
        <v>0</v>
      </c>
      <c r="F19" s="46">
        <f>Assumptions!$D$30*(1+Assumptions!$D$36)^0</f>
        <v>0</v>
      </c>
      <c r="G19" s="46">
        <f>Assumptions!$D$30*(1+Assumptions!$D$36)^0</f>
        <v>0</v>
      </c>
      <c r="H19" s="46">
        <f>Assumptions!$D$30*(1+Assumptions!$D$36)^0</f>
        <v>0</v>
      </c>
      <c r="I19" s="46">
        <f>Assumptions!$D$30*(1+Assumptions!$D$36)^0</f>
        <v>0</v>
      </c>
      <c r="J19" s="46">
        <f>Assumptions!$D$30*(1+Assumptions!$D$36)^0</f>
        <v>0</v>
      </c>
      <c r="K19" s="46">
        <f>Assumptions!$D$30*(1+Assumptions!$D$36)^0</f>
        <v>0</v>
      </c>
      <c r="L19" s="46">
        <f>Assumptions!$D$30*(1+Assumptions!$D$36)^0</f>
        <v>0</v>
      </c>
      <c r="M19" s="46">
        <f>Assumptions!$D$30*(1+Assumptions!$D$36)^0</f>
        <v>0</v>
      </c>
      <c r="N19" s="46">
        <f>Assumptions!$D$30*(1+Assumptions!$D$36)^1</f>
        <v>0</v>
      </c>
      <c r="O19" s="46">
        <f>Assumptions!$D$30*(1+Assumptions!$D$36)^1</f>
        <v>0</v>
      </c>
      <c r="P19" s="46">
        <f>Assumptions!$D$30*(1+Assumptions!$D$36)^1</f>
        <v>0</v>
      </c>
      <c r="Q19" s="46">
        <f>Assumptions!$D$30*(1+Assumptions!$D$36)^1</f>
        <v>0</v>
      </c>
      <c r="R19" s="46">
        <f>Assumptions!$D$30*(1+Assumptions!$D$36)^1</f>
        <v>0</v>
      </c>
      <c r="S19" s="46">
        <f>Assumptions!$D$30*(1+Assumptions!$D$36)^1</f>
        <v>0</v>
      </c>
      <c r="T19" s="46">
        <f>Assumptions!$D$30*(1+Assumptions!$D$36)^1</f>
        <v>0</v>
      </c>
      <c r="U19" s="46">
        <f>Assumptions!$D$30*(1+Assumptions!$D$36)^1</f>
        <v>0</v>
      </c>
      <c r="V19" s="46">
        <f>Assumptions!$D$30*(1+Assumptions!$D$36)^1</f>
        <v>0</v>
      </c>
      <c r="W19" s="46">
        <f>Assumptions!$D$30*(1+Assumptions!$D$36)^1</f>
        <v>0</v>
      </c>
      <c r="X19" s="46">
        <f>Assumptions!$D$30*(1+Assumptions!$D$36)^1</f>
        <v>0</v>
      </c>
      <c r="Y19" s="46">
        <f>Assumptions!$D$30*(1+Assumptions!$D$36)^1</f>
        <v>0</v>
      </c>
      <c r="Z19" s="46">
        <f>Assumptions!$D$30*(1+Assumptions!$D$36)^2</f>
        <v>0</v>
      </c>
      <c r="AA19" s="46">
        <f>Assumptions!$D$30*(1+Assumptions!$D$36)^2</f>
        <v>0</v>
      </c>
      <c r="AB19" s="46">
        <f>Assumptions!$D$30*(1+Assumptions!$D$36)^2</f>
        <v>0</v>
      </c>
      <c r="AC19" s="46">
        <f>Assumptions!$D$30*(1+Assumptions!$D$36)^2</f>
        <v>0</v>
      </c>
      <c r="AD19" s="46">
        <f>Assumptions!$D$30*(1+Assumptions!$D$36)^2</f>
        <v>0</v>
      </c>
      <c r="AE19" s="46">
        <f>Assumptions!$D$30*(1+Assumptions!$D$36)^2</f>
        <v>0</v>
      </c>
      <c r="AF19" s="46">
        <f>Assumptions!$D$30*(1+Assumptions!$D$36)^2</f>
        <v>0</v>
      </c>
      <c r="AG19" s="46">
        <f>Assumptions!$D$30*(1+Assumptions!$D$36)^2</f>
        <v>0</v>
      </c>
      <c r="AH19" s="46">
        <f>Assumptions!$D$30*(1+Assumptions!$D$36)^2</f>
        <v>0</v>
      </c>
      <c r="AI19" s="46">
        <f>Assumptions!$D$30*(1+Assumptions!$D$36)^2</f>
        <v>0</v>
      </c>
      <c r="AJ19" s="46">
        <f>Assumptions!$D$30*(1+Assumptions!$D$36)^2</f>
        <v>0</v>
      </c>
      <c r="AK19" s="46">
        <f>Assumptions!$D$30*(1+Assumptions!$D$36)^2</f>
        <v>0</v>
      </c>
      <c r="AL19" s="46">
        <f>Assumptions!$D$30*(1+Assumptions!$D$36)^3</f>
        <v>0</v>
      </c>
      <c r="AM19" s="46">
        <f>Assumptions!$D$30*(1+Assumptions!$D$36)^3</f>
        <v>0</v>
      </c>
      <c r="AN19" s="46">
        <f>Assumptions!$D$30*(1+Assumptions!$D$36)^3</f>
        <v>0</v>
      </c>
      <c r="AO19" s="46">
        <f>Assumptions!$D$30*(1+Assumptions!$D$36)^3</f>
        <v>0</v>
      </c>
      <c r="AP19" s="46">
        <f>Assumptions!$D$30*(1+Assumptions!$D$36)^3</f>
        <v>0</v>
      </c>
      <c r="AQ19" s="46">
        <f>Assumptions!$D$30*(1+Assumptions!$D$36)^3</f>
        <v>0</v>
      </c>
      <c r="AR19" s="46">
        <f>Assumptions!$D$30*(1+Assumptions!$D$36)^3</f>
        <v>0</v>
      </c>
      <c r="AS19" s="46">
        <f>Assumptions!$D$30*(1+Assumptions!$D$36)^3</f>
        <v>0</v>
      </c>
      <c r="AT19" s="46">
        <f>Assumptions!$D$30*(1+Assumptions!$D$36)^3</f>
        <v>0</v>
      </c>
      <c r="AU19" s="46">
        <f>Assumptions!$D$30*(1+Assumptions!$D$36)^3</f>
        <v>0</v>
      </c>
      <c r="AV19" s="46">
        <f>Assumptions!$D$30*(1+Assumptions!$D$36)^3</f>
        <v>0</v>
      </c>
      <c r="AW19" s="46">
        <f>Assumptions!$D$30*(1+Assumptions!$D$36)^3</f>
        <v>0</v>
      </c>
      <c r="AX19" s="46">
        <f>Assumptions!$D$30*(1+Assumptions!$D$36)^4</f>
        <v>0</v>
      </c>
      <c r="AY19" s="46">
        <f>Assumptions!$D$30*(1+Assumptions!$D$36)^4</f>
        <v>0</v>
      </c>
      <c r="AZ19" s="46">
        <f>Assumptions!$D$30*(1+Assumptions!$D$36)^4</f>
        <v>0</v>
      </c>
      <c r="BA19" s="46">
        <f>Assumptions!$D$30*(1+Assumptions!$D$36)^4</f>
        <v>0</v>
      </c>
      <c r="BB19" s="46">
        <f>Assumptions!$D$30*(1+Assumptions!$D$36)^4</f>
        <v>0</v>
      </c>
      <c r="BC19" s="46">
        <f>Assumptions!$D$30*(1+Assumptions!$D$36)^4</f>
        <v>0</v>
      </c>
      <c r="BD19" s="46">
        <f>Assumptions!$D$30*(1+Assumptions!$D$36)^4</f>
        <v>0</v>
      </c>
      <c r="BE19" s="46">
        <f>Assumptions!$D$30*(1+Assumptions!$D$36)^4</f>
        <v>0</v>
      </c>
      <c r="BF19" s="46">
        <f>Assumptions!$D$30*(1+Assumptions!$D$36)^4</f>
        <v>0</v>
      </c>
      <c r="BG19" s="46">
        <f>Assumptions!$D$30*(1+Assumptions!$D$36)^4</f>
        <v>0</v>
      </c>
      <c r="BH19" s="46">
        <f>Assumptions!$D$30*(1+Assumptions!$D$36)^4</f>
        <v>0</v>
      </c>
      <c r="BI19" s="46">
        <f>Assumptions!$D$30*(1+Assumptions!$D$36)^4</f>
        <v>0</v>
      </c>
    </row>
    <row r="20" spans="1:61" x14ac:dyDescent="0.25">
      <c r="A20" s="38" t="s">
        <v>76</v>
      </c>
      <c r="B20" s="46">
        <f>Sales!B14*Assumptions!$D$31</f>
        <v>0</v>
      </c>
      <c r="C20" s="46">
        <f>Sales!C14*Assumptions!$D$31</f>
        <v>0</v>
      </c>
      <c r="D20" s="46">
        <f>Sales!D14*Assumptions!$D$31</f>
        <v>0</v>
      </c>
      <c r="E20" s="46">
        <f>Sales!E14*Assumptions!$D$31</f>
        <v>0</v>
      </c>
      <c r="F20" s="46">
        <f>Sales!F14*Assumptions!$D$31</f>
        <v>0</v>
      </c>
      <c r="G20" s="46">
        <f>Sales!G14*Assumptions!$D$31</f>
        <v>0</v>
      </c>
      <c r="H20" s="46">
        <f>Sales!H14*Assumptions!$D$31</f>
        <v>0</v>
      </c>
      <c r="I20" s="46">
        <f>Sales!I14*Assumptions!$D$31</f>
        <v>0</v>
      </c>
      <c r="J20" s="46">
        <f>Sales!J14*Assumptions!$D$31</f>
        <v>0</v>
      </c>
      <c r="K20" s="46">
        <f>Sales!K14*Assumptions!$D$31</f>
        <v>0</v>
      </c>
      <c r="L20" s="46">
        <f>Sales!L14*Assumptions!$D$31</f>
        <v>0</v>
      </c>
      <c r="M20" s="46">
        <f>Sales!M14*Assumptions!$D$31</f>
        <v>0</v>
      </c>
      <c r="N20" s="46">
        <f>Sales!N14*Assumptions!$D$31</f>
        <v>0</v>
      </c>
      <c r="O20" s="46">
        <f>Sales!O14*Assumptions!$D$31</f>
        <v>0</v>
      </c>
      <c r="P20" s="46">
        <f>Sales!P14*Assumptions!$D$31</f>
        <v>0</v>
      </c>
      <c r="Q20" s="46">
        <f>Sales!Q14*Assumptions!$D$31</f>
        <v>0</v>
      </c>
      <c r="R20" s="46">
        <f>Sales!R14*Assumptions!$D$31</f>
        <v>0</v>
      </c>
      <c r="S20" s="46">
        <f>Sales!S14*Assumptions!$D$31</f>
        <v>0</v>
      </c>
      <c r="T20" s="46">
        <f>Sales!T14*Assumptions!$D$31</f>
        <v>0</v>
      </c>
      <c r="U20" s="46">
        <f>Sales!U14*Assumptions!$D$31</f>
        <v>0</v>
      </c>
      <c r="V20" s="46">
        <f>Sales!V14*Assumptions!$D$31</f>
        <v>0</v>
      </c>
      <c r="W20" s="46">
        <f>Sales!W14*Assumptions!$D$31</f>
        <v>0</v>
      </c>
      <c r="X20" s="46">
        <f>Sales!X14*Assumptions!$D$31</f>
        <v>0</v>
      </c>
      <c r="Y20" s="46">
        <f>Sales!Y14*Assumptions!$D$31</f>
        <v>0</v>
      </c>
      <c r="Z20" s="46">
        <f>Sales!Z14*Assumptions!$D$31</f>
        <v>0</v>
      </c>
      <c r="AA20" s="46">
        <f>Sales!AA14*Assumptions!$D$31</f>
        <v>0</v>
      </c>
      <c r="AB20" s="46">
        <f>Sales!AB14*Assumptions!$D$31</f>
        <v>0</v>
      </c>
      <c r="AC20" s="46">
        <f>Sales!AC14*Assumptions!$D$31</f>
        <v>0</v>
      </c>
      <c r="AD20" s="46">
        <f>Sales!AD14*Assumptions!$D$31</f>
        <v>0</v>
      </c>
      <c r="AE20" s="46">
        <f>Sales!AE14*Assumptions!$D$31</f>
        <v>0</v>
      </c>
      <c r="AF20" s="46">
        <f>Sales!AF14*Assumptions!$D$31</f>
        <v>0</v>
      </c>
      <c r="AG20" s="46">
        <f>Sales!AG14*Assumptions!$D$31</f>
        <v>0</v>
      </c>
      <c r="AH20" s="46">
        <f>Sales!AH14*Assumptions!$D$31</f>
        <v>0</v>
      </c>
      <c r="AI20" s="46">
        <f>Sales!AI14*Assumptions!$D$31</f>
        <v>0</v>
      </c>
      <c r="AJ20" s="46">
        <f>Sales!AJ14*Assumptions!$D$31</f>
        <v>0</v>
      </c>
      <c r="AK20" s="46">
        <f>Sales!AK14*Assumptions!$D$31</f>
        <v>0</v>
      </c>
      <c r="AL20" s="46">
        <f>Sales!AL14*Assumptions!$D$31</f>
        <v>0</v>
      </c>
      <c r="AM20" s="46">
        <f>Sales!AM14*Assumptions!$D$31</f>
        <v>0</v>
      </c>
      <c r="AN20" s="46">
        <f>Sales!AN14*Assumptions!$D$31</f>
        <v>0</v>
      </c>
      <c r="AO20" s="46">
        <f>Sales!AO14*Assumptions!$D$31</f>
        <v>0</v>
      </c>
      <c r="AP20" s="46">
        <f>Sales!AP14*Assumptions!$D$31</f>
        <v>0</v>
      </c>
      <c r="AQ20" s="46">
        <f>Sales!AQ14*Assumptions!$D$31</f>
        <v>0</v>
      </c>
      <c r="AR20" s="46">
        <f>Sales!AR14*Assumptions!$D$31</f>
        <v>0</v>
      </c>
      <c r="AS20" s="46">
        <f>Sales!AS14*Assumptions!$D$31</f>
        <v>0</v>
      </c>
      <c r="AT20" s="46">
        <f>Sales!AT14*Assumptions!$D$31</f>
        <v>0</v>
      </c>
      <c r="AU20" s="46">
        <f>Sales!AU14*Assumptions!$D$31</f>
        <v>0</v>
      </c>
      <c r="AV20" s="46">
        <f>Sales!AV14*Assumptions!$D$31</f>
        <v>0</v>
      </c>
      <c r="AW20" s="46">
        <f>Sales!AW14*Assumptions!$D$31</f>
        <v>0</v>
      </c>
      <c r="AX20" s="46">
        <f>Sales!AX14*Assumptions!$D$31</f>
        <v>0</v>
      </c>
      <c r="AY20" s="46">
        <f>Sales!AY14*Assumptions!$D$31</f>
        <v>0</v>
      </c>
      <c r="AZ20" s="46">
        <f>Sales!AZ14*Assumptions!$D$31</f>
        <v>0</v>
      </c>
      <c r="BA20" s="46">
        <f>Sales!BA14*Assumptions!$D$31</f>
        <v>0</v>
      </c>
      <c r="BB20" s="46">
        <f>Sales!BB14*Assumptions!$D$31</f>
        <v>0</v>
      </c>
      <c r="BC20" s="46">
        <f>Sales!BC14*Assumptions!$D$31</f>
        <v>0</v>
      </c>
      <c r="BD20" s="46">
        <f>Sales!BD14*Assumptions!$D$31</f>
        <v>0</v>
      </c>
      <c r="BE20" s="46">
        <f>Sales!BE14*Assumptions!$D$31</f>
        <v>0</v>
      </c>
      <c r="BF20" s="46">
        <f>Sales!BF14*Assumptions!$D$31</f>
        <v>0</v>
      </c>
      <c r="BG20" s="46">
        <f>Sales!BG14*Assumptions!$D$31</f>
        <v>0</v>
      </c>
      <c r="BH20" s="46">
        <f>Sales!BH14*Assumptions!$D$31</f>
        <v>0</v>
      </c>
      <c r="BI20" s="46">
        <f>Sales!BI14*Assumptions!$D$31</f>
        <v>0</v>
      </c>
    </row>
    <row r="21" spans="1:61" x14ac:dyDescent="0.25">
      <c r="A21" s="38" t="s">
        <v>78</v>
      </c>
      <c r="B21" s="46">
        <f>Sales!B14*Assumptions!$D$32</f>
        <v>0</v>
      </c>
      <c r="C21" s="46">
        <f>Sales!C14*Assumptions!$D$32</f>
        <v>0</v>
      </c>
      <c r="D21" s="46">
        <f>Sales!D14*Assumptions!$D$32</f>
        <v>0</v>
      </c>
      <c r="E21" s="46">
        <f>Sales!E14*Assumptions!$D$32</f>
        <v>0</v>
      </c>
      <c r="F21" s="46">
        <f>Sales!F14*Assumptions!$D$32</f>
        <v>0</v>
      </c>
      <c r="G21" s="46">
        <f>Sales!G14*Assumptions!$D$32</f>
        <v>0</v>
      </c>
      <c r="H21" s="46">
        <f>Sales!H14*Assumptions!$D$32</f>
        <v>0</v>
      </c>
      <c r="I21" s="46">
        <f>Sales!I14*Assumptions!$D$32</f>
        <v>0</v>
      </c>
      <c r="J21" s="46">
        <f>Sales!J14*Assumptions!$D$32</f>
        <v>0</v>
      </c>
      <c r="K21" s="46">
        <f>Sales!K14*Assumptions!$D$32</f>
        <v>0</v>
      </c>
      <c r="L21" s="46">
        <f>Sales!L14*Assumptions!$D$32</f>
        <v>0</v>
      </c>
      <c r="M21" s="46">
        <f>Sales!M14*Assumptions!$D$32</f>
        <v>0</v>
      </c>
      <c r="N21" s="46">
        <f>Sales!N14*Assumptions!$D$32</f>
        <v>0</v>
      </c>
      <c r="O21" s="46">
        <f>Sales!O14*Assumptions!$D$32</f>
        <v>0</v>
      </c>
      <c r="P21" s="46">
        <f>Sales!P14*Assumptions!$D$32</f>
        <v>0</v>
      </c>
      <c r="Q21" s="46">
        <f>Sales!Q14*Assumptions!$D$32</f>
        <v>0</v>
      </c>
      <c r="R21" s="46">
        <f>Sales!R14*Assumptions!$D$32</f>
        <v>0</v>
      </c>
      <c r="S21" s="46">
        <f>Sales!S14*Assumptions!$D$32</f>
        <v>0</v>
      </c>
      <c r="T21" s="46">
        <f>Sales!T14*Assumptions!$D$32</f>
        <v>0</v>
      </c>
      <c r="U21" s="46">
        <f>Sales!U14*Assumptions!$D$32</f>
        <v>0</v>
      </c>
      <c r="V21" s="46">
        <f>Sales!V14*Assumptions!$D$32</f>
        <v>0</v>
      </c>
      <c r="W21" s="46">
        <f>Sales!W14*Assumptions!$D$32</f>
        <v>0</v>
      </c>
      <c r="X21" s="46">
        <f>Sales!X14*Assumptions!$D$32</f>
        <v>0</v>
      </c>
      <c r="Y21" s="46">
        <f>Sales!Y14*Assumptions!$D$32</f>
        <v>0</v>
      </c>
      <c r="Z21" s="46">
        <f>Sales!Z14*Assumptions!$D$32</f>
        <v>0</v>
      </c>
      <c r="AA21" s="46">
        <f>Sales!AA14*Assumptions!$D$32</f>
        <v>0</v>
      </c>
      <c r="AB21" s="46">
        <f>Sales!AB14*Assumptions!$D$32</f>
        <v>0</v>
      </c>
      <c r="AC21" s="46">
        <f>Sales!AC14*Assumptions!$D$32</f>
        <v>0</v>
      </c>
      <c r="AD21" s="46">
        <f>Sales!AD14*Assumptions!$D$32</f>
        <v>0</v>
      </c>
      <c r="AE21" s="46">
        <f>Sales!AE14*Assumptions!$D$32</f>
        <v>0</v>
      </c>
      <c r="AF21" s="46">
        <f>Sales!AF14*Assumptions!$D$32</f>
        <v>0</v>
      </c>
      <c r="AG21" s="46">
        <f>Sales!AG14*Assumptions!$D$32</f>
        <v>0</v>
      </c>
      <c r="AH21" s="46">
        <f>Sales!AH14*Assumptions!$D$32</f>
        <v>0</v>
      </c>
      <c r="AI21" s="46">
        <f>Sales!AI14*Assumptions!$D$32</f>
        <v>0</v>
      </c>
      <c r="AJ21" s="46">
        <f>Sales!AJ14*Assumptions!$D$32</f>
        <v>0</v>
      </c>
      <c r="AK21" s="46">
        <f>Sales!AK14*Assumptions!$D$32</f>
        <v>0</v>
      </c>
      <c r="AL21" s="46">
        <f>Sales!AL14*Assumptions!$D$32</f>
        <v>0</v>
      </c>
      <c r="AM21" s="46">
        <f>Sales!AM14*Assumptions!$D$32</f>
        <v>0</v>
      </c>
      <c r="AN21" s="46">
        <f>Sales!AN14*Assumptions!$D$32</f>
        <v>0</v>
      </c>
      <c r="AO21" s="46">
        <f>Sales!AO14*Assumptions!$D$32</f>
        <v>0</v>
      </c>
      <c r="AP21" s="46">
        <f>Sales!AP14*Assumptions!$D$32</f>
        <v>0</v>
      </c>
      <c r="AQ21" s="46">
        <f>Sales!AQ14*Assumptions!$D$32</f>
        <v>0</v>
      </c>
      <c r="AR21" s="46">
        <f>Sales!AR14*Assumptions!$D$32</f>
        <v>0</v>
      </c>
      <c r="AS21" s="46">
        <f>Sales!AS14*Assumptions!$D$32</f>
        <v>0</v>
      </c>
      <c r="AT21" s="46">
        <f>Sales!AT14*Assumptions!$D$32</f>
        <v>0</v>
      </c>
      <c r="AU21" s="46">
        <f>Sales!AU14*Assumptions!$D$32</f>
        <v>0</v>
      </c>
      <c r="AV21" s="46">
        <f>Sales!AV14*Assumptions!$D$32</f>
        <v>0</v>
      </c>
      <c r="AW21" s="46">
        <f>Sales!AW14*Assumptions!$D$32</f>
        <v>0</v>
      </c>
      <c r="AX21" s="46">
        <f>Sales!AX14*Assumptions!$D$32</f>
        <v>0</v>
      </c>
      <c r="AY21" s="46">
        <f>Sales!AY14*Assumptions!$D$32</f>
        <v>0</v>
      </c>
      <c r="AZ21" s="46">
        <f>Sales!AZ14*Assumptions!$D$32</f>
        <v>0</v>
      </c>
      <c r="BA21" s="46">
        <f>Sales!BA14*Assumptions!$D$32</f>
        <v>0</v>
      </c>
      <c r="BB21" s="46">
        <f>Sales!BB14*Assumptions!$D$32</f>
        <v>0</v>
      </c>
      <c r="BC21" s="46">
        <f>Sales!BC14*Assumptions!$D$32</f>
        <v>0</v>
      </c>
      <c r="BD21" s="46">
        <f>Sales!BD14*Assumptions!$D$32</f>
        <v>0</v>
      </c>
      <c r="BE21" s="46">
        <f>Sales!BE14*Assumptions!$D$32</f>
        <v>0</v>
      </c>
      <c r="BF21" s="46">
        <f>Sales!BF14*Assumptions!$D$32</f>
        <v>0</v>
      </c>
      <c r="BG21" s="46">
        <f>Sales!BG14*Assumptions!$D$32</f>
        <v>0</v>
      </c>
      <c r="BH21" s="46">
        <f>Sales!BH14*Assumptions!$D$32</f>
        <v>0</v>
      </c>
      <c r="BI21" s="46">
        <f>Sales!BI14*Assumptions!$D$32</f>
        <v>0</v>
      </c>
    </row>
    <row r="22" spans="1:61" x14ac:dyDescent="0.25">
      <c r="A22" s="38" t="s">
        <v>79</v>
      </c>
      <c r="B22" s="46">
        <f>Assumptions!$D$33*(1+Assumptions!$D$36)^0</f>
        <v>0</v>
      </c>
      <c r="C22" s="46">
        <f>Assumptions!$D$33*(1+Assumptions!$D$36)^0</f>
        <v>0</v>
      </c>
      <c r="D22" s="46">
        <f>Assumptions!$D$33*(1+Assumptions!$D$36)^0</f>
        <v>0</v>
      </c>
      <c r="E22" s="46">
        <f>Assumptions!$D$33*(1+Assumptions!$D$36)^0</f>
        <v>0</v>
      </c>
      <c r="F22" s="46">
        <f>Assumptions!$D$33*(1+Assumptions!$D$36)^0</f>
        <v>0</v>
      </c>
      <c r="G22" s="46">
        <f>Assumptions!$D$33*(1+Assumptions!$D$36)^0</f>
        <v>0</v>
      </c>
      <c r="H22" s="46">
        <f>Assumptions!$D$33*(1+Assumptions!$D$36)^0</f>
        <v>0</v>
      </c>
      <c r="I22" s="46">
        <f>Assumptions!$D$33*(1+Assumptions!$D$36)^0</f>
        <v>0</v>
      </c>
      <c r="J22" s="46">
        <f>Assumptions!$D$33*(1+Assumptions!$D$36)^0</f>
        <v>0</v>
      </c>
      <c r="K22" s="46">
        <f>Assumptions!$D$33*(1+Assumptions!$D$36)^0</f>
        <v>0</v>
      </c>
      <c r="L22" s="46">
        <f>Assumptions!$D$33*(1+Assumptions!$D$36)^0</f>
        <v>0</v>
      </c>
      <c r="M22" s="46">
        <f>Assumptions!$D$33*(1+Assumptions!$D$36)^0</f>
        <v>0</v>
      </c>
      <c r="N22" s="46">
        <f>Assumptions!$D$33*(1+Assumptions!$D$36)^1</f>
        <v>0</v>
      </c>
      <c r="O22" s="46">
        <f>Assumptions!$D$33*(1+Assumptions!$D$36)^1</f>
        <v>0</v>
      </c>
      <c r="P22" s="46">
        <f>Assumptions!$D$33*(1+Assumptions!$D$36)^1</f>
        <v>0</v>
      </c>
      <c r="Q22" s="46">
        <f>Assumptions!$D$33*(1+Assumptions!$D$36)^1</f>
        <v>0</v>
      </c>
      <c r="R22" s="46">
        <f>Assumptions!$D$33*(1+Assumptions!$D$36)^1</f>
        <v>0</v>
      </c>
      <c r="S22" s="46">
        <f>Assumptions!$D$33*(1+Assumptions!$D$36)^1</f>
        <v>0</v>
      </c>
      <c r="T22" s="46">
        <f>Assumptions!$D$33*(1+Assumptions!$D$36)^1</f>
        <v>0</v>
      </c>
      <c r="U22" s="46">
        <f>Assumptions!$D$33*(1+Assumptions!$D$36)^1</f>
        <v>0</v>
      </c>
      <c r="V22" s="46">
        <f>Assumptions!$D$33*(1+Assumptions!$D$36)^1</f>
        <v>0</v>
      </c>
      <c r="W22" s="46">
        <f>Assumptions!$D$33*(1+Assumptions!$D$36)^1</f>
        <v>0</v>
      </c>
      <c r="X22" s="46">
        <f>Assumptions!$D$33*(1+Assumptions!$D$36)^1</f>
        <v>0</v>
      </c>
      <c r="Y22" s="46">
        <f>Assumptions!$D$33*(1+Assumptions!$D$36)^1</f>
        <v>0</v>
      </c>
      <c r="Z22" s="46">
        <f>Assumptions!$D$33*(1+Assumptions!$D$36)^2</f>
        <v>0</v>
      </c>
      <c r="AA22" s="46">
        <f>Assumptions!$D$33*(1+Assumptions!$D$36)^2</f>
        <v>0</v>
      </c>
      <c r="AB22" s="46">
        <f>Assumptions!$D$33*(1+Assumptions!$D$36)^2</f>
        <v>0</v>
      </c>
      <c r="AC22" s="46">
        <f>Assumptions!$D$33*(1+Assumptions!$D$36)^2</f>
        <v>0</v>
      </c>
      <c r="AD22" s="46">
        <f>Assumptions!$D$33*(1+Assumptions!$D$36)^2</f>
        <v>0</v>
      </c>
      <c r="AE22" s="46">
        <f>Assumptions!$D$33*(1+Assumptions!$D$36)^2</f>
        <v>0</v>
      </c>
      <c r="AF22" s="46">
        <f>Assumptions!$D$33*(1+Assumptions!$D$36)^2</f>
        <v>0</v>
      </c>
      <c r="AG22" s="46">
        <f>Assumptions!$D$33*(1+Assumptions!$D$36)^2</f>
        <v>0</v>
      </c>
      <c r="AH22" s="46">
        <f>Assumptions!$D$33*(1+Assumptions!$D$36)^2</f>
        <v>0</v>
      </c>
      <c r="AI22" s="46">
        <f>Assumptions!$D$33*(1+Assumptions!$D$36)^2</f>
        <v>0</v>
      </c>
      <c r="AJ22" s="46">
        <f>Assumptions!$D$33*(1+Assumptions!$D$36)^2</f>
        <v>0</v>
      </c>
      <c r="AK22" s="46">
        <f>Assumptions!$D$33*(1+Assumptions!$D$36)^2</f>
        <v>0</v>
      </c>
      <c r="AL22" s="46">
        <f>Assumptions!$D$33*(1+Assumptions!$D$36)^3</f>
        <v>0</v>
      </c>
      <c r="AM22" s="46">
        <f>Assumptions!$D$33*(1+Assumptions!$D$36)^3</f>
        <v>0</v>
      </c>
      <c r="AN22" s="46">
        <f>Assumptions!$D$33*(1+Assumptions!$D$36)^3</f>
        <v>0</v>
      </c>
      <c r="AO22" s="46">
        <f>Assumptions!$D$33*(1+Assumptions!$D$36)^3</f>
        <v>0</v>
      </c>
      <c r="AP22" s="46">
        <f>Assumptions!$D$33*(1+Assumptions!$D$36)^3</f>
        <v>0</v>
      </c>
      <c r="AQ22" s="46">
        <f>Assumptions!$D$33*(1+Assumptions!$D$36)^3</f>
        <v>0</v>
      </c>
      <c r="AR22" s="46">
        <f>Assumptions!$D$33*(1+Assumptions!$D$36)^3</f>
        <v>0</v>
      </c>
      <c r="AS22" s="46">
        <f>Assumptions!$D$33*(1+Assumptions!$D$36)^3</f>
        <v>0</v>
      </c>
      <c r="AT22" s="46">
        <f>Assumptions!$D$33*(1+Assumptions!$D$36)^3</f>
        <v>0</v>
      </c>
      <c r="AU22" s="46">
        <f>Assumptions!$D$33*(1+Assumptions!$D$36)^3</f>
        <v>0</v>
      </c>
      <c r="AV22" s="46">
        <f>Assumptions!$D$33*(1+Assumptions!$D$36)^3</f>
        <v>0</v>
      </c>
      <c r="AW22" s="46">
        <f>Assumptions!$D$33*(1+Assumptions!$D$36)^3</f>
        <v>0</v>
      </c>
      <c r="AX22" s="46">
        <f>Assumptions!$D$33*(1+Assumptions!$D$36)^4</f>
        <v>0</v>
      </c>
      <c r="AY22" s="46">
        <f>Assumptions!$D$33*(1+Assumptions!$D$36)^4</f>
        <v>0</v>
      </c>
      <c r="AZ22" s="46">
        <f>Assumptions!$D$33*(1+Assumptions!$D$36)^4</f>
        <v>0</v>
      </c>
      <c r="BA22" s="46">
        <f>Assumptions!$D$33*(1+Assumptions!$D$36)^4</f>
        <v>0</v>
      </c>
      <c r="BB22" s="46">
        <f>Assumptions!$D$33*(1+Assumptions!$D$36)^4</f>
        <v>0</v>
      </c>
      <c r="BC22" s="46">
        <f>Assumptions!$D$33*(1+Assumptions!$D$36)^4</f>
        <v>0</v>
      </c>
      <c r="BD22" s="46">
        <f>Assumptions!$D$33*(1+Assumptions!$D$36)^4</f>
        <v>0</v>
      </c>
      <c r="BE22" s="46">
        <f>Assumptions!$D$33*(1+Assumptions!$D$36)^4</f>
        <v>0</v>
      </c>
      <c r="BF22" s="46">
        <f>Assumptions!$D$33*(1+Assumptions!$D$36)^4</f>
        <v>0</v>
      </c>
      <c r="BG22" s="46">
        <f>Assumptions!$D$33*(1+Assumptions!$D$36)^4</f>
        <v>0</v>
      </c>
      <c r="BH22" s="46">
        <f>Assumptions!$D$33*(1+Assumptions!$D$36)^4</f>
        <v>0</v>
      </c>
      <c r="BI22" s="46">
        <f>Assumptions!$D$33*(1+Assumptions!$D$36)^4</f>
        <v>0</v>
      </c>
    </row>
    <row r="23" spans="1:61" x14ac:dyDescent="0.25">
      <c r="A23" s="38" t="s">
        <v>80</v>
      </c>
      <c r="B23" s="46">
        <f>Assumptions!$D$34*(1+Assumptions!$D$36)^0</f>
        <v>0</v>
      </c>
      <c r="C23" s="46">
        <f>Assumptions!$D$34*(1+Assumptions!$D$36)^0</f>
        <v>0</v>
      </c>
      <c r="D23" s="46">
        <f>Assumptions!$D$34*(1+Assumptions!$D$36)^0</f>
        <v>0</v>
      </c>
      <c r="E23" s="46">
        <f>Assumptions!$D$34*(1+Assumptions!$D$36)^0</f>
        <v>0</v>
      </c>
      <c r="F23" s="46">
        <f>Assumptions!$D$34*(1+Assumptions!$D$36)^0</f>
        <v>0</v>
      </c>
      <c r="G23" s="46">
        <f>Assumptions!$D$34*(1+Assumptions!$D$36)^0</f>
        <v>0</v>
      </c>
      <c r="H23" s="46">
        <f>Assumptions!$D$34*(1+Assumptions!$D$36)^0</f>
        <v>0</v>
      </c>
      <c r="I23" s="46">
        <f>Assumptions!$D$34*(1+Assumptions!$D$36)^0</f>
        <v>0</v>
      </c>
      <c r="J23" s="46">
        <f>Assumptions!$D$34*(1+Assumptions!$D$36)^0</f>
        <v>0</v>
      </c>
      <c r="K23" s="46">
        <f>Assumptions!$D$34*(1+Assumptions!$D$36)^0</f>
        <v>0</v>
      </c>
      <c r="L23" s="46">
        <f>Assumptions!$D$34*(1+Assumptions!$D$36)^0</f>
        <v>0</v>
      </c>
      <c r="M23" s="46">
        <f>Assumptions!$D$34*(1+Assumptions!$D$36)^0</f>
        <v>0</v>
      </c>
      <c r="N23" s="46">
        <f>Assumptions!$D$34*(1+Assumptions!$D$36)^1</f>
        <v>0</v>
      </c>
      <c r="O23" s="46">
        <f>Assumptions!$D$34*(1+Assumptions!$D$36)^1</f>
        <v>0</v>
      </c>
      <c r="P23" s="46">
        <f>Assumptions!$D$34*(1+Assumptions!$D$36)^1</f>
        <v>0</v>
      </c>
      <c r="Q23" s="46">
        <f>Assumptions!$D$34*(1+Assumptions!$D$36)^1</f>
        <v>0</v>
      </c>
      <c r="R23" s="46">
        <f>Assumptions!$D$34*(1+Assumptions!$D$36)^1</f>
        <v>0</v>
      </c>
      <c r="S23" s="46">
        <f>Assumptions!$D$34*(1+Assumptions!$D$36)^1</f>
        <v>0</v>
      </c>
      <c r="T23" s="46">
        <f>Assumptions!$D$34*(1+Assumptions!$D$36)^1</f>
        <v>0</v>
      </c>
      <c r="U23" s="46">
        <f>Assumptions!$D$34*(1+Assumptions!$D$36)^1</f>
        <v>0</v>
      </c>
      <c r="V23" s="46">
        <f>Assumptions!$D$34*(1+Assumptions!$D$36)^1</f>
        <v>0</v>
      </c>
      <c r="W23" s="46">
        <f>Assumptions!$D$34*(1+Assumptions!$D$36)^1</f>
        <v>0</v>
      </c>
      <c r="X23" s="46">
        <f>Assumptions!$D$34*(1+Assumptions!$D$36)^1</f>
        <v>0</v>
      </c>
      <c r="Y23" s="46">
        <f>Assumptions!$D$34*(1+Assumptions!$D$36)^1</f>
        <v>0</v>
      </c>
      <c r="Z23" s="46">
        <f>Assumptions!$D$34*(1+Assumptions!$D$36)^2</f>
        <v>0</v>
      </c>
      <c r="AA23" s="46">
        <f>Assumptions!$D$34*(1+Assumptions!$D$36)^2</f>
        <v>0</v>
      </c>
      <c r="AB23" s="46">
        <f>Assumptions!$D$34*(1+Assumptions!$D$36)^2</f>
        <v>0</v>
      </c>
      <c r="AC23" s="46">
        <f>Assumptions!$D$34*(1+Assumptions!$D$36)^2</f>
        <v>0</v>
      </c>
      <c r="AD23" s="46">
        <f>Assumptions!$D$34*(1+Assumptions!$D$36)^2</f>
        <v>0</v>
      </c>
      <c r="AE23" s="46">
        <f>Assumptions!$D$34*(1+Assumptions!$D$36)^2</f>
        <v>0</v>
      </c>
      <c r="AF23" s="46">
        <f>Assumptions!$D$34*(1+Assumptions!$D$36)^2</f>
        <v>0</v>
      </c>
      <c r="AG23" s="46">
        <f>Assumptions!$D$34*(1+Assumptions!$D$36)^2</f>
        <v>0</v>
      </c>
      <c r="AH23" s="46">
        <f>Assumptions!$D$34*(1+Assumptions!$D$36)^2</f>
        <v>0</v>
      </c>
      <c r="AI23" s="46">
        <f>Assumptions!$D$34*(1+Assumptions!$D$36)^2</f>
        <v>0</v>
      </c>
      <c r="AJ23" s="46">
        <f>Assumptions!$D$34*(1+Assumptions!$D$36)^2</f>
        <v>0</v>
      </c>
      <c r="AK23" s="46">
        <f>Assumptions!$D$34*(1+Assumptions!$D$36)^2</f>
        <v>0</v>
      </c>
      <c r="AL23" s="46">
        <f>Assumptions!$D$34*(1+Assumptions!$D$36)^3</f>
        <v>0</v>
      </c>
      <c r="AM23" s="46">
        <f>Assumptions!$D$34*(1+Assumptions!$D$36)^3</f>
        <v>0</v>
      </c>
      <c r="AN23" s="46">
        <f>Assumptions!$D$34*(1+Assumptions!$D$36)^3</f>
        <v>0</v>
      </c>
      <c r="AO23" s="46">
        <f>Assumptions!$D$34*(1+Assumptions!$D$36)^3</f>
        <v>0</v>
      </c>
      <c r="AP23" s="46">
        <f>Assumptions!$D$34*(1+Assumptions!$D$36)^3</f>
        <v>0</v>
      </c>
      <c r="AQ23" s="46">
        <f>Assumptions!$D$34*(1+Assumptions!$D$36)^3</f>
        <v>0</v>
      </c>
      <c r="AR23" s="46">
        <f>Assumptions!$D$34*(1+Assumptions!$D$36)^3</f>
        <v>0</v>
      </c>
      <c r="AS23" s="46">
        <f>Assumptions!$D$34*(1+Assumptions!$D$36)^3</f>
        <v>0</v>
      </c>
      <c r="AT23" s="46">
        <f>Assumptions!$D$34*(1+Assumptions!$D$36)^3</f>
        <v>0</v>
      </c>
      <c r="AU23" s="46">
        <f>Assumptions!$D$34*(1+Assumptions!$D$36)^3</f>
        <v>0</v>
      </c>
      <c r="AV23" s="46">
        <f>Assumptions!$D$34*(1+Assumptions!$D$36)^3</f>
        <v>0</v>
      </c>
      <c r="AW23" s="46">
        <f>Assumptions!$D$34*(1+Assumptions!$D$36)^3</f>
        <v>0</v>
      </c>
      <c r="AX23" s="46">
        <f>Assumptions!$D$34*(1+Assumptions!$D$36)^4</f>
        <v>0</v>
      </c>
      <c r="AY23" s="46">
        <f>Assumptions!$D$34*(1+Assumptions!$D$36)^4</f>
        <v>0</v>
      </c>
      <c r="AZ23" s="46">
        <f>Assumptions!$D$34*(1+Assumptions!$D$36)^4</f>
        <v>0</v>
      </c>
      <c r="BA23" s="46">
        <f>Assumptions!$D$34*(1+Assumptions!$D$36)^4</f>
        <v>0</v>
      </c>
      <c r="BB23" s="46">
        <f>Assumptions!$D$34*(1+Assumptions!$D$36)^4</f>
        <v>0</v>
      </c>
      <c r="BC23" s="46">
        <f>Assumptions!$D$34*(1+Assumptions!$D$36)^4</f>
        <v>0</v>
      </c>
      <c r="BD23" s="46">
        <f>Assumptions!$D$34*(1+Assumptions!$D$36)^4</f>
        <v>0</v>
      </c>
      <c r="BE23" s="46">
        <f>Assumptions!$D$34*(1+Assumptions!$D$36)^4</f>
        <v>0</v>
      </c>
      <c r="BF23" s="46">
        <f>Assumptions!$D$34*(1+Assumptions!$D$36)^4</f>
        <v>0</v>
      </c>
      <c r="BG23" s="46">
        <f>Assumptions!$D$34*(1+Assumptions!$D$36)^4</f>
        <v>0</v>
      </c>
      <c r="BH23" s="46">
        <f>Assumptions!$D$34*(1+Assumptions!$D$36)^4</f>
        <v>0</v>
      </c>
      <c r="BI23" s="46">
        <f>Assumptions!$D$34*(1+Assumptions!$D$36)^4</f>
        <v>0</v>
      </c>
    </row>
    <row r="24" spans="1:61" x14ac:dyDescent="0.25">
      <c r="A24" s="38" t="s">
        <v>81</v>
      </c>
      <c r="B24" s="46">
        <f>Assumptions!$D$35*(1+Assumptions!$D$36)^0</f>
        <v>0</v>
      </c>
      <c r="C24" s="46">
        <f>Assumptions!$D$35*(1+Assumptions!$D$36)^0</f>
        <v>0</v>
      </c>
      <c r="D24" s="46">
        <f>Assumptions!$D$35*(1+Assumptions!$D$36)^0</f>
        <v>0</v>
      </c>
      <c r="E24" s="46">
        <f>Assumptions!$D$35*(1+Assumptions!$D$36)^0</f>
        <v>0</v>
      </c>
      <c r="F24" s="46">
        <f>Assumptions!$D$35*(1+Assumptions!$D$36)^0</f>
        <v>0</v>
      </c>
      <c r="G24" s="46">
        <f>Assumptions!$D$35*(1+Assumptions!$D$36)^0</f>
        <v>0</v>
      </c>
      <c r="H24" s="46">
        <f>Assumptions!$D$35*(1+Assumptions!$D$36)^0</f>
        <v>0</v>
      </c>
      <c r="I24" s="46">
        <f>Assumptions!$D$35*(1+Assumptions!$D$36)^0</f>
        <v>0</v>
      </c>
      <c r="J24" s="46">
        <f>Assumptions!$D$35*(1+Assumptions!$D$36)^0</f>
        <v>0</v>
      </c>
      <c r="K24" s="46">
        <f>Assumptions!$D$35*(1+Assumptions!$D$36)^0</f>
        <v>0</v>
      </c>
      <c r="L24" s="46">
        <f>Assumptions!$D$35*(1+Assumptions!$D$36)^0</f>
        <v>0</v>
      </c>
      <c r="M24" s="46">
        <f>Assumptions!$D$35*(1+Assumptions!$D$36)^0</f>
        <v>0</v>
      </c>
      <c r="N24" s="46">
        <f>Assumptions!$D$35*(1+Assumptions!$D$36)^1</f>
        <v>0</v>
      </c>
      <c r="O24" s="46">
        <f>Assumptions!$D$35*(1+Assumptions!$D$36)^1</f>
        <v>0</v>
      </c>
      <c r="P24" s="46">
        <f>Assumptions!$D$35*(1+Assumptions!$D$36)^1</f>
        <v>0</v>
      </c>
      <c r="Q24" s="46">
        <f>Assumptions!$D$35*(1+Assumptions!$D$36)^1</f>
        <v>0</v>
      </c>
      <c r="R24" s="46">
        <f>Assumptions!$D$35*(1+Assumptions!$D$36)^1</f>
        <v>0</v>
      </c>
      <c r="S24" s="46">
        <f>Assumptions!$D$35*(1+Assumptions!$D$36)^1</f>
        <v>0</v>
      </c>
      <c r="T24" s="46">
        <f>Assumptions!$D$35*(1+Assumptions!$D$36)^1</f>
        <v>0</v>
      </c>
      <c r="U24" s="46">
        <f>Assumptions!$D$35*(1+Assumptions!$D$36)^1</f>
        <v>0</v>
      </c>
      <c r="V24" s="46">
        <f>Assumptions!$D$35*(1+Assumptions!$D$36)^1</f>
        <v>0</v>
      </c>
      <c r="W24" s="46">
        <f>Assumptions!$D$35*(1+Assumptions!$D$36)^1</f>
        <v>0</v>
      </c>
      <c r="X24" s="46">
        <f>Assumptions!$D$35*(1+Assumptions!$D$36)^1</f>
        <v>0</v>
      </c>
      <c r="Y24" s="46">
        <f>Assumptions!$D$35*(1+Assumptions!$D$36)^1</f>
        <v>0</v>
      </c>
      <c r="Z24" s="46">
        <f>Assumptions!$D$35*(1+Assumptions!$D$36)^2</f>
        <v>0</v>
      </c>
      <c r="AA24" s="46">
        <f>Assumptions!$D$35*(1+Assumptions!$D$36)^2</f>
        <v>0</v>
      </c>
      <c r="AB24" s="46">
        <f>Assumptions!$D$35*(1+Assumptions!$D$36)^2</f>
        <v>0</v>
      </c>
      <c r="AC24" s="46">
        <f>Assumptions!$D$35*(1+Assumptions!$D$36)^2</f>
        <v>0</v>
      </c>
      <c r="AD24" s="46">
        <f>Assumptions!$D$35*(1+Assumptions!$D$36)^2</f>
        <v>0</v>
      </c>
      <c r="AE24" s="46">
        <f>Assumptions!$D$35*(1+Assumptions!$D$36)^2</f>
        <v>0</v>
      </c>
      <c r="AF24" s="46">
        <f>Assumptions!$D$35*(1+Assumptions!$D$36)^2</f>
        <v>0</v>
      </c>
      <c r="AG24" s="46">
        <f>Assumptions!$D$35*(1+Assumptions!$D$36)^2</f>
        <v>0</v>
      </c>
      <c r="AH24" s="46">
        <f>Assumptions!$D$35*(1+Assumptions!$D$36)^2</f>
        <v>0</v>
      </c>
      <c r="AI24" s="46">
        <f>Assumptions!$D$35*(1+Assumptions!$D$36)^2</f>
        <v>0</v>
      </c>
      <c r="AJ24" s="46">
        <f>Assumptions!$D$35*(1+Assumptions!$D$36)^2</f>
        <v>0</v>
      </c>
      <c r="AK24" s="46">
        <f>Assumptions!$D$35*(1+Assumptions!$D$36)^2</f>
        <v>0</v>
      </c>
      <c r="AL24" s="46">
        <f>Assumptions!$D$35*(1+Assumptions!$D$36)^3</f>
        <v>0</v>
      </c>
      <c r="AM24" s="46">
        <f>Assumptions!$D$35*(1+Assumptions!$D$36)^3</f>
        <v>0</v>
      </c>
      <c r="AN24" s="46">
        <f>Assumptions!$D$35*(1+Assumptions!$D$36)^3</f>
        <v>0</v>
      </c>
      <c r="AO24" s="46">
        <f>Assumptions!$D$35*(1+Assumptions!$D$36)^3</f>
        <v>0</v>
      </c>
      <c r="AP24" s="46">
        <f>Assumptions!$D$35*(1+Assumptions!$D$36)^3</f>
        <v>0</v>
      </c>
      <c r="AQ24" s="46">
        <f>Assumptions!$D$35*(1+Assumptions!$D$36)^3</f>
        <v>0</v>
      </c>
      <c r="AR24" s="46">
        <f>Assumptions!$D$35*(1+Assumptions!$D$36)^3</f>
        <v>0</v>
      </c>
      <c r="AS24" s="46">
        <f>Assumptions!$D$35*(1+Assumptions!$D$36)^3</f>
        <v>0</v>
      </c>
      <c r="AT24" s="46">
        <f>Assumptions!$D$35*(1+Assumptions!$D$36)^3</f>
        <v>0</v>
      </c>
      <c r="AU24" s="46">
        <f>Assumptions!$D$35*(1+Assumptions!$D$36)^3</f>
        <v>0</v>
      </c>
      <c r="AV24" s="46">
        <f>Assumptions!$D$35*(1+Assumptions!$D$36)^3</f>
        <v>0</v>
      </c>
      <c r="AW24" s="46">
        <f>Assumptions!$D$35*(1+Assumptions!$D$36)^3</f>
        <v>0</v>
      </c>
      <c r="AX24" s="46">
        <f>Assumptions!$D$35*(1+Assumptions!$D$36)^4</f>
        <v>0</v>
      </c>
      <c r="AY24" s="46">
        <f>Assumptions!$D$35*(1+Assumptions!$D$36)^4</f>
        <v>0</v>
      </c>
      <c r="AZ24" s="46">
        <f>Assumptions!$D$35*(1+Assumptions!$D$36)^4</f>
        <v>0</v>
      </c>
      <c r="BA24" s="46">
        <f>Assumptions!$D$35*(1+Assumptions!$D$36)^4</f>
        <v>0</v>
      </c>
      <c r="BB24" s="46">
        <f>Assumptions!$D$35*(1+Assumptions!$D$36)^4</f>
        <v>0</v>
      </c>
      <c r="BC24" s="46">
        <f>Assumptions!$D$35*(1+Assumptions!$D$36)^4</f>
        <v>0</v>
      </c>
      <c r="BD24" s="46">
        <f>Assumptions!$D$35*(1+Assumptions!$D$36)^4</f>
        <v>0</v>
      </c>
      <c r="BE24" s="46">
        <f>Assumptions!$D$35*(1+Assumptions!$D$36)^4</f>
        <v>0</v>
      </c>
      <c r="BF24" s="46">
        <f>Assumptions!$D$35*(1+Assumptions!$D$36)^4</f>
        <v>0</v>
      </c>
      <c r="BG24" s="46">
        <f>Assumptions!$D$35*(1+Assumptions!$D$36)^4</f>
        <v>0</v>
      </c>
      <c r="BH24" s="46">
        <f>Assumptions!$D$35*(1+Assumptions!$D$36)^4</f>
        <v>0</v>
      </c>
      <c r="BI24" s="46">
        <f>Assumptions!$D$35*(1+Assumptions!$D$36)^4</f>
        <v>0</v>
      </c>
    </row>
    <row r="25" spans="1:61" x14ac:dyDescent="0.25">
      <c r="A25" s="41" t="s">
        <v>215</v>
      </c>
      <c r="B25" s="49">
        <f t="shared" ref="B25:AG25" si="2">SUM(B19:B24)</f>
        <v>0</v>
      </c>
      <c r="C25" s="49">
        <f t="shared" si="2"/>
        <v>0</v>
      </c>
      <c r="D25" s="49">
        <f t="shared" si="2"/>
        <v>0</v>
      </c>
      <c r="E25" s="49">
        <f t="shared" si="2"/>
        <v>0</v>
      </c>
      <c r="F25" s="49">
        <f t="shared" si="2"/>
        <v>0</v>
      </c>
      <c r="G25" s="49">
        <f t="shared" si="2"/>
        <v>0</v>
      </c>
      <c r="H25" s="49">
        <f t="shared" si="2"/>
        <v>0</v>
      </c>
      <c r="I25" s="49">
        <f t="shared" si="2"/>
        <v>0</v>
      </c>
      <c r="J25" s="49">
        <f t="shared" si="2"/>
        <v>0</v>
      </c>
      <c r="K25" s="49">
        <f t="shared" si="2"/>
        <v>0</v>
      </c>
      <c r="L25" s="49">
        <f t="shared" si="2"/>
        <v>0</v>
      </c>
      <c r="M25" s="49">
        <f t="shared" si="2"/>
        <v>0</v>
      </c>
      <c r="N25" s="49">
        <f t="shared" si="2"/>
        <v>0</v>
      </c>
      <c r="O25" s="49">
        <f t="shared" si="2"/>
        <v>0</v>
      </c>
      <c r="P25" s="49">
        <f t="shared" si="2"/>
        <v>0</v>
      </c>
      <c r="Q25" s="49">
        <f t="shared" si="2"/>
        <v>0</v>
      </c>
      <c r="R25" s="49">
        <f t="shared" si="2"/>
        <v>0</v>
      </c>
      <c r="S25" s="49">
        <f t="shared" si="2"/>
        <v>0</v>
      </c>
      <c r="T25" s="49">
        <f t="shared" si="2"/>
        <v>0</v>
      </c>
      <c r="U25" s="49">
        <f t="shared" si="2"/>
        <v>0</v>
      </c>
      <c r="V25" s="49">
        <f t="shared" si="2"/>
        <v>0</v>
      </c>
      <c r="W25" s="49">
        <f t="shared" si="2"/>
        <v>0</v>
      </c>
      <c r="X25" s="49">
        <f t="shared" si="2"/>
        <v>0</v>
      </c>
      <c r="Y25" s="49">
        <f t="shared" si="2"/>
        <v>0</v>
      </c>
      <c r="Z25" s="49">
        <f t="shared" si="2"/>
        <v>0</v>
      </c>
      <c r="AA25" s="49">
        <f t="shared" si="2"/>
        <v>0</v>
      </c>
      <c r="AB25" s="49">
        <f t="shared" si="2"/>
        <v>0</v>
      </c>
      <c r="AC25" s="49">
        <f t="shared" si="2"/>
        <v>0</v>
      </c>
      <c r="AD25" s="49">
        <f t="shared" si="2"/>
        <v>0</v>
      </c>
      <c r="AE25" s="49">
        <f t="shared" si="2"/>
        <v>0</v>
      </c>
      <c r="AF25" s="49">
        <f t="shared" si="2"/>
        <v>0</v>
      </c>
      <c r="AG25" s="49">
        <f t="shared" si="2"/>
        <v>0</v>
      </c>
      <c r="AH25" s="49">
        <f t="shared" ref="AH25:BM25" si="3">SUM(AH19:AH24)</f>
        <v>0</v>
      </c>
      <c r="AI25" s="49">
        <f t="shared" si="3"/>
        <v>0</v>
      </c>
      <c r="AJ25" s="49">
        <f t="shared" si="3"/>
        <v>0</v>
      </c>
      <c r="AK25" s="49">
        <f t="shared" si="3"/>
        <v>0</v>
      </c>
      <c r="AL25" s="49">
        <f t="shared" si="3"/>
        <v>0</v>
      </c>
      <c r="AM25" s="49">
        <f t="shared" si="3"/>
        <v>0</v>
      </c>
      <c r="AN25" s="49">
        <f t="shared" si="3"/>
        <v>0</v>
      </c>
      <c r="AO25" s="49">
        <f t="shared" si="3"/>
        <v>0</v>
      </c>
      <c r="AP25" s="49">
        <f t="shared" si="3"/>
        <v>0</v>
      </c>
      <c r="AQ25" s="49">
        <f t="shared" si="3"/>
        <v>0</v>
      </c>
      <c r="AR25" s="49">
        <f t="shared" si="3"/>
        <v>0</v>
      </c>
      <c r="AS25" s="49">
        <f t="shared" si="3"/>
        <v>0</v>
      </c>
      <c r="AT25" s="49">
        <f t="shared" si="3"/>
        <v>0</v>
      </c>
      <c r="AU25" s="49">
        <f t="shared" si="3"/>
        <v>0</v>
      </c>
      <c r="AV25" s="49">
        <f t="shared" si="3"/>
        <v>0</v>
      </c>
      <c r="AW25" s="49">
        <f t="shared" si="3"/>
        <v>0</v>
      </c>
      <c r="AX25" s="49">
        <f t="shared" si="3"/>
        <v>0</v>
      </c>
      <c r="AY25" s="49">
        <f t="shared" si="3"/>
        <v>0</v>
      </c>
      <c r="AZ25" s="49">
        <f t="shared" si="3"/>
        <v>0</v>
      </c>
      <c r="BA25" s="49">
        <f t="shared" si="3"/>
        <v>0</v>
      </c>
      <c r="BB25" s="49">
        <f t="shared" si="3"/>
        <v>0</v>
      </c>
      <c r="BC25" s="49">
        <f t="shared" si="3"/>
        <v>0</v>
      </c>
      <c r="BD25" s="49">
        <f t="shared" si="3"/>
        <v>0</v>
      </c>
      <c r="BE25" s="49">
        <f t="shared" si="3"/>
        <v>0</v>
      </c>
      <c r="BF25" s="49">
        <f t="shared" si="3"/>
        <v>0</v>
      </c>
      <c r="BG25" s="49">
        <f t="shared" si="3"/>
        <v>0</v>
      </c>
      <c r="BH25" s="49">
        <f t="shared" si="3"/>
        <v>0</v>
      </c>
      <c r="BI25" s="49">
        <f t="shared" si="3"/>
        <v>0</v>
      </c>
    </row>
    <row r="26" spans="1:61" ht="18" customHeight="1" x14ac:dyDescent="0.25">
      <c r="A26" s="9" t="s">
        <v>216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</row>
    <row r="27" spans="1:61" x14ac:dyDescent="0.25">
      <c r="A27" s="38" t="s">
        <v>217</v>
      </c>
      <c r="B27" s="46">
        <f>(Assumptions!$D$46*Assumptions!$D$52+Assumptions!$D$47*Assumptions!$D$53+Assumptions!$D$48*Assumptions!$D$54+Assumptions!$D$49*Assumptions!$D$55)/12+IFERROR(Assumptions!$D$50/(Assumptions!$D$56*12),0)</f>
        <v>0</v>
      </c>
      <c r="C27" s="46">
        <f>(Assumptions!$D$46*Assumptions!$D$52+Assumptions!$D$47*Assumptions!$D$53+Assumptions!$D$48*Assumptions!$D$54+Assumptions!$D$49*Assumptions!$D$55)/12+IFERROR(Assumptions!$D$50/(Assumptions!$D$56*12),0)</f>
        <v>0</v>
      </c>
      <c r="D27" s="46">
        <f>(Assumptions!$D$46*Assumptions!$D$52+Assumptions!$D$47*Assumptions!$D$53+Assumptions!$D$48*Assumptions!$D$54+Assumptions!$D$49*Assumptions!$D$55)/12+IFERROR(Assumptions!$D$50/(Assumptions!$D$56*12),0)</f>
        <v>0</v>
      </c>
      <c r="E27" s="46">
        <f>(Assumptions!$D$46*Assumptions!$D$52+Assumptions!$D$47*Assumptions!$D$53+Assumptions!$D$48*Assumptions!$D$54+Assumptions!$D$49*Assumptions!$D$55)/12+IFERROR(Assumptions!$D$50/(Assumptions!$D$56*12),0)</f>
        <v>0</v>
      </c>
      <c r="F27" s="46">
        <f>(Assumptions!$D$46*Assumptions!$D$52+Assumptions!$D$47*Assumptions!$D$53+Assumptions!$D$48*Assumptions!$D$54+Assumptions!$D$49*Assumptions!$D$55)/12+IFERROR(Assumptions!$D$50/(Assumptions!$D$56*12),0)</f>
        <v>0</v>
      </c>
      <c r="G27" s="46">
        <f>(Assumptions!$D$46*Assumptions!$D$52+Assumptions!$D$47*Assumptions!$D$53+Assumptions!$D$48*Assumptions!$D$54+Assumptions!$D$49*Assumptions!$D$55)/12+IFERROR(Assumptions!$D$50/(Assumptions!$D$56*12),0)</f>
        <v>0</v>
      </c>
      <c r="H27" s="46">
        <f>(Assumptions!$D$46*Assumptions!$D$52+Assumptions!$D$47*Assumptions!$D$53+Assumptions!$D$48*Assumptions!$D$54+Assumptions!$D$49*Assumptions!$D$55)/12+IFERROR(Assumptions!$D$50/(Assumptions!$D$56*12),0)</f>
        <v>0</v>
      </c>
      <c r="I27" s="46">
        <f>(Assumptions!$D$46*Assumptions!$D$52+Assumptions!$D$47*Assumptions!$D$53+Assumptions!$D$48*Assumptions!$D$54+Assumptions!$D$49*Assumptions!$D$55)/12+IFERROR(Assumptions!$D$50/(Assumptions!$D$56*12),0)</f>
        <v>0</v>
      </c>
      <c r="J27" s="46">
        <f>(Assumptions!$D$46*Assumptions!$D$52+Assumptions!$D$47*Assumptions!$D$53+Assumptions!$D$48*Assumptions!$D$54+Assumptions!$D$49*Assumptions!$D$55)/12+IFERROR(Assumptions!$D$50/(Assumptions!$D$56*12),0)</f>
        <v>0</v>
      </c>
      <c r="K27" s="46">
        <f>(Assumptions!$D$46*Assumptions!$D$52+Assumptions!$D$47*Assumptions!$D$53+Assumptions!$D$48*Assumptions!$D$54+Assumptions!$D$49*Assumptions!$D$55)/12+IFERROR(Assumptions!$D$50/(Assumptions!$D$56*12),0)</f>
        <v>0</v>
      </c>
      <c r="L27" s="46">
        <f>(Assumptions!$D$46*Assumptions!$D$52+Assumptions!$D$47*Assumptions!$D$53+Assumptions!$D$48*Assumptions!$D$54+Assumptions!$D$49*Assumptions!$D$55)/12+IFERROR(Assumptions!$D$50/(Assumptions!$D$56*12),0)</f>
        <v>0</v>
      </c>
      <c r="M27" s="46">
        <f>(Assumptions!$D$46*Assumptions!$D$52+Assumptions!$D$47*Assumptions!$D$53+Assumptions!$D$48*Assumptions!$D$54+Assumptions!$D$49*Assumptions!$D$55)/12+IFERROR(Assumptions!$D$50/(Assumptions!$D$56*12),0)</f>
        <v>0</v>
      </c>
      <c r="N27" s="46">
        <f>(Assumptions!$D$46*Assumptions!$D$52+Assumptions!$D$47*Assumptions!$D$53+Assumptions!$D$48*Assumptions!$D$54+Assumptions!$D$49*Assumptions!$D$55)/12+IFERROR(Assumptions!$D$50/(Assumptions!$D$56*12),0)</f>
        <v>0</v>
      </c>
      <c r="O27" s="46">
        <f>(Assumptions!$D$46*Assumptions!$D$52+Assumptions!$D$47*Assumptions!$D$53+Assumptions!$D$48*Assumptions!$D$54+Assumptions!$D$49*Assumptions!$D$55)/12+IFERROR(Assumptions!$D$50/(Assumptions!$D$56*12),0)</f>
        <v>0</v>
      </c>
      <c r="P27" s="46">
        <f>(Assumptions!$D$46*Assumptions!$D$52+Assumptions!$D$47*Assumptions!$D$53+Assumptions!$D$48*Assumptions!$D$54+Assumptions!$D$49*Assumptions!$D$55)/12+IFERROR(Assumptions!$D$50/(Assumptions!$D$56*12),0)</f>
        <v>0</v>
      </c>
      <c r="Q27" s="46">
        <f>(Assumptions!$D$46*Assumptions!$D$52+Assumptions!$D$47*Assumptions!$D$53+Assumptions!$D$48*Assumptions!$D$54+Assumptions!$D$49*Assumptions!$D$55)/12+IFERROR(Assumptions!$D$50/(Assumptions!$D$56*12),0)</f>
        <v>0</v>
      </c>
      <c r="R27" s="46">
        <f>(Assumptions!$D$46*Assumptions!$D$52+Assumptions!$D$47*Assumptions!$D$53+Assumptions!$D$48*Assumptions!$D$54+Assumptions!$D$49*Assumptions!$D$55)/12+IFERROR(Assumptions!$D$50/(Assumptions!$D$56*12),0)</f>
        <v>0</v>
      </c>
      <c r="S27" s="46">
        <f>(Assumptions!$D$46*Assumptions!$D$52+Assumptions!$D$47*Assumptions!$D$53+Assumptions!$D$48*Assumptions!$D$54+Assumptions!$D$49*Assumptions!$D$55)/12+IFERROR(Assumptions!$D$50/(Assumptions!$D$56*12),0)</f>
        <v>0</v>
      </c>
      <c r="T27" s="46">
        <f>(Assumptions!$D$46*Assumptions!$D$52+Assumptions!$D$47*Assumptions!$D$53+Assumptions!$D$48*Assumptions!$D$54+Assumptions!$D$49*Assumptions!$D$55)/12+IFERROR(Assumptions!$D$50/(Assumptions!$D$56*12),0)</f>
        <v>0</v>
      </c>
      <c r="U27" s="46">
        <f>(Assumptions!$D$46*Assumptions!$D$52+Assumptions!$D$47*Assumptions!$D$53+Assumptions!$D$48*Assumptions!$D$54+Assumptions!$D$49*Assumptions!$D$55)/12+IFERROR(Assumptions!$D$50/(Assumptions!$D$56*12),0)</f>
        <v>0</v>
      </c>
      <c r="V27" s="46">
        <f>(Assumptions!$D$46*Assumptions!$D$52+Assumptions!$D$47*Assumptions!$D$53+Assumptions!$D$48*Assumptions!$D$54+Assumptions!$D$49*Assumptions!$D$55)/12+IFERROR(Assumptions!$D$50/(Assumptions!$D$56*12),0)</f>
        <v>0</v>
      </c>
      <c r="W27" s="46">
        <f>(Assumptions!$D$46*Assumptions!$D$52+Assumptions!$D$47*Assumptions!$D$53+Assumptions!$D$48*Assumptions!$D$54+Assumptions!$D$49*Assumptions!$D$55)/12+IFERROR(Assumptions!$D$50/(Assumptions!$D$56*12),0)</f>
        <v>0</v>
      </c>
      <c r="X27" s="46">
        <f>(Assumptions!$D$46*Assumptions!$D$52+Assumptions!$D$47*Assumptions!$D$53+Assumptions!$D$48*Assumptions!$D$54+Assumptions!$D$49*Assumptions!$D$55)/12+IFERROR(Assumptions!$D$50/(Assumptions!$D$56*12),0)</f>
        <v>0</v>
      </c>
      <c r="Y27" s="46">
        <f>(Assumptions!$D$46*Assumptions!$D$52+Assumptions!$D$47*Assumptions!$D$53+Assumptions!$D$48*Assumptions!$D$54+Assumptions!$D$49*Assumptions!$D$55)/12+IFERROR(Assumptions!$D$50/(Assumptions!$D$56*12),0)</f>
        <v>0</v>
      </c>
      <c r="Z27" s="46">
        <f>(Assumptions!$D$46*Assumptions!$D$52+Assumptions!$D$47*Assumptions!$D$53+Assumptions!$D$48*Assumptions!$D$54+Assumptions!$D$49*Assumptions!$D$55)/12+IFERROR(Assumptions!$D$50/(Assumptions!$D$56*12),0)</f>
        <v>0</v>
      </c>
      <c r="AA27" s="46">
        <f>(Assumptions!$D$46*Assumptions!$D$52+Assumptions!$D$47*Assumptions!$D$53+Assumptions!$D$48*Assumptions!$D$54+Assumptions!$D$49*Assumptions!$D$55)/12+IFERROR(Assumptions!$D$50/(Assumptions!$D$56*12),0)</f>
        <v>0</v>
      </c>
      <c r="AB27" s="46">
        <f>(Assumptions!$D$46*Assumptions!$D$52+Assumptions!$D$47*Assumptions!$D$53+Assumptions!$D$48*Assumptions!$D$54+Assumptions!$D$49*Assumptions!$D$55)/12+IFERROR(Assumptions!$D$50/(Assumptions!$D$56*12),0)</f>
        <v>0</v>
      </c>
      <c r="AC27" s="46">
        <f>(Assumptions!$D$46*Assumptions!$D$52+Assumptions!$D$47*Assumptions!$D$53+Assumptions!$D$48*Assumptions!$D$54+Assumptions!$D$49*Assumptions!$D$55)/12+IFERROR(Assumptions!$D$50/(Assumptions!$D$56*12),0)</f>
        <v>0</v>
      </c>
      <c r="AD27" s="46">
        <f>(Assumptions!$D$46*Assumptions!$D$52+Assumptions!$D$47*Assumptions!$D$53+Assumptions!$D$48*Assumptions!$D$54+Assumptions!$D$49*Assumptions!$D$55)/12+IFERROR(Assumptions!$D$50/(Assumptions!$D$56*12),0)</f>
        <v>0</v>
      </c>
      <c r="AE27" s="46">
        <f>(Assumptions!$D$46*Assumptions!$D$52+Assumptions!$D$47*Assumptions!$D$53+Assumptions!$D$48*Assumptions!$D$54+Assumptions!$D$49*Assumptions!$D$55)/12+IFERROR(Assumptions!$D$50/(Assumptions!$D$56*12),0)</f>
        <v>0</v>
      </c>
      <c r="AF27" s="46">
        <f>(Assumptions!$D$46*Assumptions!$D$52+Assumptions!$D$47*Assumptions!$D$53+Assumptions!$D$48*Assumptions!$D$54+Assumptions!$D$49*Assumptions!$D$55)/12+IFERROR(Assumptions!$D$50/(Assumptions!$D$56*12),0)</f>
        <v>0</v>
      </c>
      <c r="AG27" s="46">
        <f>(Assumptions!$D$46*Assumptions!$D$52+Assumptions!$D$47*Assumptions!$D$53+Assumptions!$D$48*Assumptions!$D$54+Assumptions!$D$49*Assumptions!$D$55)/12+IFERROR(Assumptions!$D$50/(Assumptions!$D$56*12),0)</f>
        <v>0</v>
      </c>
      <c r="AH27" s="46">
        <f>(Assumptions!$D$46*Assumptions!$D$52+Assumptions!$D$47*Assumptions!$D$53+Assumptions!$D$48*Assumptions!$D$54+Assumptions!$D$49*Assumptions!$D$55)/12+IFERROR(Assumptions!$D$50/(Assumptions!$D$56*12),0)</f>
        <v>0</v>
      </c>
      <c r="AI27" s="46">
        <f>(Assumptions!$D$46*Assumptions!$D$52+Assumptions!$D$47*Assumptions!$D$53+Assumptions!$D$48*Assumptions!$D$54+Assumptions!$D$49*Assumptions!$D$55)/12+IFERROR(Assumptions!$D$50/(Assumptions!$D$56*12),0)</f>
        <v>0</v>
      </c>
      <c r="AJ27" s="46">
        <f>(Assumptions!$D$46*Assumptions!$D$52+Assumptions!$D$47*Assumptions!$D$53+Assumptions!$D$48*Assumptions!$D$54+Assumptions!$D$49*Assumptions!$D$55)/12+IFERROR(Assumptions!$D$50/(Assumptions!$D$56*12),0)</f>
        <v>0</v>
      </c>
      <c r="AK27" s="46">
        <f>(Assumptions!$D$46*Assumptions!$D$52+Assumptions!$D$47*Assumptions!$D$53+Assumptions!$D$48*Assumptions!$D$54+Assumptions!$D$49*Assumptions!$D$55)/12+IFERROR(Assumptions!$D$50/(Assumptions!$D$56*12),0)</f>
        <v>0</v>
      </c>
      <c r="AL27" s="46">
        <f>(Assumptions!$D$46*Assumptions!$D$52+Assumptions!$D$47*Assumptions!$D$53+Assumptions!$D$48*Assumptions!$D$54+Assumptions!$D$49*Assumptions!$D$55)/12+IFERROR(Assumptions!$D$50/(Assumptions!$D$56*12),0)</f>
        <v>0</v>
      </c>
      <c r="AM27" s="46">
        <f>(Assumptions!$D$46*Assumptions!$D$52+Assumptions!$D$47*Assumptions!$D$53+Assumptions!$D$48*Assumptions!$D$54+Assumptions!$D$49*Assumptions!$D$55)/12+IFERROR(Assumptions!$D$50/(Assumptions!$D$56*12),0)</f>
        <v>0</v>
      </c>
      <c r="AN27" s="46">
        <f>(Assumptions!$D$46*Assumptions!$D$52+Assumptions!$D$47*Assumptions!$D$53+Assumptions!$D$48*Assumptions!$D$54+Assumptions!$D$49*Assumptions!$D$55)/12+IFERROR(Assumptions!$D$50/(Assumptions!$D$56*12),0)</f>
        <v>0</v>
      </c>
      <c r="AO27" s="46">
        <f>(Assumptions!$D$46*Assumptions!$D$52+Assumptions!$D$47*Assumptions!$D$53+Assumptions!$D$48*Assumptions!$D$54+Assumptions!$D$49*Assumptions!$D$55)/12+IFERROR(Assumptions!$D$50/(Assumptions!$D$56*12),0)</f>
        <v>0</v>
      </c>
      <c r="AP27" s="46">
        <f>(Assumptions!$D$46*Assumptions!$D$52+Assumptions!$D$47*Assumptions!$D$53+Assumptions!$D$48*Assumptions!$D$54+Assumptions!$D$49*Assumptions!$D$55)/12+IFERROR(Assumptions!$D$50/(Assumptions!$D$56*12),0)</f>
        <v>0</v>
      </c>
      <c r="AQ27" s="46">
        <f>(Assumptions!$D$46*Assumptions!$D$52+Assumptions!$D$47*Assumptions!$D$53+Assumptions!$D$48*Assumptions!$D$54+Assumptions!$D$49*Assumptions!$D$55)/12+IFERROR(Assumptions!$D$50/(Assumptions!$D$56*12),0)</f>
        <v>0</v>
      </c>
      <c r="AR27" s="46">
        <f>(Assumptions!$D$46*Assumptions!$D$52+Assumptions!$D$47*Assumptions!$D$53+Assumptions!$D$48*Assumptions!$D$54+Assumptions!$D$49*Assumptions!$D$55)/12+IFERROR(Assumptions!$D$50/(Assumptions!$D$56*12),0)</f>
        <v>0</v>
      </c>
      <c r="AS27" s="46">
        <f>(Assumptions!$D$46*Assumptions!$D$52+Assumptions!$D$47*Assumptions!$D$53+Assumptions!$D$48*Assumptions!$D$54+Assumptions!$D$49*Assumptions!$D$55)/12+IFERROR(Assumptions!$D$50/(Assumptions!$D$56*12),0)</f>
        <v>0</v>
      </c>
      <c r="AT27" s="46">
        <f>(Assumptions!$D$46*Assumptions!$D$52+Assumptions!$D$47*Assumptions!$D$53+Assumptions!$D$48*Assumptions!$D$54+Assumptions!$D$49*Assumptions!$D$55)/12+IFERROR(Assumptions!$D$50/(Assumptions!$D$56*12),0)</f>
        <v>0</v>
      </c>
      <c r="AU27" s="46">
        <f>(Assumptions!$D$46*Assumptions!$D$52+Assumptions!$D$47*Assumptions!$D$53+Assumptions!$D$48*Assumptions!$D$54+Assumptions!$D$49*Assumptions!$D$55)/12+IFERROR(Assumptions!$D$50/(Assumptions!$D$56*12),0)</f>
        <v>0</v>
      </c>
      <c r="AV27" s="46">
        <f>(Assumptions!$D$46*Assumptions!$D$52+Assumptions!$D$47*Assumptions!$D$53+Assumptions!$D$48*Assumptions!$D$54+Assumptions!$D$49*Assumptions!$D$55)/12+IFERROR(Assumptions!$D$50/(Assumptions!$D$56*12),0)</f>
        <v>0</v>
      </c>
      <c r="AW27" s="46">
        <f>(Assumptions!$D$46*Assumptions!$D$52+Assumptions!$D$47*Assumptions!$D$53+Assumptions!$D$48*Assumptions!$D$54+Assumptions!$D$49*Assumptions!$D$55)/12+IFERROR(Assumptions!$D$50/(Assumptions!$D$56*12),0)</f>
        <v>0</v>
      </c>
      <c r="AX27" s="46">
        <f>(Assumptions!$D$46*Assumptions!$D$52+Assumptions!$D$47*Assumptions!$D$53+Assumptions!$D$48*Assumptions!$D$54+Assumptions!$D$49*Assumptions!$D$55)/12+IFERROR(Assumptions!$D$50/(Assumptions!$D$56*12),0)</f>
        <v>0</v>
      </c>
      <c r="AY27" s="46">
        <f>(Assumptions!$D$46*Assumptions!$D$52+Assumptions!$D$47*Assumptions!$D$53+Assumptions!$D$48*Assumptions!$D$54+Assumptions!$D$49*Assumptions!$D$55)/12+IFERROR(Assumptions!$D$50/(Assumptions!$D$56*12),0)</f>
        <v>0</v>
      </c>
      <c r="AZ27" s="46">
        <f>(Assumptions!$D$46*Assumptions!$D$52+Assumptions!$D$47*Assumptions!$D$53+Assumptions!$D$48*Assumptions!$D$54+Assumptions!$D$49*Assumptions!$D$55)/12+IFERROR(Assumptions!$D$50/(Assumptions!$D$56*12),0)</f>
        <v>0</v>
      </c>
      <c r="BA27" s="46">
        <f>(Assumptions!$D$46*Assumptions!$D$52+Assumptions!$D$47*Assumptions!$D$53+Assumptions!$D$48*Assumptions!$D$54+Assumptions!$D$49*Assumptions!$D$55)/12+IFERROR(Assumptions!$D$50/(Assumptions!$D$56*12),0)</f>
        <v>0</v>
      </c>
      <c r="BB27" s="46">
        <f>(Assumptions!$D$46*Assumptions!$D$52+Assumptions!$D$47*Assumptions!$D$53+Assumptions!$D$48*Assumptions!$D$54+Assumptions!$D$49*Assumptions!$D$55)/12+IFERROR(Assumptions!$D$50/(Assumptions!$D$56*12),0)</f>
        <v>0</v>
      </c>
      <c r="BC27" s="46">
        <f>(Assumptions!$D$46*Assumptions!$D$52+Assumptions!$D$47*Assumptions!$D$53+Assumptions!$D$48*Assumptions!$D$54+Assumptions!$D$49*Assumptions!$D$55)/12+IFERROR(Assumptions!$D$50/(Assumptions!$D$56*12),0)</f>
        <v>0</v>
      </c>
      <c r="BD27" s="46">
        <f>(Assumptions!$D$46*Assumptions!$D$52+Assumptions!$D$47*Assumptions!$D$53+Assumptions!$D$48*Assumptions!$D$54+Assumptions!$D$49*Assumptions!$D$55)/12+IFERROR(Assumptions!$D$50/(Assumptions!$D$56*12),0)</f>
        <v>0</v>
      </c>
      <c r="BE27" s="46">
        <f>(Assumptions!$D$46*Assumptions!$D$52+Assumptions!$D$47*Assumptions!$D$53+Assumptions!$D$48*Assumptions!$D$54+Assumptions!$D$49*Assumptions!$D$55)/12+IFERROR(Assumptions!$D$50/(Assumptions!$D$56*12),0)</f>
        <v>0</v>
      </c>
      <c r="BF27" s="46">
        <f>(Assumptions!$D$46*Assumptions!$D$52+Assumptions!$D$47*Assumptions!$D$53+Assumptions!$D$48*Assumptions!$D$54+Assumptions!$D$49*Assumptions!$D$55)/12+IFERROR(Assumptions!$D$50/(Assumptions!$D$56*12),0)</f>
        <v>0</v>
      </c>
      <c r="BG27" s="46">
        <f>(Assumptions!$D$46*Assumptions!$D$52+Assumptions!$D$47*Assumptions!$D$53+Assumptions!$D$48*Assumptions!$D$54+Assumptions!$D$49*Assumptions!$D$55)/12+IFERROR(Assumptions!$D$50/(Assumptions!$D$56*12),0)</f>
        <v>0</v>
      </c>
      <c r="BH27" s="46">
        <f>(Assumptions!$D$46*Assumptions!$D$52+Assumptions!$D$47*Assumptions!$D$53+Assumptions!$D$48*Assumptions!$D$54+Assumptions!$D$49*Assumptions!$D$55)/12+IFERROR(Assumptions!$D$50/(Assumptions!$D$56*12),0)</f>
        <v>0</v>
      </c>
      <c r="BI27" s="46">
        <f>(Assumptions!$D$46*Assumptions!$D$52+Assumptions!$D$47*Assumptions!$D$53+Assumptions!$D$48*Assumptions!$D$54+Assumptions!$D$49*Assumptions!$D$55)/12+IFERROR(Assumptions!$D$50/(Assumptions!$D$56*12),0)</f>
        <v>0</v>
      </c>
    </row>
    <row r="28" spans="1:61" x14ac:dyDescent="0.25">
      <c r="A28" s="38" t="s">
        <v>218</v>
      </c>
      <c r="B28" s="46">
        <f t="shared" ref="B28:AG28" si="4">B32</f>
        <v>0</v>
      </c>
      <c r="C28" s="46">
        <f t="shared" si="4"/>
        <v>0</v>
      </c>
      <c r="D28" s="46">
        <f t="shared" si="4"/>
        <v>0</v>
      </c>
      <c r="E28" s="46">
        <f t="shared" si="4"/>
        <v>0</v>
      </c>
      <c r="F28" s="46">
        <f t="shared" si="4"/>
        <v>0</v>
      </c>
      <c r="G28" s="46">
        <f t="shared" si="4"/>
        <v>0</v>
      </c>
      <c r="H28" s="46">
        <f t="shared" si="4"/>
        <v>0</v>
      </c>
      <c r="I28" s="46">
        <f t="shared" si="4"/>
        <v>0</v>
      </c>
      <c r="J28" s="46">
        <f t="shared" si="4"/>
        <v>0</v>
      </c>
      <c r="K28" s="46">
        <f t="shared" si="4"/>
        <v>0</v>
      </c>
      <c r="L28" s="46">
        <f t="shared" si="4"/>
        <v>0</v>
      </c>
      <c r="M28" s="46">
        <f t="shared" si="4"/>
        <v>0</v>
      </c>
      <c r="N28" s="46">
        <f t="shared" si="4"/>
        <v>0</v>
      </c>
      <c r="O28" s="46">
        <f t="shared" si="4"/>
        <v>0</v>
      </c>
      <c r="P28" s="46">
        <f t="shared" si="4"/>
        <v>0</v>
      </c>
      <c r="Q28" s="46">
        <f t="shared" si="4"/>
        <v>0</v>
      </c>
      <c r="R28" s="46">
        <f t="shared" si="4"/>
        <v>0</v>
      </c>
      <c r="S28" s="46">
        <f t="shared" si="4"/>
        <v>0</v>
      </c>
      <c r="T28" s="46">
        <f t="shared" si="4"/>
        <v>0</v>
      </c>
      <c r="U28" s="46">
        <f t="shared" si="4"/>
        <v>0</v>
      </c>
      <c r="V28" s="46">
        <f t="shared" si="4"/>
        <v>0</v>
      </c>
      <c r="W28" s="46">
        <f t="shared" si="4"/>
        <v>0</v>
      </c>
      <c r="X28" s="46">
        <f t="shared" si="4"/>
        <v>0</v>
      </c>
      <c r="Y28" s="46">
        <f t="shared" si="4"/>
        <v>0</v>
      </c>
      <c r="Z28" s="46">
        <f t="shared" si="4"/>
        <v>0</v>
      </c>
      <c r="AA28" s="46">
        <f t="shared" si="4"/>
        <v>0</v>
      </c>
      <c r="AB28" s="46">
        <f t="shared" si="4"/>
        <v>0</v>
      </c>
      <c r="AC28" s="46">
        <f t="shared" si="4"/>
        <v>0</v>
      </c>
      <c r="AD28" s="46">
        <f t="shared" si="4"/>
        <v>0</v>
      </c>
      <c r="AE28" s="46">
        <f t="shared" si="4"/>
        <v>0</v>
      </c>
      <c r="AF28" s="46">
        <f t="shared" si="4"/>
        <v>0</v>
      </c>
      <c r="AG28" s="46">
        <f t="shared" si="4"/>
        <v>0</v>
      </c>
      <c r="AH28" s="46">
        <f t="shared" ref="AH28:BI28" si="5">AH32</f>
        <v>0</v>
      </c>
      <c r="AI28" s="46">
        <f t="shared" si="5"/>
        <v>0</v>
      </c>
      <c r="AJ28" s="46">
        <f t="shared" si="5"/>
        <v>0</v>
      </c>
      <c r="AK28" s="46">
        <f t="shared" si="5"/>
        <v>0</v>
      </c>
      <c r="AL28" s="46">
        <f t="shared" si="5"/>
        <v>0</v>
      </c>
      <c r="AM28" s="46">
        <f t="shared" si="5"/>
        <v>0</v>
      </c>
      <c r="AN28" s="46">
        <f t="shared" si="5"/>
        <v>0</v>
      </c>
      <c r="AO28" s="46">
        <f t="shared" si="5"/>
        <v>0</v>
      </c>
      <c r="AP28" s="46">
        <f t="shared" si="5"/>
        <v>0</v>
      </c>
      <c r="AQ28" s="46">
        <f t="shared" si="5"/>
        <v>0</v>
      </c>
      <c r="AR28" s="46">
        <f t="shared" si="5"/>
        <v>0</v>
      </c>
      <c r="AS28" s="46">
        <f t="shared" si="5"/>
        <v>0</v>
      </c>
      <c r="AT28" s="46">
        <f t="shared" si="5"/>
        <v>0</v>
      </c>
      <c r="AU28" s="46">
        <f t="shared" si="5"/>
        <v>0</v>
      </c>
      <c r="AV28" s="46">
        <f t="shared" si="5"/>
        <v>0</v>
      </c>
      <c r="AW28" s="46">
        <f t="shared" si="5"/>
        <v>0</v>
      </c>
      <c r="AX28" s="46">
        <f t="shared" si="5"/>
        <v>0</v>
      </c>
      <c r="AY28" s="46">
        <f t="shared" si="5"/>
        <v>0</v>
      </c>
      <c r="AZ28" s="46">
        <f t="shared" si="5"/>
        <v>0</v>
      </c>
      <c r="BA28" s="46">
        <f t="shared" si="5"/>
        <v>0</v>
      </c>
      <c r="BB28" s="46">
        <f t="shared" si="5"/>
        <v>0</v>
      </c>
      <c r="BC28" s="46">
        <f t="shared" si="5"/>
        <v>0</v>
      </c>
      <c r="BD28" s="46">
        <f t="shared" si="5"/>
        <v>0</v>
      </c>
      <c r="BE28" s="46">
        <f t="shared" si="5"/>
        <v>0</v>
      </c>
      <c r="BF28" s="46">
        <f t="shared" si="5"/>
        <v>0</v>
      </c>
      <c r="BG28" s="46">
        <f t="shared" si="5"/>
        <v>0</v>
      </c>
      <c r="BH28" s="46">
        <f t="shared" si="5"/>
        <v>0</v>
      </c>
      <c r="BI28" s="46">
        <f t="shared" si="5"/>
        <v>0</v>
      </c>
    </row>
    <row r="30" spans="1:61" ht="18" customHeight="1" x14ac:dyDescent="0.25">
      <c r="A30" s="9" t="s">
        <v>219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</row>
    <row r="31" spans="1:61" x14ac:dyDescent="0.25">
      <c r="A31" s="38" t="s">
        <v>220</v>
      </c>
      <c r="B31" s="46">
        <f>Assumptions!$D$60</f>
        <v>0</v>
      </c>
      <c r="C31" s="46">
        <f t="shared" ref="C31:AH31" si="6">B34</f>
        <v>0</v>
      </c>
      <c r="D31" s="46">
        <f t="shared" si="6"/>
        <v>0</v>
      </c>
      <c r="E31" s="46">
        <f t="shared" si="6"/>
        <v>0</v>
      </c>
      <c r="F31" s="46">
        <f t="shared" si="6"/>
        <v>0</v>
      </c>
      <c r="G31" s="46">
        <f t="shared" si="6"/>
        <v>0</v>
      </c>
      <c r="H31" s="46">
        <f t="shared" si="6"/>
        <v>0</v>
      </c>
      <c r="I31" s="46">
        <f t="shared" si="6"/>
        <v>0</v>
      </c>
      <c r="J31" s="46">
        <f t="shared" si="6"/>
        <v>0</v>
      </c>
      <c r="K31" s="46">
        <f t="shared" si="6"/>
        <v>0</v>
      </c>
      <c r="L31" s="46">
        <f t="shared" si="6"/>
        <v>0</v>
      </c>
      <c r="M31" s="46">
        <f t="shared" si="6"/>
        <v>0</v>
      </c>
      <c r="N31" s="46">
        <f t="shared" si="6"/>
        <v>0</v>
      </c>
      <c r="O31" s="46">
        <f t="shared" si="6"/>
        <v>0</v>
      </c>
      <c r="P31" s="46">
        <f t="shared" si="6"/>
        <v>0</v>
      </c>
      <c r="Q31" s="46">
        <f t="shared" si="6"/>
        <v>0</v>
      </c>
      <c r="R31" s="46">
        <f t="shared" si="6"/>
        <v>0</v>
      </c>
      <c r="S31" s="46">
        <f t="shared" si="6"/>
        <v>0</v>
      </c>
      <c r="T31" s="46">
        <f t="shared" si="6"/>
        <v>0</v>
      </c>
      <c r="U31" s="46">
        <f t="shared" si="6"/>
        <v>0</v>
      </c>
      <c r="V31" s="46">
        <f t="shared" si="6"/>
        <v>0</v>
      </c>
      <c r="W31" s="46">
        <f t="shared" si="6"/>
        <v>0</v>
      </c>
      <c r="X31" s="46">
        <f t="shared" si="6"/>
        <v>0</v>
      </c>
      <c r="Y31" s="46">
        <f t="shared" si="6"/>
        <v>0</v>
      </c>
      <c r="Z31" s="46">
        <f t="shared" si="6"/>
        <v>0</v>
      </c>
      <c r="AA31" s="46">
        <f t="shared" si="6"/>
        <v>0</v>
      </c>
      <c r="AB31" s="46">
        <f t="shared" si="6"/>
        <v>0</v>
      </c>
      <c r="AC31" s="46">
        <f t="shared" si="6"/>
        <v>0</v>
      </c>
      <c r="AD31" s="46">
        <f t="shared" si="6"/>
        <v>0</v>
      </c>
      <c r="AE31" s="46">
        <f t="shared" si="6"/>
        <v>0</v>
      </c>
      <c r="AF31" s="46">
        <f t="shared" si="6"/>
        <v>0</v>
      </c>
      <c r="AG31" s="46">
        <f t="shared" si="6"/>
        <v>0</v>
      </c>
      <c r="AH31" s="46">
        <f t="shared" si="6"/>
        <v>0</v>
      </c>
      <c r="AI31" s="46">
        <f t="shared" ref="AI31:BI31" si="7">AH34</f>
        <v>0</v>
      </c>
      <c r="AJ31" s="46">
        <f t="shared" si="7"/>
        <v>0</v>
      </c>
      <c r="AK31" s="46">
        <f t="shared" si="7"/>
        <v>0</v>
      </c>
      <c r="AL31" s="46">
        <f t="shared" si="7"/>
        <v>0</v>
      </c>
      <c r="AM31" s="46">
        <f t="shared" si="7"/>
        <v>0</v>
      </c>
      <c r="AN31" s="46">
        <f t="shared" si="7"/>
        <v>0</v>
      </c>
      <c r="AO31" s="46">
        <f t="shared" si="7"/>
        <v>0</v>
      </c>
      <c r="AP31" s="46">
        <f t="shared" si="7"/>
        <v>0</v>
      </c>
      <c r="AQ31" s="46">
        <f t="shared" si="7"/>
        <v>0</v>
      </c>
      <c r="AR31" s="46">
        <f t="shared" si="7"/>
        <v>0</v>
      </c>
      <c r="AS31" s="46">
        <f t="shared" si="7"/>
        <v>0</v>
      </c>
      <c r="AT31" s="46">
        <f t="shared" si="7"/>
        <v>0</v>
      </c>
      <c r="AU31" s="46">
        <f t="shared" si="7"/>
        <v>0</v>
      </c>
      <c r="AV31" s="46">
        <f t="shared" si="7"/>
        <v>0</v>
      </c>
      <c r="AW31" s="46">
        <f t="shared" si="7"/>
        <v>0</v>
      </c>
      <c r="AX31" s="46">
        <f t="shared" si="7"/>
        <v>0</v>
      </c>
      <c r="AY31" s="46">
        <f t="shared" si="7"/>
        <v>0</v>
      </c>
      <c r="AZ31" s="46">
        <f t="shared" si="7"/>
        <v>0</v>
      </c>
      <c r="BA31" s="46">
        <f t="shared" si="7"/>
        <v>0</v>
      </c>
      <c r="BB31" s="46">
        <f t="shared" si="7"/>
        <v>0</v>
      </c>
      <c r="BC31" s="46">
        <f t="shared" si="7"/>
        <v>0</v>
      </c>
      <c r="BD31" s="46">
        <f t="shared" si="7"/>
        <v>0</v>
      </c>
      <c r="BE31" s="46">
        <f t="shared" si="7"/>
        <v>0</v>
      </c>
      <c r="BF31" s="46">
        <f t="shared" si="7"/>
        <v>0</v>
      </c>
      <c r="BG31" s="46">
        <f t="shared" si="7"/>
        <v>0</v>
      </c>
      <c r="BH31" s="46">
        <f t="shared" si="7"/>
        <v>0</v>
      </c>
      <c r="BI31" s="46">
        <f t="shared" si="7"/>
        <v>0</v>
      </c>
    </row>
    <row r="32" spans="1:61" x14ac:dyDescent="0.25">
      <c r="A32" s="38" t="s">
        <v>221</v>
      </c>
      <c r="B32" s="46">
        <f>B31*Assumptions!$D$42/12</f>
        <v>0</v>
      </c>
      <c r="C32" s="46">
        <f>C31*Assumptions!$D$42/12</f>
        <v>0</v>
      </c>
      <c r="D32" s="46">
        <f>D31*Assumptions!$D$42/12</f>
        <v>0</v>
      </c>
      <c r="E32" s="46">
        <f>E31*Assumptions!$D$42/12</f>
        <v>0</v>
      </c>
      <c r="F32" s="46">
        <f>F31*Assumptions!$D$42/12</f>
        <v>0</v>
      </c>
      <c r="G32" s="46">
        <f>G31*Assumptions!$D$42/12</f>
        <v>0</v>
      </c>
      <c r="H32" s="46">
        <f>H31*Assumptions!$D$42/12</f>
        <v>0</v>
      </c>
      <c r="I32" s="46">
        <f>I31*Assumptions!$D$42/12</f>
        <v>0</v>
      </c>
      <c r="J32" s="46">
        <f>J31*Assumptions!$D$42/12</f>
        <v>0</v>
      </c>
      <c r="K32" s="46">
        <f>K31*Assumptions!$D$42/12</f>
        <v>0</v>
      </c>
      <c r="L32" s="46">
        <f>L31*Assumptions!$D$42/12</f>
        <v>0</v>
      </c>
      <c r="M32" s="46">
        <f>M31*Assumptions!$D$42/12</f>
        <v>0</v>
      </c>
      <c r="N32" s="46">
        <f>N31*Assumptions!$D$42/12</f>
        <v>0</v>
      </c>
      <c r="O32" s="46">
        <f>O31*Assumptions!$D$42/12</f>
        <v>0</v>
      </c>
      <c r="P32" s="46">
        <f>P31*Assumptions!$D$42/12</f>
        <v>0</v>
      </c>
      <c r="Q32" s="46">
        <f>Q31*Assumptions!$D$42/12</f>
        <v>0</v>
      </c>
      <c r="R32" s="46">
        <f>R31*Assumptions!$D$42/12</f>
        <v>0</v>
      </c>
      <c r="S32" s="46">
        <f>S31*Assumptions!$D$42/12</f>
        <v>0</v>
      </c>
      <c r="T32" s="46">
        <f>T31*Assumptions!$D$42/12</f>
        <v>0</v>
      </c>
      <c r="U32" s="46">
        <f>U31*Assumptions!$D$42/12</f>
        <v>0</v>
      </c>
      <c r="V32" s="46">
        <f>V31*Assumptions!$D$42/12</f>
        <v>0</v>
      </c>
      <c r="W32" s="46">
        <f>W31*Assumptions!$D$42/12</f>
        <v>0</v>
      </c>
      <c r="X32" s="46">
        <f>X31*Assumptions!$D$42/12</f>
        <v>0</v>
      </c>
      <c r="Y32" s="46">
        <f>Y31*Assumptions!$D$42/12</f>
        <v>0</v>
      </c>
      <c r="Z32" s="46">
        <f>Z31*Assumptions!$D$42/12</f>
        <v>0</v>
      </c>
      <c r="AA32" s="46">
        <f>AA31*Assumptions!$D$42/12</f>
        <v>0</v>
      </c>
      <c r="AB32" s="46">
        <f>AB31*Assumptions!$D$42/12</f>
        <v>0</v>
      </c>
      <c r="AC32" s="46">
        <f>AC31*Assumptions!$D$42/12</f>
        <v>0</v>
      </c>
      <c r="AD32" s="46">
        <f>AD31*Assumptions!$D$42/12</f>
        <v>0</v>
      </c>
      <c r="AE32" s="46">
        <f>AE31*Assumptions!$D$42/12</f>
        <v>0</v>
      </c>
      <c r="AF32" s="46">
        <f>AF31*Assumptions!$D$42/12</f>
        <v>0</v>
      </c>
      <c r="AG32" s="46">
        <f>AG31*Assumptions!$D$42/12</f>
        <v>0</v>
      </c>
      <c r="AH32" s="46">
        <f>AH31*Assumptions!$D$42/12</f>
        <v>0</v>
      </c>
      <c r="AI32" s="46">
        <f>AI31*Assumptions!$D$42/12</f>
        <v>0</v>
      </c>
      <c r="AJ32" s="46">
        <f>AJ31*Assumptions!$D$42/12</f>
        <v>0</v>
      </c>
      <c r="AK32" s="46">
        <f>AK31*Assumptions!$D$42/12</f>
        <v>0</v>
      </c>
      <c r="AL32" s="46">
        <f>AL31*Assumptions!$D$42/12</f>
        <v>0</v>
      </c>
      <c r="AM32" s="46">
        <f>AM31*Assumptions!$D$42/12</f>
        <v>0</v>
      </c>
      <c r="AN32" s="46">
        <f>AN31*Assumptions!$D$42/12</f>
        <v>0</v>
      </c>
      <c r="AO32" s="46">
        <f>AO31*Assumptions!$D$42/12</f>
        <v>0</v>
      </c>
      <c r="AP32" s="46">
        <f>AP31*Assumptions!$D$42/12</f>
        <v>0</v>
      </c>
      <c r="AQ32" s="46">
        <f>AQ31*Assumptions!$D$42/12</f>
        <v>0</v>
      </c>
      <c r="AR32" s="46">
        <f>AR31*Assumptions!$D$42/12</f>
        <v>0</v>
      </c>
      <c r="AS32" s="46">
        <f>AS31*Assumptions!$D$42/12</f>
        <v>0</v>
      </c>
      <c r="AT32" s="46">
        <f>AT31*Assumptions!$D$42/12</f>
        <v>0</v>
      </c>
      <c r="AU32" s="46">
        <f>AU31*Assumptions!$D$42/12</f>
        <v>0</v>
      </c>
      <c r="AV32" s="46">
        <f>AV31*Assumptions!$D$42/12</f>
        <v>0</v>
      </c>
      <c r="AW32" s="46">
        <f>AW31*Assumptions!$D$42/12</f>
        <v>0</v>
      </c>
      <c r="AX32" s="46">
        <f>AX31*Assumptions!$D$42/12</f>
        <v>0</v>
      </c>
      <c r="AY32" s="46">
        <f>AY31*Assumptions!$D$42/12</f>
        <v>0</v>
      </c>
      <c r="AZ32" s="46">
        <f>AZ31*Assumptions!$D$42/12</f>
        <v>0</v>
      </c>
      <c r="BA32" s="46">
        <f>BA31*Assumptions!$D$42/12</f>
        <v>0</v>
      </c>
      <c r="BB32" s="46">
        <f>BB31*Assumptions!$D$42/12</f>
        <v>0</v>
      </c>
      <c r="BC32" s="46">
        <f>BC31*Assumptions!$D$42/12</f>
        <v>0</v>
      </c>
      <c r="BD32" s="46">
        <f>BD31*Assumptions!$D$42/12</f>
        <v>0</v>
      </c>
      <c r="BE32" s="46">
        <f>BE31*Assumptions!$D$42/12</f>
        <v>0</v>
      </c>
      <c r="BF32" s="46">
        <f>BF31*Assumptions!$D$42/12</f>
        <v>0</v>
      </c>
      <c r="BG32" s="46">
        <f>BG31*Assumptions!$D$42/12</f>
        <v>0</v>
      </c>
      <c r="BH32" s="46">
        <f>BH31*Assumptions!$D$42/12</f>
        <v>0</v>
      </c>
      <c r="BI32" s="46">
        <f>BI31*Assumptions!$D$42/12</f>
        <v>0</v>
      </c>
    </row>
    <row r="33" spans="1:61" x14ac:dyDescent="0.25">
      <c r="A33" s="38" t="s">
        <v>222</v>
      </c>
      <c r="B33" s="46">
        <f>MIN(B31,IFERROR(Assumptions!$D$60/(Assumptions!$D$43*12),0))</f>
        <v>0</v>
      </c>
      <c r="C33" s="46">
        <f>MIN(C31,IFERROR(Assumptions!$D$60/(Assumptions!$D$43*12),0))</f>
        <v>0</v>
      </c>
      <c r="D33" s="46">
        <f>MIN(D31,IFERROR(Assumptions!$D$60/(Assumptions!$D$43*12),0))</f>
        <v>0</v>
      </c>
      <c r="E33" s="46">
        <f>MIN(E31,IFERROR(Assumptions!$D$60/(Assumptions!$D$43*12),0))</f>
        <v>0</v>
      </c>
      <c r="F33" s="46">
        <f>MIN(F31,IFERROR(Assumptions!$D$60/(Assumptions!$D$43*12),0))</f>
        <v>0</v>
      </c>
      <c r="G33" s="46">
        <f>MIN(G31,IFERROR(Assumptions!$D$60/(Assumptions!$D$43*12),0))</f>
        <v>0</v>
      </c>
      <c r="H33" s="46">
        <f>MIN(H31,IFERROR(Assumptions!$D$60/(Assumptions!$D$43*12),0))</f>
        <v>0</v>
      </c>
      <c r="I33" s="46">
        <f>MIN(I31,IFERROR(Assumptions!$D$60/(Assumptions!$D$43*12),0))</f>
        <v>0</v>
      </c>
      <c r="J33" s="46">
        <f>MIN(J31,IFERROR(Assumptions!$D$60/(Assumptions!$D$43*12),0))</f>
        <v>0</v>
      </c>
      <c r="K33" s="46">
        <f>MIN(K31,IFERROR(Assumptions!$D$60/(Assumptions!$D$43*12),0))</f>
        <v>0</v>
      </c>
      <c r="L33" s="46">
        <f>MIN(L31,IFERROR(Assumptions!$D$60/(Assumptions!$D$43*12),0))</f>
        <v>0</v>
      </c>
      <c r="M33" s="46">
        <f>MIN(M31,IFERROR(Assumptions!$D$60/(Assumptions!$D$43*12),0))</f>
        <v>0</v>
      </c>
      <c r="N33" s="46">
        <f>MIN(N31,IFERROR(Assumptions!$D$60/(Assumptions!$D$43*12),0))</f>
        <v>0</v>
      </c>
      <c r="O33" s="46">
        <f>MIN(O31,IFERROR(Assumptions!$D$60/(Assumptions!$D$43*12),0))</f>
        <v>0</v>
      </c>
      <c r="P33" s="46">
        <f>MIN(P31,IFERROR(Assumptions!$D$60/(Assumptions!$D$43*12),0))</f>
        <v>0</v>
      </c>
      <c r="Q33" s="46">
        <f>MIN(Q31,IFERROR(Assumptions!$D$60/(Assumptions!$D$43*12),0))</f>
        <v>0</v>
      </c>
      <c r="R33" s="46">
        <f>MIN(R31,IFERROR(Assumptions!$D$60/(Assumptions!$D$43*12),0))</f>
        <v>0</v>
      </c>
      <c r="S33" s="46">
        <f>MIN(S31,IFERROR(Assumptions!$D$60/(Assumptions!$D$43*12),0))</f>
        <v>0</v>
      </c>
      <c r="T33" s="46">
        <f>MIN(T31,IFERROR(Assumptions!$D$60/(Assumptions!$D$43*12),0))</f>
        <v>0</v>
      </c>
      <c r="U33" s="46">
        <f>MIN(U31,IFERROR(Assumptions!$D$60/(Assumptions!$D$43*12),0))</f>
        <v>0</v>
      </c>
      <c r="V33" s="46">
        <f>MIN(V31,IFERROR(Assumptions!$D$60/(Assumptions!$D$43*12),0))</f>
        <v>0</v>
      </c>
      <c r="W33" s="46">
        <f>MIN(W31,IFERROR(Assumptions!$D$60/(Assumptions!$D$43*12),0))</f>
        <v>0</v>
      </c>
      <c r="X33" s="46">
        <f>MIN(X31,IFERROR(Assumptions!$D$60/(Assumptions!$D$43*12),0))</f>
        <v>0</v>
      </c>
      <c r="Y33" s="46">
        <f>MIN(Y31,IFERROR(Assumptions!$D$60/(Assumptions!$D$43*12),0))</f>
        <v>0</v>
      </c>
      <c r="Z33" s="46">
        <f>MIN(Z31,IFERROR(Assumptions!$D$60/(Assumptions!$D$43*12),0))</f>
        <v>0</v>
      </c>
      <c r="AA33" s="46">
        <f>MIN(AA31,IFERROR(Assumptions!$D$60/(Assumptions!$D$43*12),0))</f>
        <v>0</v>
      </c>
      <c r="AB33" s="46">
        <f>MIN(AB31,IFERROR(Assumptions!$D$60/(Assumptions!$D$43*12),0))</f>
        <v>0</v>
      </c>
      <c r="AC33" s="46">
        <f>MIN(AC31,IFERROR(Assumptions!$D$60/(Assumptions!$D$43*12),0))</f>
        <v>0</v>
      </c>
      <c r="AD33" s="46">
        <f>MIN(AD31,IFERROR(Assumptions!$D$60/(Assumptions!$D$43*12),0))</f>
        <v>0</v>
      </c>
      <c r="AE33" s="46">
        <f>MIN(AE31,IFERROR(Assumptions!$D$60/(Assumptions!$D$43*12),0))</f>
        <v>0</v>
      </c>
      <c r="AF33" s="46">
        <f>MIN(AF31,IFERROR(Assumptions!$D$60/(Assumptions!$D$43*12),0))</f>
        <v>0</v>
      </c>
      <c r="AG33" s="46">
        <f>MIN(AG31,IFERROR(Assumptions!$D$60/(Assumptions!$D$43*12),0))</f>
        <v>0</v>
      </c>
      <c r="AH33" s="46">
        <f>MIN(AH31,IFERROR(Assumptions!$D$60/(Assumptions!$D$43*12),0))</f>
        <v>0</v>
      </c>
      <c r="AI33" s="46">
        <f>MIN(AI31,IFERROR(Assumptions!$D$60/(Assumptions!$D$43*12),0))</f>
        <v>0</v>
      </c>
      <c r="AJ33" s="46">
        <f>MIN(AJ31,IFERROR(Assumptions!$D$60/(Assumptions!$D$43*12),0))</f>
        <v>0</v>
      </c>
      <c r="AK33" s="46">
        <f>MIN(AK31,IFERROR(Assumptions!$D$60/(Assumptions!$D$43*12),0))</f>
        <v>0</v>
      </c>
      <c r="AL33" s="46">
        <f>MIN(AL31,IFERROR(Assumptions!$D$60/(Assumptions!$D$43*12),0))</f>
        <v>0</v>
      </c>
      <c r="AM33" s="46">
        <f>MIN(AM31,IFERROR(Assumptions!$D$60/(Assumptions!$D$43*12),0))</f>
        <v>0</v>
      </c>
      <c r="AN33" s="46">
        <f>MIN(AN31,IFERROR(Assumptions!$D$60/(Assumptions!$D$43*12),0))</f>
        <v>0</v>
      </c>
      <c r="AO33" s="46">
        <f>MIN(AO31,IFERROR(Assumptions!$D$60/(Assumptions!$D$43*12),0))</f>
        <v>0</v>
      </c>
      <c r="AP33" s="46">
        <f>MIN(AP31,IFERROR(Assumptions!$D$60/(Assumptions!$D$43*12),0))</f>
        <v>0</v>
      </c>
      <c r="AQ33" s="46">
        <f>MIN(AQ31,IFERROR(Assumptions!$D$60/(Assumptions!$D$43*12),0))</f>
        <v>0</v>
      </c>
      <c r="AR33" s="46">
        <f>MIN(AR31,IFERROR(Assumptions!$D$60/(Assumptions!$D$43*12),0))</f>
        <v>0</v>
      </c>
      <c r="AS33" s="46">
        <f>MIN(AS31,IFERROR(Assumptions!$D$60/(Assumptions!$D$43*12),0))</f>
        <v>0</v>
      </c>
      <c r="AT33" s="46">
        <f>MIN(AT31,IFERROR(Assumptions!$D$60/(Assumptions!$D$43*12),0))</f>
        <v>0</v>
      </c>
      <c r="AU33" s="46">
        <f>MIN(AU31,IFERROR(Assumptions!$D$60/(Assumptions!$D$43*12),0))</f>
        <v>0</v>
      </c>
      <c r="AV33" s="46">
        <f>MIN(AV31,IFERROR(Assumptions!$D$60/(Assumptions!$D$43*12),0))</f>
        <v>0</v>
      </c>
      <c r="AW33" s="46">
        <f>MIN(AW31,IFERROR(Assumptions!$D$60/(Assumptions!$D$43*12),0))</f>
        <v>0</v>
      </c>
      <c r="AX33" s="46">
        <f>MIN(AX31,IFERROR(Assumptions!$D$60/(Assumptions!$D$43*12),0))</f>
        <v>0</v>
      </c>
      <c r="AY33" s="46">
        <f>MIN(AY31,IFERROR(Assumptions!$D$60/(Assumptions!$D$43*12),0))</f>
        <v>0</v>
      </c>
      <c r="AZ33" s="46">
        <f>MIN(AZ31,IFERROR(Assumptions!$D$60/(Assumptions!$D$43*12),0))</f>
        <v>0</v>
      </c>
      <c r="BA33" s="46">
        <f>MIN(BA31,IFERROR(Assumptions!$D$60/(Assumptions!$D$43*12),0))</f>
        <v>0</v>
      </c>
      <c r="BB33" s="46">
        <f>MIN(BB31,IFERROR(Assumptions!$D$60/(Assumptions!$D$43*12),0))</f>
        <v>0</v>
      </c>
      <c r="BC33" s="46">
        <f>MIN(BC31,IFERROR(Assumptions!$D$60/(Assumptions!$D$43*12),0))</f>
        <v>0</v>
      </c>
      <c r="BD33" s="46">
        <f>MIN(BD31,IFERROR(Assumptions!$D$60/(Assumptions!$D$43*12),0))</f>
        <v>0</v>
      </c>
      <c r="BE33" s="46">
        <f>MIN(BE31,IFERROR(Assumptions!$D$60/(Assumptions!$D$43*12),0))</f>
        <v>0</v>
      </c>
      <c r="BF33" s="46">
        <f>MIN(BF31,IFERROR(Assumptions!$D$60/(Assumptions!$D$43*12),0))</f>
        <v>0</v>
      </c>
      <c r="BG33" s="46">
        <f>MIN(BG31,IFERROR(Assumptions!$D$60/(Assumptions!$D$43*12),0))</f>
        <v>0</v>
      </c>
      <c r="BH33" s="46">
        <f>MIN(BH31,IFERROR(Assumptions!$D$60/(Assumptions!$D$43*12),0))</f>
        <v>0</v>
      </c>
      <c r="BI33" s="46">
        <f>MIN(BI31,IFERROR(Assumptions!$D$60/(Assumptions!$D$43*12),0))</f>
        <v>0</v>
      </c>
    </row>
    <row r="34" spans="1:61" x14ac:dyDescent="0.25">
      <c r="A34" s="50" t="s">
        <v>223</v>
      </c>
      <c r="B34" s="49">
        <f t="shared" ref="B34:AG34" si="8">B31-B33</f>
        <v>0</v>
      </c>
      <c r="C34" s="49">
        <f t="shared" si="8"/>
        <v>0</v>
      </c>
      <c r="D34" s="49">
        <f t="shared" si="8"/>
        <v>0</v>
      </c>
      <c r="E34" s="49">
        <f t="shared" si="8"/>
        <v>0</v>
      </c>
      <c r="F34" s="49">
        <f t="shared" si="8"/>
        <v>0</v>
      </c>
      <c r="G34" s="49">
        <f t="shared" si="8"/>
        <v>0</v>
      </c>
      <c r="H34" s="49">
        <f t="shared" si="8"/>
        <v>0</v>
      </c>
      <c r="I34" s="49">
        <f t="shared" si="8"/>
        <v>0</v>
      </c>
      <c r="J34" s="49">
        <f t="shared" si="8"/>
        <v>0</v>
      </c>
      <c r="K34" s="49">
        <f t="shared" si="8"/>
        <v>0</v>
      </c>
      <c r="L34" s="49">
        <f t="shared" si="8"/>
        <v>0</v>
      </c>
      <c r="M34" s="49">
        <f t="shared" si="8"/>
        <v>0</v>
      </c>
      <c r="N34" s="49">
        <f t="shared" si="8"/>
        <v>0</v>
      </c>
      <c r="O34" s="49">
        <f t="shared" si="8"/>
        <v>0</v>
      </c>
      <c r="P34" s="49">
        <f t="shared" si="8"/>
        <v>0</v>
      </c>
      <c r="Q34" s="49">
        <f t="shared" si="8"/>
        <v>0</v>
      </c>
      <c r="R34" s="49">
        <f t="shared" si="8"/>
        <v>0</v>
      </c>
      <c r="S34" s="49">
        <f t="shared" si="8"/>
        <v>0</v>
      </c>
      <c r="T34" s="49">
        <f t="shared" si="8"/>
        <v>0</v>
      </c>
      <c r="U34" s="49">
        <f t="shared" si="8"/>
        <v>0</v>
      </c>
      <c r="V34" s="49">
        <f t="shared" si="8"/>
        <v>0</v>
      </c>
      <c r="W34" s="49">
        <f t="shared" si="8"/>
        <v>0</v>
      </c>
      <c r="X34" s="49">
        <f t="shared" si="8"/>
        <v>0</v>
      </c>
      <c r="Y34" s="49">
        <f t="shared" si="8"/>
        <v>0</v>
      </c>
      <c r="Z34" s="49">
        <f t="shared" si="8"/>
        <v>0</v>
      </c>
      <c r="AA34" s="49">
        <f t="shared" si="8"/>
        <v>0</v>
      </c>
      <c r="AB34" s="49">
        <f t="shared" si="8"/>
        <v>0</v>
      </c>
      <c r="AC34" s="49">
        <f t="shared" si="8"/>
        <v>0</v>
      </c>
      <c r="AD34" s="49">
        <f t="shared" si="8"/>
        <v>0</v>
      </c>
      <c r="AE34" s="49">
        <f t="shared" si="8"/>
        <v>0</v>
      </c>
      <c r="AF34" s="49">
        <f t="shared" si="8"/>
        <v>0</v>
      </c>
      <c r="AG34" s="49">
        <f t="shared" si="8"/>
        <v>0</v>
      </c>
      <c r="AH34" s="49">
        <f t="shared" ref="AH34:BM34" si="9">AH31-AH33</f>
        <v>0</v>
      </c>
      <c r="AI34" s="49">
        <f t="shared" si="9"/>
        <v>0</v>
      </c>
      <c r="AJ34" s="49">
        <f t="shared" si="9"/>
        <v>0</v>
      </c>
      <c r="AK34" s="49">
        <f t="shared" si="9"/>
        <v>0</v>
      </c>
      <c r="AL34" s="49">
        <f t="shared" si="9"/>
        <v>0</v>
      </c>
      <c r="AM34" s="49">
        <f t="shared" si="9"/>
        <v>0</v>
      </c>
      <c r="AN34" s="49">
        <f t="shared" si="9"/>
        <v>0</v>
      </c>
      <c r="AO34" s="49">
        <f t="shared" si="9"/>
        <v>0</v>
      </c>
      <c r="AP34" s="49">
        <f t="shared" si="9"/>
        <v>0</v>
      </c>
      <c r="AQ34" s="49">
        <f t="shared" si="9"/>
        <v>0</v>
      </c>
      <c r="AR34" s="49">
        <f t="shared" si="9"/>
        <v>0</v>
      </c>
      <c r="AS34" s="49">
        <f t="shared" si="9"/>
        <v>0</v>
      </c>
      <c r="AT34" s="49">
        <f t="shared" si="9"/>
        <v>0</v>
      </c>
      <c r="AU34" s="49">
        <f t="shared" si="9"/>
        <v>0</v>
      </c>
      <c r="AV34" s="49">
        <f t="shared" si="9"/>
        <v>0</v>
      </c>
      <c r="AW34" s="49">
        <f t="shared" si="9"/>
        <v>0</v>
      </c>
      <c r="AX34" s="49">
        <f t="shared" si="9"/>
        <v>0</v>
      </c>
      <c r="AY34" s="49">
        <f t="shared" si="9"/>
        <v>0</v>
      </c>
      <c r="AZ34" s="49">
        <f t="shared" si="9"/>
        <v>0</v>
      </c>
      <c r="BA34" s="49">
        <f t="shared" si="9"/>
        <v>0</v>
      </c>
      <c r="BB34" s="49">
        <f t="shared" si="9"/>
        <v>0</v>
      </c>
      <c r="BC34" s="49">
        <f t="shared" si="9"/>
        <v>0</v>
      </c>
      <c r="BD34" s="49">
        <f t="shared" si="9"/>
        <v>0</v>
      </c>
      <c r="BE34" s="49">
        <f t="shared" si="9"/>
        <v>0</v>
      </c>
      <c r="BF34" s="49">
        <f t="shared" si="9"/>
        <v>0</v>
      </c>
      <c r="BG34" s="49">
        <f t="shared" si="9"/>
        <v>0</v>
      </c>
      <c r="BH34" s="49">
        <f t="shared" si="9"/>
        <v>0</v>
      </c>
      <c r="BI34" s="49">
        <f t="shared" si="9"/>
        <v>0</v>
      </c>
    </row>
  </sheetData>
  <mergeCells count="11">
    <mergeCell ref="A7:BI7"/>
    <mergeCell ref="A18:BI18"/>
    <mergeCell ref="A26:BI26"/>
    <mergeCell ref="A30:BI30"/>
    <mergeCell ref="A1:BI1"/>
    <mergeCell ref="A2:BI2"/>
    <mergeCell ref="B4:M4"/>
    <mergeCell ref="N4:Y4"/>
    <mergeCell ref="Z4:AK4"/>
    <mergeCell ref="AL4:AW4"/>
    <mergeCell ref="AX4:BI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3294B"/>
  </sheetPr>
  <dimension ref="A1:BI22"/>
  <sheetViews>
    <sheetView showGridLines="0" zoomScaleNormal="100" workbookViewId="0">
      <selection sqref="A1:XFD1048576"/>
    </sheetView>
  </sheetViews>
  <sheetFormatPr defaultColWidth="8.7109375" defaultRowHeight="15" x14ac:dyDescent="0.25"/>
  <cols>
    <col min="1" max="1" width="38" customWidth="1"/>
    <col min="2" max="61" width="12" customWidth="1"/>
  </cols>
  <sheetData>
    <row r="1" spans="1:61" ht="33.75" customHeight="1" x14ac:dyDescent="0.25">
      <c r="A1" s="5" t="s">
        <v>224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</row>
    <row r="2" spans="1:61" ht="18" customHeight="1" x14ac:dyDescent="0.25">
      <c r="A2" s="4" t="s">
        <v>225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</row>
    <row r="4" spans="1:61" x14ac:dyDescent="0.25">
      <c r="A4" s="35"/>
      <c r="B4" s="3" t="s">
        <v>121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 t="s">
        <v>122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 t="s">
        <v>123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 t="s">
        <v>124</v>
      </c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 t="s">
        <v>125</v>
      </c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</row>
    <row r="5" spans="1:61" x14ac:dyDescent="0.25">
      <c r="A5" s="19" t="s">
        <v>126</v>
      </c>
      <c r="B5" s="20" t="s">
        <v>127</v>
      </c>
      <c r="C5" s="20" t="s">
        <v>128</v>
      </c>
      <c r="D5" s="20" t="s">
        <v>129</v>
      </c>
      <c r="E5" s="20" t="s">
        <v>130</v>
      </c>
      <c r="F5" s="20" t="s">
        <v>131</v>
      </c>
      <c r="G5" s="20" t="s">
        <v>132</v>
      </c>
      <c r="H5" s="20" t="s">
        <v>133</v>
      </c>
      <c r="I5" s="20" t="s">
        <v>134</v>
      </c>
      <c r="J5" s="20" t="s">
        <v>135</v>
      </c>
      <c r="K5" s="20" t="s">
        <v>136</v>
      </c>
      <c r="L5" s="20" t="s">
        <v>137</v>
      </c>
      <c r="M5" s="20" t="s">
        <v>138</v>
      </c>
      <c r="N5" s="20" t="s">
        <v>139</v>
      </c>
      <c r="O5" s="20" t="s">
        <v>140</v>
      </c>
      <c r="P5" s="20" t="s">
        <v>141</v>
      </c>
      <c r="Q5" s="20" t="s">
        <v>142</v>
      </c>
      <c r="R5" s="20" t="s">
        <v>143</v>
      </c>
      <c r="S5" s="20" t="s">
        <v>144</v>
      </c>
      <c r="T5" s="20" t="s">
        <v>145</v>
      </c>
      <c r="U5" s="20" t="s">
        <v>146</v>
      </c>
      <c r="V5" s="20" t="s">
        <v>147</v>
      </c>
      <c r="W5" s="20" t="s">
        <v>148</v>
      </c>
      <c r="X5" s="20" t="s">
        <v>149</v>
      </c>
      <c r="Y5" s="20" t="s">
        <v>150</v>
      </c>
      <c r="Z5" s="20" t="s">
        <v>151</v>
      </c>
      <c r="AA5" s="20" t="s">
        <v>152</v>
      </c>
      <c r="AB5" s="20" t="s">
        <v>153</v>
      </c>
      <c r="AC5" s="20" t="s">
        <v>154</v>
      </c>
      <c r="AD5" s="20" t="s">
        <v>155</v>
      </c>
      <c r="AE5" s="20" t="s">
        <v>156</v>
      </c>
      <c r="AF5" s="20" t="s">
        <v>157</v>
      </c>
      <c r="AG5" s="20" t="s">
        <v>158</v>
      </c>
      <c r="AH5" s="20" t="s">
        <v>159</v>
      </c>
      <c r="AI5" s="20" t="s">
        <v>160</v>
      </c>
      <c r="AJ5" s="20" t="s">
        <v>161</v>
      </c>
      <c r="AK5" s="20" t="s">
        <v>162</v>
      </c>
      <c r="AL5" s="20" t="s">
        <v>163</v>
      </c>
      <c r="AM5" s="20" t="s">
        <v>164</v>
      </c>
      <c r="AN5" s="20" t="s">
        <v>165</v>
      </c>
      <c r="AO5" s="20" t="s">
        <v>166</v>
      </c>
      <c r="AP5" s="20" t="s">
        <v>167</v>
      </c>
      <c r="AQ5" s="20" t="s">
        <v>168</v>
      </c>
      <c r="AR5" s="20" t="s">
        <v>169</v>
      </c>
      <c r="AS5" s="20" t="s">
        <v>170</v>
      </c>
      <c r="AT5" s="20" t="s">
        <v>171</v>
      </c>
      <c r="AU5" s="20" t="s">
        <v>172</v>
      </c>
      <c r="AV5" s="20" t="s">
        <v>173</v>
      </c>
      <c r="AW5" s="20" t="s">
        <v>174</v>
      </c>
      <c r="AX5" s="20" t="s">
        <v>175</v>
      </c>
      <c r="AY5" s="20" t="s">
        <v>176</v>
      </c>
      <c r="AZ5" s="20" t="s">
        <v>177</v>
      </c>
      <c r="BA5" s="20" t="s">
        <v>178</v>
      </c>
      <c r="BB5" s="20" t="s">
        <v>179</v>
      </c>
      <c r="BC5" s="20" t="s">
        <v>180</v>
      </c>
      <c r="BD5" s="20" t="s">
        <v>181</v>
      </c>
      <c r="BE5" s="20" t="s">
        <v>182</v>
      </c>
      <c r="BF5" s="20" t="s">
        <v>183</v>
      </c>
      <c r="BG5" s="20" t="s">
        <v>184</v>
      </c>
      <c r="BH5" s="20" t="s">
        <v>185</v>
      </c>
      <c r="BI5" s="20" t="s">
        <v>186</v>
      </c>
    </row>
    <row r="6" spans="1:61" x14ac:dyDescent="0.25">
      <c r="A6" s="36" t="s">
        <v>187</v>
      </c>
      <c r="B6" s="37">
        <f>IFERROR(EDATE(Assumptions!$D$9,0),"")</f>
        <v>0</v>
      </c>
      <c r="C6" s="37">
        <f>IFERROR(EDATE(Assumptions!$D$9,1),"")</f>
        <v>31</v>
      </c>
      <c r="D6" s="37">
        <f>IFERROR(EDATE(Assumptions!$D$9,2),"")</f>
        <v>60</v>
      </c>
      <c r="E6" s="37">
        <f>IFERROR(EDATE(Assumptions!$D$9,3),"")</f>
        <v>91</v>
      </c>
      <c r="F6" s="37">
        <f>IFERROR(EDATE(Assumptions!$D$9,4),"")</f>
        <v>121</v>
      </c>
      <c r="G6" s="37">
        <f>IFERROR(EDATE(Assumptions!$D$9,5),"")</f>
        <v>152</v>
      </c>
      <c r="H6" s="37">
        <f>IFERROR(EDATE(Assumptions!$D$9,6),"")</f>
        <v>182</v>
      </c>
      <c r="I6" s="37">
        <f>IFERROR(EDATE(Assumptions!$D$9,7),"")</f>
        <v>213</v>
      </c>
      <c r="J6" s="37">
        <f>IFERROR(EDATE(Assumptions!$D$9,8),"")</f>
        <v>244</v>
      </c>
      <c r="K6" s="37">
        <f>IFERROR(EDATE(Assumptions!$D$9,9),"")</f>
        <v>274</v>
      </c>
      <c r="L6" s="37">
        <f>IFERROR(EDATE(Assumptions!$D$9,10),"")</f>
        <v>305</v>
      </c>
      <c r="M6" s="37">
        <f>IFERROR(EDATE(Assumptions!$D$9,11),"")</f>
        <v>335</v>
      </c>
      <c r="N6" s="37">
        <f>IFERROR(EDATE(Assumptions!$D$9,12),"")</f>
        <v>366</v>
      </c>
      <c r="O6" s="37">
        <f>IFERROR(EDATE(Assumptions!$D$9,13),"")</f>
        <v>397</v>
      </c>
      <c r="P6" s="37">
        <f>IFERROR(EDATE(Assumptions!$D$9,14),"")</f>
        <v>425</v>
      </c>
      <c r="Q6" s="37">
        <f>IFERROR(EDATE(Assumptions!$D$9,15),"")</f>
        <v>456</v>
      </c>
      <c r="R6" s="37">
        <f>IFERROR(EDATE(Assumptions!$D$9,16),"")</f>
        <v>486</v>
      </c>
      <c r="S6" s="37">
        <f>IFERROR(EDATE(Assumptions!$D$9,17),"")</f>
        <v>517</v>
      </c>
      <c r="T6" s="37">
        <f>IFERROR(EDATE(Assumptions!$D$9,18),"")</f>
        <v>547</v>
      </c>
      <c r="U6" s="37">
        <f>IFERROR(EDATE(Assumptions!$D$9,19),"")</f>
        <v>578</v>
      </c>
      <c r="V6" s="37">
        <f>IFERROR(EDATE(Assumptions!$D$9,20),"")</f>
        <v>609</v>
      </c>
      <c r="W6" s="37">
        <f>IFERROR(EDATE(Assumptions!$D$9,21),"")</f>
        <v>639</v>
      </c>
      <c r="X6" s="37">
        <f>IFERROR(EDATE(Assumptions!$D$9,22),"")</f>
        <v>670</v>
      </c>
      <c r="Y6" s="37">
        <f>IFERROR(EDATE(Assumptions!$D$9,23),"")</f>
        <v>700</v>
      </c>
      <c r="Z6" s="37">
        <f>IFERROR(EDATE(Assumptions!$D$9,24),"")</f>
        <v>731</v>
      </c>
      <c r="AA6" s="37">
        <f>IFERROR(EDATE(Assumptions!$D$9,25),"")</f>
        <v>762</v>
      </c>
      <c r="AB6" s="37">
        <f>IFERROR(EDATE(Assumptions!$D$9,26),"")</f>
        <v>790</v>
      </c>
      <c r="AC6" s="37">
        <f>IFERROR(EDATE(Assumptions!$D$9,27),"")</f>
        <v>821</v>
      </c>
      <c r="AD6" s="37">
        <f>IFERROR(EDATE(Assumptions!$D$9,28),"")</f>
        <v>851</v>
      </c>
      <c r="AE6" s="37">
        <f>IFERROR(EDATE(Assumptions!$D$9,29),"")</f>
        <v>882</v>
      </c>
      <c r="AF6" s="37">
        <f>IFERROR(EDATE(Assumptions!$D$9,30),"")</f>
        <v>912</v>
      </c>
      <c r="AG6" s="37">
        <f>IFERROR(EDATE(Assumptions!$D$9,31),"")</f>
        <v>943</v>
      </c>
      <c r="AH6" s="37">
        <f>IFERROR(EDATE(Assumptions!$D$9,32),"")</f>
        <v>974</v>
      </c>
      <c r="AI6" s="37">
        <f>IFERROR(EDATE(Assumptions!$D$9,33),"")</f>
        <v>1004</v>
      </c>
      <c r="AJ6" s="37">
        <f>IFERROR(EDATE(Assumptions!$D$9,34),"")</f>
        <v>1035</v>
      </c>
      <c r="AK6" s="37">
        <f>IFERROR(EDATE(Assumptions!$D$9,35),"")</f>
        <v>1065</v>
      </c>
      <c r="AL6" s="37">
        <f>IFERROR(EDATE(Assumptions!$D$9,36),"")</f>
        <v>1096</v>
      </c>
      <c r="AM6" s="37">
        <f>IFERROR(EDATE(Assumptions!$D$9,37),"")</f>
        <v>1127</v>
      </c>
      <c r="AN6" s="37">
        <f>IFERROR(EDATE(Assumptions!$D$9,38),"")</f>
        <v>1155</v>
      </c>
      <c r="AO6" s="37">
        <f>IFERROR(EDATE(Assumptions!$D$9,39),"")</f>
        <v>1186</v>
      </c>
      <c r="AP6" s="37">
        <f>IFERROR(EDATE(Assumptions!$D$9,40),"")</f>
        <v>1216</v>
      </c>
      <c r="AQ6" s="37">
        <f>IFERROR(EDATE(Assumptions!$D$9,41),"")</f>
        <v>1247</v>
      </c>
      <c r="AR6" s="37">
        <f>IFERROR(EDATE(Assumptions!$D$9,42),"")</f>
        <v>1277</v>
      </c>
      <c r="AS6" s="37">
        <f>IFERROR(EDATE(Assumptions!$D$9,43),"")</f>
        <v>1308</v>
      </c>
      <c r="AT6" s="37">
        <f>IFERROR(EDATE(Assumptions!$D$9,44),"")</f>
        <v>1339</v>
      </c>
      <c r="AU6" s="37">
        <f>IFERROR(EDATE(Assumptions!$D$9,45),"")</f>
        <v>1369</v>
      </c>
      <c r="AV6" s="37">
        <f>IFERROR(EDATE(Assumptions!$D$9,46),"")</f>
        <v>1400</v>
      </c>
      <c r="AW6" s="37">
        <f>IFERROR(EDATE(Assumptions!$D$9,47),"")</f>
        <v>1430</v>
      </c>
      <c r="AX6" s="37">
        <f>IFERROR(EDATE(Assumptions!$D$9,48),"")</f>
        <v>1461</v>
      </c>
      <c r="AY6" s="37">
        <f>IFERROR(EDATE(Assumptions!$D$9,49),"")</f>
        <v>1492</v>
      </c>
      <c r="AZ6" s="37">
        <f>IFERROR(EDATE(Assumptions!$D$9,50),"")</f>
        <v>1521</v>
      </c>
      <c r="BA6" s="37">
        <f>IFERROR(EDATE(Assumptions!$D$9,51),"")</f>
        <v>1552</v>
      </c>
      <c r="BB6" s="37">
        <f>IFERROR(EDATE(Assumptions!$D$9,52),"")</f>
        <v>1582</v>
      </c>
      <c r="BC6" s="37">
        <f>IFERROR(EDATE(Assumptions!$D$9,53),"")</f>
        <v>1613</v>
      </c>
      <c r="BD6" s="37">
        <f>IFERROR(EDATE(Assumptions!$D$9,54),"")</f>
        <v>1643</v>
      </c>
      <c r="BE6" s="37">
        <f>IFERROR(EDATE(Assumptions!$D$9,55),"")</f>
        <v>1674</v>
      </c>
      <c r="BF6" s="37">
        <f>IFERROR(EDATE(Assumptions!$D$9,56),"")</f>
        <v>1705</v>
      </c>
      <c r="BG6" s="37">
        <f>IFERROR(EDATE(Assumptions!$D$9,57),"")</f>
        <v>1735</v>
      </c>
      <c r="BH6" s="37">
        <f>IFERROR(EDATE(Assumptions!$D$9,58),"")</f>
        <v>1766</v>
      </c>
      <c r="BI6" s="37">
        <f>IFERROR(EDATE(Assumptions!$D$9,59),"")</f>
        <v>1796</v>
      </c>
    </row>
    <row r="7" spans="1:61" ht="18" customHeight="1" x14ac:dyDescent="0.25">
      <c r="A7" s="9" t="s">
        <v>226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</row>
    <row r="8" spans="1:61" x14ac:dyDescent="0.25">
      <c r="A8" s="51" t="s">
        <v>227</v>
      </c>
      <c r="B8" s="48">
        <f>Sales!B14</f>
        <v>0</v>
      </c>
      <c r="C8" s="48">
        <f>Sales!C14</f>
        <v>0</v>
      </c>
      <c r="D8" s="48">
        <f>Sales!D14</f>
        <v>0</v>
      </c>
      <c r="E8" s="48">
        <f>Sales!E14</f>
        <v>0</v>
      </c>
      <c r="F8" s="48">
        <f>Sales!F14</f>
        <v>0</v>
      </c>
      <c r="G8" s="48">
        <f>Sales!G14</f>
        <v>0</v>
      </c>
      <c r="H8" s="48">
        <f>Sales!H14</f>
        <v>0</v>
      </c>
      <c r="I8" s="48">
        <f>Sales!I14</f>
        <v>0</v>
      </c>
      <c r="J8" s="48">
        <f>Sales!J14</f>
        <v>0</v>
      </c>
      <c r="K8" s="48">
        <f>Sales!K14</f>
        <v>0</v>
      </c>
      <c r="L8" s="48">
        <f>Sales!L14</f>
        <v>0</v>
      </c>
      <c r="M8" s="48">
        <f>Sales!M14</f>
        <v>0</v>
      </c>
      <c r="N8" s="48">
        <f>Sales!N14</f>
        <v>0</v>
      </c>
      <c r="O8" s="48">
        <f>Sales!O14</f>
        <v>0</v>
      </c>
      <c r="P8" s="48">
        <f>Sales!P14</f>
        <v>0</v>
      </c>
      <c r="Q8" s="48">
        <f>Sales!Q14</f>
        <v>0</v>
      </c>
      <c r="R8" s="48">
        <f>Sales!R14</f>
        <v>0</v>
      </c>
      <c r="S8" s="48">
        <f>Sales!S14</f>
        <v>0</v>
      </c>
      <c r="T8" s="48">
        <f>Sales!T14</f>
        <v>0</v>
      </c>
      <c r="U8" s="48">
        <f>Sales!U14</f>
        <v>0</v>
      </c>
      <c r="V8" s="48">
        <f>Sales!V14</f>
        <v>0</v>
      </c>
      <c r="W8" s="48">
        <f>Sales!W14</f>
        <v>0</v>
      </c>
      <c r="X8" s="48">
        <f>Sales!X14</f>
        <v>0</v>
      </c>
      <c r="Y8" s="48">
        <f>Sales!Y14</f>
        <v>0</v>
      </c>
      <c r="Z8" s="48">
        <f>Sales!Z14</f>
        <v>0</v>
      </c>
      <c r="AA8" s="48">
        <f>Sales!AA14</f>
        <v>0</v>
      </c>
      <c r="AB8" s="48">
        <f>Sales!AB14</f>
        <v>0</v>
      </c>
      <c r="AC8" s="48">
        <f>Sales!AC14</f>
        <v>0</v>
      </c>
      <c r="AD8" s="48">
        <f>Sales!AD14</f>
        <v>0</v>
      </c>
      <c r="AE8" s="48">
        <f>Sales!AE14</f>
        <v>0</v>
      </c>
      <c r="AF8" s="48">
        <f>Sales!AF14</f>
        <v>0</v>
      </c>
      <c r="AG8" s="48">
        <f>Sales!AG14</f>
        <v>0</v>
      </c>
      <c r="AH8" s="48">
        <f>Sales!AH14</f>
        <v>0</v>
      </c>
      <c r="AI8" s="48">
        <f>Sales!AI14</f>
        <v>0</v>
      </c>
      <c r="AJ8" s="48">
        <f>Sales!AJ14</f>
        <v>0</v>
      </c>
      <c r="AK8" s="48">
        <f>Sales!AK14</f>
        <v>0</v>
      </c>
      <c r="AL8" s="48">
        <f>Sales!AL14</f>
        <v>0</v>
      </c>
      <c r="AM8" s="48">
        <f>Sales!AM14</f>
        <v>0</v>
      </c>
      <c r="AN8" s="48">
        <f>Sales!AN14</f>
        <v>0</v>
      </c>
      <c r="AO8" s="48">
        <f>Sales!AO14</f>
        <v>0</v>
      </c>
      <c r="AP8" s="48">
        <f>Sales!AP14</f>
        <v>0</v>
      </c>
      <c r="AQ8" s="48">
        <f>Sales!AQ14</f>
        <v>0</v>
      </c>
      <c r="AR8" s="48">
        <f>Sales!AR14</f>
        <v>0</v>
      </c>
      <c r="AS8" s="48">
        <f>Sales!AS14</f>
        <v>0</v>
      </c>
      <c r="AT8" s="48">
        <f>Sales!AT14</f>
        <v>0</v>
      </c>
      <c r="AU8" s="48">
        <f>Sales!AU14</f>
        <v>0</v>
      </c>
      <c r="AV8" s="48">
        <f>Sales!AV14</f>
        <v>0</v>
      </c>
      <c r="AW8" s="48">
        <f>Sales!AW14</f>
        <v>0</v>
      </c>
      <c r="AX8" s="48">
        <f>Sales!AX14</f>
        <v>0</v>
      </c>
      <c r="AY8" s="48">
        <f>Sales!AY14</f>
        <v>0</v>
      </c>
      <c r="AZ8" s="48">
        <f>Sales!AZ14</f>
        <v>0</v>
      </c>
      <c r="BA8" s="48">
        <f>Sales!BA14</f>
        <v>0</v>
      </c>
      <c r="BB8" s="48">
        <f>Sales!BB14</f>
        <v>0</v>
      </c>
      <c r="BC8" s="48">
        <f>Sales!BC14</f>
        <v>0</v>
      </c>
      <c r="BD8" s="48">
        <f>Sales!BD14</f>
        <v>0</v>
      </c>
      <c r="BE8" s="48">
        <f>Sales!BE14</f>
        <v>0</v>
      </c>
      <c r="BF8" s="48">
        <f>Sales!BF14</f>
        <v>0</v>
      </c>
      <c r="BG8" s="48">
        <f>Sales!BG14</f>
        <v>0</v>
      </c>
      <c r="BH8" s="48">
        <f>Sales!BH14</f>
        <v>0</v>
      </c>
      <c r="BI8" s="48">
        <f>Sales!BI14</f>
        <v>0</v>
      </c>
    </row>
    <row r="9" spans="1:61" x14ac:dyDescent="0.25">
      <c r="A9" s="38" t="s">
        <v>228</v>
      </c>
      <c r="B9" s="48">
        <f>Expenses!B17</f>
        <v>0</v>
      </c>
      <c r="C9" s="48">
        <f>Expenses!C17</f>
        <v>0</v>
      </c>
      <c r="D9" s="48">
        <f>Expenses!D17</f>
        <v>0</v>
      </c>
      <c r="E9" s="48">
        <f>Expenses!E17</f>
        <v>0</v>
      </c>
      <c r="F9" s="48">
        <f>Expenses!F17</f>
        <v>0</v>
      </c>
      <c r="G9" s="48">
        <f>Expenses!G17</f>
        <v>0</v>
      </c>
      <c r="H9" s="48">
        <f>Expenses!H17</f>
        <v>0</v>
      </c>
      <c r="I9" s="48">
        <f>Expenses!I17</f>
        <v>0</v>
      </c>
      <c r="J9" s="48">
        <f>Expenses!J17</f>
        <v>0</v>
      </c>
      <c r="K9" s="48">
        <f>Expenses!K17</f>
        <v>0</v>
      </c>
      <c r="L9" s="48">
        <f>Expenses!L17</f>
        <v>0</v>
      </c>
      <c r="M9" s="48">
        <f>Expenses!M17</f>
        <v>0</v>
      </c>
      <c r="N9" s="48">
        <f>Expenses!N17</f>
        <v>0</v>
      </c>
      <c r="O9" s="48">
        <f>Expenses!O17</f>
        <v>0</v>
      </c>
      <c r="P9" s="48">
        <f>Expenses!P17</f>
        <v>0</v>
      </c>
      <c r="Q9" s="48">
        <f>Expenses!Q17</f>
        <v>0</v>
      </c>
      <c r="R9" s="48">
        <f>Expenses!R17</f>
        <v>0</v>
      </c>
      <c r="S9" s="48">
        <f>Expenses!S17</f>
        <v>0</v>
      </c>
      <c r="T9" s="48">
        <f>Expenses!T17</f>
        <v>0</v>
      </c>
      <c r="U9" s="48">
        <f>Expenses!U17</f>
        <v>0</v>
      </c>
      <c r="V9" s="48">
        <f>Expenses!V17</f>
        <v>0</v>
      </c>
      <c r="W9" s="48">
        <f>Expenses!W17</f>
        <v>0</v>
      </c>
      <c r="X9" s="48">
        <f>Expenses!X17</f>
        <v>0</v>
      </c>
      <c r="Y9" s="48">
        <f>Expenses!Y17</f>
        <v>0</v>
      </c>
      <c r="Z9" s="48">
        <f>Expenses!Z17</f>
        <v>0</v>
      </c>
      <c r="AA9" s="48">
        <f>Expenses!AA17</f>
        <v>0</v>
      </c>
      <c r="AB9" s="48">
        <f>Expenses!AB17</f>
        <v>0</v>
      </c>
      <c r="AC9" s="48">
        <f>Expenses!AC17</f>
        <v>0</v>
      </c>
      <c r="AD9" s="48">
        <f>Expenses!AD17</f>
        <v>0</v>
      </c>
      <c r="AE9" s="48">
        <f>Expenses!AE17</f>
        <v>0</v>
      </c>
      <c r="AF9" s="48">
        <f>Expenses!AF17</f>
        <v>0</v>
      </c>
      <c r="AG9" s="48">
        <f>Expenses!AG17</f>
        <v>0</v>
      </c>
      <c r="AH9" s="48">
        <f>Expenses!AH17</f>
        <v>0</v>
      </c>
      <c r="AI9" s="48">
        <f>Expenses!AI17</f>
        <v>0</v>
      </c>
      <c r="AJ9" s="48">
        <f>Expenses!AJ17</f>
        <v>0</v>
      </c>
      <c r="AK9" s="48">
        <f>Expenses!AK17</f>
        <v>0</v>
      </c>
      <c r="AL9" s="48">
        <f>Expenses!AL17</f>
        <v>0</v>
      </c>
      <c r="AM9" s="48">
        <f>Expenses!AM17</f>
        <v>0</v>
      </c>
      <c r="AN9" s="48">
        <f>Expenses!AN17</f>
        <v>0</v>
      </c>
      <c r="AO9" s="48">
        <f>Expenses!AO17</f>
        <v>0</v>
      </c>
      <c r="AP9" s="48">
        <f>Expenses!AP17</f>
        <v>0</v>
      </c>
      <c r="AQ9" s="48">
        <f>Expenses!AQ17</f>
        <v>0</v>
      </c>
      <c r="AR9" s="48">
        <f>Expenses!AR17</f>
        <v>0</v>
      </c>
      <c r="AS9" s="48">
        <f>Expenses!AS17</f>
        <v>0</v>
      </c>
      <c r="AT9" s="48">
        <f>Expenses!AT17</f>
        <v>0</v>
      </c>
      <c r="AU9" s="48">
        <f>Expenses!AU17</f>
        <v>0</v>
      </c>
      <c r="AV9" s="48">
        <f>Expenses!AV17</f>
        <v>0</v>
      </c>
      <c r="AW9" s="48">
        <f>Expenses!AW17</f>
        <v>0</v>
      </c>
      <c r="AX9" s="48">
        <f>Expenses!AX17</f>
        <v>0</v>
      </c>
      <c r="AY9" s="48">
        <f>Expenses!AY17</f>
        <v>0</v>
      </c>
      <c r="AZ9" s="48">
        <f>Expenses!AZ17</f>
        <v>0</v>
      </c>
      <c r="BA9" s="48">
        <f>Expenses!BA17</f>
        <v>0</v>
      </c>
      <c r="BB9" s="48">
        <f>Expenses!BB17</f>
        <v>0</v>
      </c>
      <c r="BC9" s="48">
        <f>Expenses!BC17</f>
        <v>0</v>
      </c>
      <c r="BD9" s="48">
        <f>Expenses!BD17</f>
        <v>0</v>
      </c>
      <c r="BE9" s="48">
        <f>Expenses!BE17</f>
        <v>0</v>
      </c>
      <c r="BF9" s="48">
        <f>Expenses!BF17</f>
        <v>0</v>
      </c>
      <c r="BG9" s="48">
        <f>Expenses!BG17</f>
        <v>0</v>
      </c>
      <c r="BH9" s="48">
        <f>Expenses!BH17</f>
        <v>0</v>
      </c>
      <c r="BI9" s="48">
        <f>Expenses!BI17</f>
        <v>0</v>
      </c>
    </row>
    <row r="10" spans="1:61" x14ac:dyDescent="0.25">
      <c r="A10" s="41" t="s">
        <v>229</v>
      </c>
      <c r="B10" s="49">
        <f t="shared" ref="B10:AG10" si="0">B8-B9</f>
        <v>0</v>
      </c>
      <c r="C10" s="49">
        <f t="shared" si="0"/>
        <v>0</v>
      </c>
      <c r="D10" s="49">
        <f t="shared" si="0"/>
        <v>0</v>
      </c>
      <c r="E10" s="49">
        <f t="shared" si="0"/>
        <v>0</v>
      </c>
      <c r="F10" s="49">
        <f t="shared" si="0"/>
        <v>0</v>
      </c>
      <c r="G10" s="49">
        <f t="shared" si="0"/>
        <v>0</v>
      </c>
      <c r="H10" s="49">
        <f t="shared" si="0"/>
        <v>0</v>
      </c>
      <c r="I10" s="49">
        <f t="shared" si="0"/>
        <v>0</v>
      </c>
      <c r="J10" s="49">
        <f t="shared" si="0"/>
        <v>0</v>
      </c>
      <c r="K10" s="49">
        <f t="shared" si="0"/>
        <v>0</v>
      </c>
      <c r="L10" s="49">
        <f t="shared" si="0"/>
        <v>0</v>
      </c>
      <c r="M10" s="49">
        <f t="shared" si="0"/>
        <v>0</v>
      </c>
      <c r="N10" s="49">
        <f t="shared" si="0"/>
        <v>0</v>
      </c>
      <c r="O10" s="49">
        <f t="shared" si="0"/>
        <v>0</v>
      </c>
      <c r="P10" s="49">
        <f t="shared" si="0"/>
        <v>0</v>
      </c>
      <c r="Q10" s="49">
        <f t="shared" si="0"/>
        <v>0</v>
      </c>
      <c r="R10" s="49">
        <f t="shared" si="0"/>
        <v>0</v>
      </c>
      <c r="S10" s="49">
        <f t="shared" si="0"/>
        <v>0</v>
      </c>
      <c r="T10" s="49">
        <f t="shared" si="0"/>
        <v>0</v>
      </c>
      <c r="U10" s="49">
        <f t="shared" si="0"/>
        <v>0</v>
      </c>
      <c r="V10" s="49">
        <f t="shared" si="0"/>
        <v>0</v>
      </c>
      <c r="W10" s="49">
        <f t="shared" si="0"/>
        <v>0</v>
      </c>
      <c r="X10" s="49">
        <f t="shared" si="0"/>
        <v>0</v>
      </c>
      <c r="Y10" s="49">
        <f t="shared" si="0"/>
        <v>0</v>
      </c>
      <c r="Z10" s="49">
        <f t="shared" si="0"/>
        <v>0</v>
      </c>
      <c r="AA10" s="49">
        <f t="shared" si="0"/>
        <v>0</v>
      </c>
      <c r="AB10" s="49">
        <f t="shared" si="0"/>
        <v>0</v>
      </c>
      <c r="AC10" s="49">
        <f t="shared" si="0"/>
        <v>0</v>
      </c>
      <c r="AD10" s="49">
        <f t="shared" si="0"/>
        <v>0</v>
      </c>
      <c r="AE10" s="49">
        <f t="shared" si="0"/>
        <v>0</v>
      </c>
      <c r="AF10" s="49">
        <f t="shared" si="0"/>
        <v>0</v>
      </c>
      <c r="AG10" s="49">
        <f t="shared" si="0"/>
        <v>0</v>
      </c>
      <c r="AH10" s="49">
        <f t="shared" ref="AH10:BM10" si="1">AH8-AH9</f>
        <v>0</v>
      </c>
      <c r="AI10" s="49">
        <f t="shared" si="1"/>
        <v>0</v>
      </c>
      <c r="AJ10" s="49">
        <f t="shared" si="1"/>
        <v>0</v>
      </c>
      <c r="AK10" s="49">
        <f t="shared" si="1"/>
        <v>0</v>
      </c>
      <c r="AL10" s="49">
        <f t="shared" si="1"/>
        <v>0</v>
      </c>
      <c r="AM10" s="49">
        <f t="shared" si="1"/>
        <v>0</v>
      </c>
      <c r="AN10" s="49">
        <f t="shared" si="1"/>
        <v>0</v>
      </c>
      <c r="AO10" s="49">
        <f t="shared" si="1"/>
        <v>0</v>
      </c>
      <c r="AP10" s="49">
        <f t="shared" si="1"/>
        <v>0</v>
      </c>
      <c r="AQ10" s="49">
        <f t="shared" si="1"/>
        <v>0</v>
      </c>
      <c r="AR10" s="49">
        <f t="shared" si="1"/>
        <v>0</v>
      </c>
      <c r="AS10" s="49">
        <f t="shared" si="1"/>
        <v>0</v>
      </c>
      <c r="AT10" s="49">
        <f t="shared" si="1"/>
        <v>0</v>
      </c>
      <c r="AU10" s="49">
        <f t="shared" si="1"/>
        <v>0</v>
      </c>
      <c r="AV10" s="49">
        <f t="shared" si="1"/>
        <v>0</v>
      </c>
      <c r="AW10" s="49">
        <f t="shared" si="1"/>
        <v>0</v>
      </c>
      <c r="AX10" s="49">
        <f t="shared" si="1"/>
        <v>0</v>
      </c>
      <c r="AY10" s="49">
        <f t="shared" si="1"/>
        <v>0</v>
      </c>
      <c r="AZ10" s="49">
        <f t="shared" si="1"/>
        <v>0</v>
      </c>
      <c r="BA10" s="49">
        <f t="shared" si="1"/>
        <v>0</v>
      </c>
      <c r="BB10" s="49">
        <f t="shared" si="1"/>
        <v>0</v>
      </c>
      <c r="BC10" s="49">
        <f t="shared" si="1"/>
        <v>0</v>
      </c>
      <c r="BD10" s="49">
        <f t="shared" si="1"/>
        <v>0</v>
      </c>
      <c r="BE10" s="49">
        <f t="shared" si="1"/>
        <v>0</v>
      </c>
      <c r="BF10" s="49">
        <f t="shared" si="1"/>
        <v>0</v>
      </c>
      <c r="BG10" s="49">
        <f t="shared" si="1"/>
        <v>0</v>
      </c>
      <c r="BH10" s="49">
        <f t="shared" si="1"/>
        <v>0</v>
      </c>
      <c r="BI10" s="49">
        <f t="shared" si="1"/>
        <v>0</v>
      </c>
    </row>
    <row r="11" spans="1:61" x14ac:dyDescent="0.25">
      <c r="A11" s="38" t="s">
        <v>230</v>
      </c>
      <c r="B11" s="52">
        <f t="shared" ref="B11:AG11" si="2">IFERROR(B10/B8,0)</f>
        <v>0</v>
      </c>
      <c r="C11" s="52">
        <f t="shared" si="2"/>
        <v>0</v>
      </c>
      <c r="D11" s="52">
        <f t="shared" si="2"/>
        <v>0</v>
      </c>
      <c r="E11" s="52">
        <f t="shared" si="2"/>
        <v>0</v>
      </c>
      <c r="F11" s="52">
        <f t="shared" si="2"/>
        <v>0</v>
      </c>
      <c r="G11" s="52">
        <f t="shared" si="2"/>
        <v>0</v>
      </c>
      <c r="H11" s="52">
        <f t="shared" si="2"/>
        <v>0</v>
      </c>
      <c r="I11" s="52">
        <f t="shared" si="2"/>
        <v>0</v>
      </c>
      <c r="J11" s="52">
        <f t="shared" si="2"/>
        <v>0</v>
      </c>
      <c r="K11" s="52">
        <f t="shared" si="2"/>
        <v>0</v>
      </c>
      <c r="L11" s="52">
        <f t="shared" si="2"/>
        <v>0</v>
      </c>
      <c r="M11" s="52">
        <f t="shared" si="2"/>
        <v>0</v>
      </c>
      <c r="N11" s="52">
        <f t="shared" si="2"/>
        <v>0</v>
      </c>
      <c r="O11" s="52">
        <f t="shared" si="2"/>
        <v>0</v>
      </c>
      <c r="P11" s="52">
        <f t="shared" si="2"/>
        <v>0</v>
      </c>
      <c r="Q11" s="52">
        <f t="shared" si="2"/>
        <v>0</v>
      </c>
      <c r="R11" s="52">
        <f t="shared" si="2"/>
        <v>0</v>
      </c>
      <c r="S11" s="52">
        <f t="shared" si="2"/>
        <v>0</v>
      </c>
      <c r="T11" s="52">
        <f t="shared" si="2"/>
        <v>0</v>
      </c>
      <c r="U11" s="52">
        <f t="shared" si="2"/>
        <v>0</v>
      </c>
      <c r="V11" s="52">
        <f t="shared" si="2"/>
        <v>0</v>
      </c>
      <c r="W11" s="52">
        <f t="shared" si="2"/>
        <v>0</v>
      </c>
      <c r="X11" s="52">
        <f t="shared" si="2"/>
        <v>0</v>
      </c>
      <c r="Y11" s="52">
        <f t="shared" si="2"/>
        <v>0</v>
      </c>
      <c r="Z11" s="52">
        <f t="shared" si="2"/>
        <v>0</v>
      </c>
      <c r="AA11" s="52">
        <f t="shared" si="2"/>
        <v>0</v>
      </c>
      <c r="AB11" s="52">
        <f t="shared" si="2"/>
        <v>0</v>
      </c>
      <c r="AC11" s="52">
        <f t="shared" si="2"/>
        <v>0</v>
      </c>
      <c r="AD11" s="52">
        <f t="shared" si="2"/>
        <v>0</v>
      </c>
      <c r="AE11" s="52">
        <f t="shared" si="2"/>
        <v>0</v>
      </c>
      <c r="AF11" s="52">
        <f t="shared" si="2"/>
        <v>0</v>
      </c>
      <c r="AG11" s="52">
        <f t="shared" si="2"/>
        <v>0</v>
      </c>
      <c r="AH11" s="52">
        <f t="shared" ref="AH11:BM11" si="3">IFERROR(AH10/AH8,0)</f>
        <v>0</v>
      </c>
      <c r="AI11" s="52">
        <f t="shared" si="3"/>
        <v>0</v>
      </c>
      <c r="AJ11" s="52">
        <f t="shared" si="3"/>
        <v>0</v>
      </c>
      <c r="AK11" s="52">
        <f t="shared" si="3"/>
        <v>0</v>
      </c>
      <c r="AL11" s="52">
        <f t="shared" si="3"/>
        <v>0</v>
      </c>
      <c r="AM11" s="52">
        <f t="shared" si="3"/>
        <v>0</v>
      </c>
      <c r="AN11" s="52">
        <f t="shared" si="3"/>
        <v>0</v>
      </c>
      <c r="AO11" s="52">
        <f t="shared" si="3"/>
        <v>0</v>
      </c>
      <c r="AP11" s="52">
        <f t="shared" si="3"/>
        <v>0</v>
      </c>
      <c r="AQ11" s="52">
        <f t="shared" si="3"/>
        <v>0</v>
      </c>
      <c r="AR11" s="52">
        <f t="shared" si="3"/>
        <v>0</v>
      </c>
      <c r="AS11" s="52">
        <f t="shared" si="3"/>
        <v>0</v>
      </c>
      <c r="AT11" s="52">
        <f t="shared" si="3"/>
        <v>0</v>
      </c>
      <c r="AU11" s="52">
        <f t="shared" si="3"/>
        <v>0</v>
      </c>
      <c r="AV11" s="52">
        <f t="shared" si="3"/>
        <v>0</v>
      </c>
      <c r="AW11" s="52">
        <f t="shared" si="3"/>
        <v>0</v>
      </c>
      <c r="AX11" s="52">
        <f t="shared" si="3"/>
        <v>0</v>
      </c>
      <c r="AY11" s="52">
        <f t="shared" si="3"/>
        <v>0</v>
      </c>
      <c r="AZ11" s="52">
        <f t="shared" si="3"/>
        <v>0</v>
      </c>
      <c r="BA11" s="52">
        <f t="shared" si="3"/>
        <v>0</v>
      </c>
      <c r="BB11" s="52">
        <f t="shared" si="3"/>
        <v>0</v>
      </c>
      <c r="BC11" s="52">
        <f t="shared" si="3"/>
        <v>0</v>
      </c>
      <c r="BD11" s="52">
        <f t="shared" si="3"/>
        <v>0</v>
      </c>
      <c r="BE11" s="52">
        <f t="shared" si="3"/>
        <v>0</v>
      </c>
      <c r="BF11" s="52">
        <f t="shared" si="3"/>
        <v>0</v>
      </c>
      <c r="BG11" s="52">
        <f t="shared" si="3"/>
        <v>0</v>
      </c>
      <c r="BH11" s="52">
        <f t="shared" si="3"/>
        <v>0</v>
      </c>
      <c r="BI11" s="52">
        <f t="shared" si="3"/>
        <v>0</v>
      </c>
    </row>
    <row r="12" spans="1:61" x14ac:dyDescent="0.25">
      <c r="A12" s="38" t="s">
        <v>231</v>
      </c>
      <c r="B12" s="48">
        <f>Expenses!B25</f>
        <v>0</v>
      </c>
      <c r="C12" s="48">
        <f>Expenses!C25</f>
        <v>0</v>
      </c>
      <c r="D12" s="48">
        <f>Expenses!D25</f>
        <v>0</v>
      </c>
      <c r="E12" s="48">
        <f>Expenses!E25</f>
        <v>0</v>
      </c>
      <c r="F12" s="48">
        <f>Expenses!F25</f>
        <v>0</v>
      </c>
      <c r="G12" s="48">
        <f>Expenses!G25</f>
        <v>0</v>
      </c>
      <c r="H12" s="48">
        <f>Expenses!H25</f>
        <v>0</v>
      </c>
      <c r="I12" s="48">
        <f>Expenses!I25</f>
        <v>0</v>
      </c>
      <c r="J12" s="48">
        <f>Expenses!J25</f>
        <v>0</v>
      </c>
      <c r="K12" s="48">
        <f>Expenses!K25</f>
        <v>0</v>
      </c>
      <c r="L12" s="48">
        <f>Expenses!L25</f>
        <v>0</v>
      </c>
      <c r="M12" s="48">
        <f>Expenses!M25</f>
        <v>0</v>
      </c>
      <c r="N12" s="48">
        <f>Expenses!N25</f>
        <v>0</v>
      </c>
      <c r="O12" s="48">
        <f>Expenses!O25</f>
        <v>0</v>
      </c>
      <c r="P12" s="48">
        <f>Expenses!P25</f>
        <v>0</v>
      </c>
      <c r="Q12" s="48">
        <f>Expenses!Q25</f>
        <v>0</v>
      </c>
      <c r="R12" s="48">
        <f>Expenses!R25</f>
        <v>0</v>
      </c>
      <c r="S12" s="48">
        <f>Expenses!S25</f>
        <v>0</v>
      </c>
      <c r="T12" s="48">
        <f>Expenses!T25</f>
        <v>0</v>
      </c>
      <c r="U12" s="48">
        <f>Expenses!U25</f>
        <v>0</v>
      </c>
      <c r="V12" s="48">
        <f>Expenses!V25</f>
        <v>0</v>
      </c>
      <c r="W12" s="48">
        <f>Expenses!W25</f>
        <v>0</v>
      </c>
      <c r="X12" s="48">
        <f>Expenses!X25</f>
        <v>0</v>
      </c>
      <c r="Y12" s="48">
        <f>Expenses!Y25</f>
        <v>0</v>
      </c>
      <c r="Z12" s="48">
        <f>Expenses!Z25</f>
        <v>0</v>
      </c>
      <c r="AA12" s="48">
        <f>Expenses!AA25</f>
        <v>0</v>
      </c>
      <c r="AB12" s="48">
        <f>Expenses!AB25</f>
        <v>0</v>
      </c>
      <c r="AC12" s="48">
        <f>Expenses!AC25</f>
        <v>0</v>
      </c>
      <c r="AD12" s="48">
        <f>Expenses!AD25</f>
        <v>0</v>
      </c>
      <c r="AE12" s="48">
        <f>Expenses!AE25</f>
        <v>0</v>
      </c>
      <c r="AF12" s="48">
        <f>Expenses!AF25</f>
        <v>0</v>
      </c>
      <c r="AG12" s="48">
        <f>Expenses!AG25</f>
        <v>0</v>
      </c>
      <c r="AH12" s="48">
        <f>Expenses!AH25</f>
        <v>0</v>
      </c>
      <c r="AI12" s="48">
        <f>Expenses!AI25</f>
        <v>0</v>
      </c>
      <c r="AJ12" s="48">
        <f>Expenses!AJ25</f>
        <v>0</v>
      </c>
      <c r="AK12" s="48">
        <f>Expenses!AK25</f>
        <v>0</v>
      </c>
      <c r="AL12" s="48">
        <f>Expenses!AL25</f>
        <v>0</v>
      </c>
      <c r="AM12" s="48">
        <f>Expenses!AM25</f>
        <v>0</v>
      </c>
      <c r="AN12" s="48">
        <f>Expenses!AN25</f>
        <v>0</v>
      </c>
      <c r="AO12" s="48">
        <f>Expenses!AO25</f>
        <v>0</v>
      </c>
      <c r="AP12" s="48">
        <f>Expenses!AP25</f>
        <v>0</v>
      </c>
      <c r="AQ12" s="48">
        <f>Expenses!AQ25</f>
        <v>0</v>
      </c>
      <c r="AR12" s="48">
        <f>Expenses!AR25</f>
        <v>0</v>
      </c>
      <c r="AS12" s="48">
        <f>Expenses!AS25</f>
        <v>0</v>
      </c>
      <c r="AT12" s="48">
        <f>Expenses!AT25</f>
        <v>0</v>
      </c>
      <c r="AU12" s="48">
        <f>Expenses!AU25</f>
        <v>0</v>
      </c>
      <c r="AV12" s="48">
        <f>Expenses!AV25</f>
        <v>0</v>
      </c>
      <c r="AW12" s="48">
        <f>Expenses!AW25</f>
        <v>0</v>
      </c>
      <c r="AX12" s="48">
        <f>Expenses!AX25</f>
        <v>0</v>
      </c>
      <c r="AY12" s="48">
        <f>Expenses!AY25</f>
        <v>0</v>
      </c>
      <c r="AZ12" s="48">
        <f>Expenses!AZ25</f>
        <v>0</v>
      </c>
      <c r="BA12" s="48">
        <f>Expenses!BA25</f>
        <v>0</v>
      </c>
      <c r="BB12" s="48">
        <f>Expenses!BB25</f>
        <v>0</v>
      </c>
      <c r="BC12" s="48">
        <f>Expenses!BC25</f>
        <v>0</v>
      </c>
      <c r="BD12" s="48">
        <f>Expenses!BD25</f>
        <v>0</v>
      </c>
      <c r="BE12" s="48">
        <f>Expenses!BE25</f>
        <v>0</v>
      </c>
      <c r="BF12" s="48">
        <f>Expenses!BF25</f>
        <v>0</v>
      </c>
      <c r="BG12" s="48">
        <f>Expenses!BG25</f>
        <v>0</v>
      </c>
      <c r="BH12" s="48">
        <f>Expenses!BH25</f>
        <v>0</v>
      </c>
      <c r="BI12" s="48">
        <f>Expenses!BI25</f>
        <v>0</v>
      </c>
    </row>
    <row r="13" spans="1:61" x14ac:dyDescent="0.25">
      <c r="A13" s="41" t="s">
        <v>232</v>
      </c>
      <c r="B13" s="49">
        <f t="shared" ref="B13:AG13" si="4">B10-B12</f>
        <v>0</v>
      </c>
      <c r="C13" s="49">
        <f t="shared" si="4"/>
        <v>0</v>
      </c>
      <c r="D13" s="49">
        <f t="shared" si="4"/>
        <v>0</v>
      </c>
      <c r="E13" s="49">
        <f t="shared" si="4"/>
        <v>0</v>
      </c>
      <c r="F13" s="49">
        <f t="shared" si="4"/>
        <v>0</v>
      </c>
      <c r="G13" s="49">
        <f t="shared" si="4"/>
        <v>0</v>
      </c>
      <c r="H13" s="49">
        <f t="shared" si="4"/>
        <v>0</v>
      </c>
      <c r="I13" s="49">
        <f t="shared" si="4"/>
        <v>0</v>
      </c>
      <c r="J13" s="49">
        <f t="shared" si="4"/>
        <v>0</v>
      </c>
      <c r="K13" s="49">
        <f t="shared" si="4"/>
        <v>0</v>
      </c>
      <c r="L13" s="49">
        <f t="shared" si="4"/>
        <v>0</v>
      </c>
      <c r="M13" s="49">
        <f t="shared" si="4"/>
        <v>0</v>
      </c>
      <c r="N13" s="49">
        <f t="shared" si="4"/>
        <v>0</v>
      </c>
      <c r="O13" s="49">
        <f t="shared" si="4"/>
        <v>0</v>
      </c>
      <c r="P13" s="49">
        <f t="shared" si="4"/>
        <v>0</v>
      </c>
      <c r="Q13" s="49">
        <f t="shared" si="4"/>
        <v>0</v>
      </c>
      <c r="R13" s="49">
        <f t="shared" si="4"/>
        <v>0</v>
      </c>
      <c r="S13" s="49">
        <f t="shared" si="4"/>
        <v>0</v>
      </c>
      <c r="T13" s="49">
        <f t="shared" si="4"/>
        <v>0</v>
      </c>
      <c r="U13" s="49">
        <f t="shared" si="4"/>
        <v>0</v>
      </c>
      <c r="V13" s="49">
        <f t="shared" si="4"/>
        <v>0</v>
      </c>
      <c r="W13" s="49">
        <f t="shared" si="4"/>
        <v>0</v>
      </c>
      <c r="X13" s="49">
        <f t="shared" si="4"/>
        <v>0</v>
      </c>
      <c r="Y13" s="49">
        <f t="shared" si="4"/>
        <v>0</v>
      </c>
      <c r="Z13" s="49">
        <f t="shared" si="4"/>
        <v>0</v>
      </c>
      <c r="AA13" s="49">
        <f t="shared" si="4"/>
        <v>0</v>
      </c>
      <c r="AB13" s="49">
        <f t="shared" si="4"/>
        <v>0</v>
      </c>
      <c r="AC13" s="49">
        <f t="shared" si="4"/>
        <v>0</v>
      </c>
      <c r="AD13" s="49">
        <f t="shared" si="4"/>
        <v>0</v>
      </c>
      <c r="AE13" s="49">
        <f t="shared" si="4"/>
        <v>0</v>
      </c>
      <c r="AF13" s="49">
        <f t="shared" si="4"/>
        <v>0</v>
      </c>
      <c r="AG13" s="49">
        <f t="shared" si="4"/>
        <v>0</v>
      </c>
      <c r="AH13" s="49">
        <f t="shared" ref="AH13:BM13" si="5">AH10-AH12</f>
        <v>0</v>
      </c>
      <c r="AI13" s="49">
        <f t="shared" si="5"/>
        <v>0</v>
      </c>
      <c r="AJ13" s="49">
        <f t="shared" si="5"/>
        <v>0</v>
      </c>
      <c r="AK13" s="49">
        <f t="shared" si="5"/>
        <v>0</v>
      </c>
      <c r="AL13" s="49">
        <f t="shared" si="5"/>
        <v>0</v>
      </c>
      <c r="AM13" s="49">
        <f t="shared" si="5"/>
        <v>0</v>
      </c>
      <c r="AN13" s="49">
        <f t="shared" si="5"/>
        <v>0</v>
      </c>
      <c r="AO13" s="49">
        <f t="shared" si="5"/>
        <v>0</v>
      </c>
      <c r="AP13" s="49">
        <f t="shared" si="5"/>
        <v>0</v>
      </c>
      <c r="AQ13" s="49">
        <f t="shared" si="5"/>
        <v>0</v>
      </c>
      <c r="AR13" s="49">
        <f t="shared" si="5"/>
        <v>0</v>
      </c>
      <c r="AS13" s="49">
        <f t="shared" si="5"/>
        <v>0</v>
      </c>
      <c r="AT13" s="49">
        <f t="shared" si="5"/>
        <v>0</v>
      </c>
      <c r="AU13" s="49">
        <f t="shared" si="5"/>
        <v>0</v>
      </c>
      <c r="AV13" s="49">
        <f t="shared" si="5"/>
        <v>0</v>
      </c>
      <c r="AW13" s="49">
        <f t="shared" si="5"/>
        <v>0</v>
      </c>
      <c r="AX13" s="49">
        <f t="shared" si="5"/>
        <v>0</v>
      </c>
      <c r="AY13" s="49">
        <f t="shared" si="5"/>
        <v>0</v>
      </c>
      <c r="AZ13" s="49">
        <f t="shared" si="5"/>
        <v>0</v>
      </c>
      <c r="BA13" s="49">
        <f t="shared" si="5"/>
        <v>0</v>
      </c>
      <c r="BB13" s="49">
        <f t="shared" si="5"/>
        <v>0</v>
      </c>
      <c r="BC13" s="49">
        <f t="shared" si="5"/>
        <v>0</v>
      </c>
      <c r="BD13" s="49">
        <f t="shared" si="5"/>
        <v>0</v>
      </c>
      <c r="BE13" s="49">
        <f t="shared" si="5"/>
        <v>0</v>
      </c>
      <c r="BF13" s="49">
        <f t="shared" si="5"/>
        <v>0</v>
      </c>
      <c r="BG13" s="49">
        <f t="shared" si="5"/>
        <v>0</v>
      </c>
      <c r="BH13" s="49">
        <f t="shared" si="5"/>
        <v>0</v>
      </c>
      <c r="BI13" s="49">
        <f t="shared" si="5"/>
        <v>0</v>
      </c>
    </row>
    <row r="14" spans="1:61" x14ac:dyDescent="0.25">
      <c r="A14" s="38" t="s">
        <v>233</v>
      </c>
      <c r="B14" s="52">
        <f t="shared" ref="B14:AG14" si="6">IFERROR(B13/B8,0)</f>
        <v>0</v>
      </c>
      <c r="C14" s="52">
        <f t="shared" si="6"/>
        <v>0</v>
      </c>
      <c r="D14" s="52">
        <f t="shared" si="6"/>
        <v>0</v>
      </c>
      <c r="E14" s="52">
        <f t="shared" si="6"/>
        <v>0</v>
      </c>
      <c r="F14" s="52">
        <f t="shared" si="6"/>
        <v>0</v>
      </c>
      <c r="G14" s="52">
        <f t="shared" si="6"/>
        <v>0</v>
      </c>
      <c r="H14" s="52">
        <f t="shared" si="6"/>
        <v>0</v>
      </c>
      <c r="I14" s="52">
        <f t="shared" si="6"/>
        <v>0</v>
      </c>
      <c r="J14" s="52">
        <f t="shared" si="6"/>
        <v>0</v>
      </c>
      <c r="K14" s="52">
        <f t="shared" si="6"/>
        <v>0</v>
      </c>
      <c r="L14" s="52">
        <f t="shared" si="6"/>
        <v>0</v>
      </c>
      <c r="M14" s="52">
        <f t="shared" si="6"/>
        <v>0</v>
      </c>
      <c r="N14" s="52">
        <f t="shared" si="6"/>
        <v>0</v>
      </c>
      <c r="O14" s="52">
        <f t="shared" si="6"/>
        <v>0</v>
      </c>
      <c r="P14" s="52">
        <f t="shared" si="6"/>
        <v>0</v>
      </c>
      <c r="Q14" s="52">
        <f t="shared" si="6"/>
        <v>0</v>
      </c>
      <c r="R14" s="52">
        <f t="shared" si="6"/>
        <v>0</v>
      </c>
      <c r="S14" s="52">
        <f t="shared" si="6"/>
        <v>0</v>
      </c>
      <c r="T14" s="52">
        <f t="shared" si="6"/>
        <v>0</v>
      </c>
      <c r="U14" s="52">
        <f t="shared" si="6"/>
        <v>0</v>
      </c>
      <c r="V14" s="52">
        <f t="shared" si="6"/>
        <v>0</v>
      </c>
      <c r="W14" s="52">
        <f t="shared" si="6"/>
        <v>0</v>
      </c>
      <c r="X14" s="52">
        <f t="shared" si="6"/>
        <v>0</v>
      </c>
      <c r="Y14" s="52">
        <f t="shared" si="6"/>
        <v>0</v>
      </c>
      <c r="Z14" s="52">
        <f t="shared" si="6"/>
        <v>0</v>
      </c>
      <c r="AA14" s="52">
        <f t="shared" si="6"/>
        <v>0</v>
      </c>
      <c r="AB14" s="52">
        <f t="shared" si="6"/>
        <v>0</v>
      </c>
      <c r="AC14" s="52">
        <f t="shared" si="6"/>
        <v>0</v>
      </c>
      <c r="AD14" s="52">
        <f t="shared" si="6"/>
        <v>0</v>
      </c>
      <c r="AE14" s="52">
        <f t="shared" si="6"/>
        <v>0</v>
      </c>
      <c r="AF14" s="52">
        <f t="shared" si="6"/>
        <v>0</v>
      </c>
      <c r="AG14" s="52">
        <f t="shared" si="6"/>
        <v>0</v>
      </c>
      <c r="AH14" s="52">
        <f t="shared" ref="AH14:BM14" si="7">IFERROR(AH13/AH8,0)</f>
        <v>0</v>
      </c>
      <c r="AI14" s="52">
        <f t="shared" si="7"/>
        <v>0</v>
      </c>
      <c r="AJ14" s="52">
        <f t="shared" si="7"/>
        <v>0</v>
      </c>
      <c r="AK14" s="52">
        <f t="shared" si="7"/>
        <v>0</v>
      </c>
      <c r="AL14" s="52">
        <f t="shared" si="7"/>
        <v>0</v>
      </c>
      <c r="AM14" s="52">
        <f t="shared" si="7"/>
        <v>0</v>
      </c>
      <c r="AN14" s="52">
        <f t="shared" si="7"/>
        <v>0</v>
      </c>
      <c r="AO14" s="52">
        <f t="shared" si="7"/>
        <v>0</v>
      </c>
      <c r="AP14" s="52">
        <f t="shared" si="7"/>
        <v>0</v>
      </c>
      <c r="AQ14" s="52">
        <f t="shared" si="7"/>
        <v>0</v>
      </c>
      <c r="AR14" s="52">
        <f t="shared" si="7"/>
        <v>0</v>
      </c>
      <c r="AS14" s="52">
        <f t="shared" si="7"/>
        <v>0</v>
      </c>
      <c r="AT14" s="52">
        <f t="shared" si="7"/>
        <v>0</v>
      </c>
      <c r="AU14" s="52">
        <f t="shared" si="7"/>
        <v>0</v>
      </c>
      <c r="AV14" s="52">
        <f t="shared" si="7"/>
        <v>0</v>
      </c>
      <c r="AW14" s="52">
        <f t="shared" si="7"/>
        <v>0</v>
      </c>
      <c r="AX14" s="52">
        <f t="shared" si="7"/>
        <v>0</v>
      </c>
      <c r="AY14" s="52">
        <f t="shared" si="7"/>
        <v>0</v>
      </c>
      <c r="AZ14" s="52">
        <f t="shared" si="7"/>
        <v>0</v>
      </c>
      <c r="BA14" s="52">
        <f t="shared" si="7"/>
        <v>0</v>
      </c>
      <c r="BB14" s="52">
        <f t="shared" si="7"/>
        <v>0</v>
      </c>
      <c r="BC14" s="52">
        <f t="shared" si="7"/>
        <v>0</v>
      </c>
      <c r="BD14" s="52">
        <f t="shared" si="7"/>
        <v>0</v>
      </c>
      <c r="BE14" s="52">
        <f t="shared" si="7"/>
        <v>0</v>
      </c>
      <c r="BF14" s="52">
        <f t="shared" si="7"/>
        <v>0</v>
      </c>
      <c r="BG14" s="52">
        <f t="shared" si="7"/>
        <v>0</v>
      </c>
      <c r="BH14" s="52">
        <f t="shared" si="7"/>
        <v>0</v>
      </c>
      <c r="BI14" s="52">
        <f t="shared" si="7"/>
        <v>0</v>
      </c>
    </row>
    <row r="15" spans="1:61" x14ac:dyDescent="0.25">
      <c r="A15" s="38" t="s">
        <v>234</v>
      </c>
      <c r="B15" s="48">
        <f>Expenses!B27</f>
        <v>0</v>
      </c>
      <c r="C15" s="48">
        <f>Expenses!C27</f>
        <v>0</v>
      </c>
      <c r="D15" s="48">
        <f>Expenses!D27</f>
        <v>0</v>
      </c>
      <c r="E15" s="48">
        <f>Expenses!E27</f>
        <v>0</v>
      </c>
      <c r="F15" s="48">
        <f>Expenses!F27</f>
        <v>0</v>
      </c>
      <c r="G15" s="48">
        <f>Expenses!G27</f>
        <v>0</v>
      </c>
      <c r="H15" s="48">
        <f>Expenses!H27</f>
        <v>0</v>
      </c>
      <c r="I15" s="48">
        <f>Expenses!I27</f>
        <v>0</v>
      </c>
      <c r="J15" s="48">
        <f>Expenses!J27</f>
        <v>0</v>
      </c>
      <c r="K15" s="48">
        <f>Expenses!K27</f>
        <v>0</v>
      </c>
      <c r="L15" s="48">
        <f>Expenses!L27</f>
        <v>0</v>
      </c>
      <c r="M15" s="48">
        <f>Expenses!M27</f>
        <v>0</v>
      </c>
      <c r="N15" s="48">
        <f>Expenses!N27</f>
        <v>0</v>
      </c>
      <c r="O15" s="48">
        <f>Expenses!O27</f>
        <v>0</v>
      </c>
      <c r="P15" s="48">
        <f>Expenses!P27</f>
        <v>0</v>
      </c>
      <c r="Q15" s="48">
        <f>Expenses!Q27</f>
        <v>0</v>
      </c>
      <c r="R15" s="48">
        <f>Expenses!R27</f>
        <v>0</v>
      </c>
      <c r="S15" s="48">
        <f>Expenses!S27</f>
        <v>0</v>
      </c>
      <c r="T15" s="48">
        <f>Expenses!T27</f>
        <v>0</v>
      </c>
      <c r="U15" s="48">
        <f>Expenses!U27</f>
        <v>0</v>
      </c>
      <c r="V15" s="48">
        <f>Expenses!V27</f>
        <v>0</v>
      </c>
      <c r="W15" s="48">
        <f>Expenses!W27</f>
        <v>0</v>
      </c>
      <c r="X15" s="48">
        <f>Expenses!X27</f>
        <v>0</v>
      </c>
      <c r="Y15" s="48">
        <f>Expenses!Y27</f>
        <v>0</v>
      </c>
      <c r="Z15" s="48">
        <f>Expenses!Z27</f>
        <v>0</v>
      </c>
      <c r="AA15" s="48">
        <f>Expenses!AA27</f>
        <v>0</v>
      </c>
      <c r="AB15" s="48">
        <f>Expenses!AB27</f>
        <v>0</v>
      </c>
      <c r="AC15" s="48">
        <f>Expenses!AC27</f>
        <v>0</v>
      </c>
      <c r="AD15" s="48">
        <f>Expenses!AD27</f>
        <v>0</v>
      </c>
      <c r="AE15" s="48">
        <f>Expenses!AE27</f>
        <v>0</v>
      </c>
      <c r="AF15" s="48">
        <f>Expenses!AF27</f>
        <v>0</v>
      </c>
      <c r="AG15" s="48">
        <f>Expenses!AG27</f>
        <v>0</v>
      </c>
      <c r="AH15" s="48">
        <f>Expenses!AH27</f>
        <v>0</v>
      </c>
      <c r="AI15" s="48">
        <f>Expenses!AI27</f>
        <v>0</v>
      </c>
      <c r="AJ15" s="48">
        <f>Expenses!AJ27</f>
        <v>0</v>
      </c>
      <c r="AK15" s="48">
        <f>Expenses!AK27</f>
        <v>0</v>
      </c>
      <c r="AL15" s="48">
        <f>Expenses!AL27</f>
        <v>0</v>
      </c>
      <c r="AM15" s="48">
        <f>Expenses!AM27</f>
        <v>0</v>
      </c>
      <c r="AN15" s="48">
        <f>Expenses!AN27</f>
        <v>0</v>
      </c>
      <c r="AO15" s="48">
        <f>Expenses!AO27</f>
        <v>0</v>
      </c>
      <c r="AP15" s="48">
        <f>Expenses!AP27</f>
        <v>0</v>
      </c>
      <c r="AQ15" s="48">
        <f>Expenses!AQ27</f>
        <v>0</v>
      </c>
      <c r="AR15" s="48">
        <f>Expenses!AR27</f>
        <v>0</v>
      </c>
      <c r="AS15" s="48">
        <f>Expenses!AS27</f>
        <v>0</v>
      </c>
      <c r="AT15" s="48">
        <f>Expenses!AT27</f>
        <v>0</v>
      </c>
      <c r="AU15" s="48">
        <f>Expenses!AU27</f>
        <v>0</v>
      </c>
      <c r="AV15" s="48">
        <f>Expenses!AV27</f>
        <v>0</v>
      </c>
      <c r="AW15" s="48">
        <f>Expenses!AW27</f>
        <v>0</v>
      </c>
      <c r="AX15" s="48">
        <f>Expenses!AX27</f>
        <v>0</v>
      </c>
      <c r="AY15" s="48">
        <f>Expenses!AY27</f>
        <v>0</v>
      </c>
      <c r="AZ15" s="48">
        <f>Expenses!AZ27</f>
        <v>0</v>
      </c>
      <c r="BA15" s="48">
        <f>Expenses!BA27</f>
        <v>0</v>
      </c>
      <c r="BB15" s="48">
        <f>Expenses!BB27</f>
        <v>0</v>
      </c>
      <c r="BC15" s="48">
        <f>Expenses!BC27</f>
        <v>0</v>
      </c>
      <c r="BD15" s="48">
        <f>Expenses!BD27</f>
        <v>0</v>
      </c>
      <c r="BE15" s="48">
        <f>Expenses!BE27</f>
        <v>0</v>
      </c>
      <c r="BF15" s="48">
        <f>Expenses!BF27</f>
        <v>0</v>
      </c>
      <c r="BG15" s="48">
        <f>Expenses!BG27</f>
        <v>0</v>
      </c>
      <c r="BH15" s="48">
        <f>Expenses!BH27</f>
        <v>0</v>
      </c>
      <c r="BI15" s="48">
        <f>Expenses!BI27</f>
        <v>0</v>
      </c>
    </row>
    <row r="16" spans="1:61" x14ac:dyDescent="0.25">
      <c r="A16" s="41" t="s">
        <v>235</v>
      </c>
      <c r="B16" s="49">
        <f t="shared" ref="B16:AG16" si="8">B13-B15</f>
        <v>0</v>
      </c>
      <c r="C16" s="49">
        <f t="shared" si="8"/>
        <v>0</v>
      </c>
      <c r="D16" s="49">
        <f t="shared" si="8"/>
        <v>0</v>
      </c>
      <c r="E16" s="49">
        <f t="shared" si="8"/>
        <v>0</v>
      </c>
      <c r="F16" s="49">
        <f t="shared" si="8"/>
        <v>0</v>
      </c>
      <c r="G16" s="49">
        <f t="shared" si="8"/>
        <v>0</v>
      </c>
      <c r="H16" s="49">
        <f t="shared" si="8"/>
        <v>0</v>
      </c>
      <c r="I16" s="49">
        <f t="shared" si="8"/>
        <v>0</v>
      </c>
      <c r="J16" s="49">
        <f t="shared" si="8"/>
        <v>0</v>
      </c>
      <c r="K16" s="49">
        <f t="shared" si="8"/>
        <v>0</v>
      </c>
      <c r="L16" s="49">
        <f t="shared" si="8"/>
        <v>0</v>
      </c>
      <c r="M16" s="49">
        <f t="shared" si="8"/>
        <v>0</v>
      </c>
      <c r="N16" s="49">
        <f t="shared" si="8"/>
        <v>0</v>
      </c>
      <c r="O16" s="49">
        <f t="shared" si="8"/>
        <v>0</v>
      </c>
      <c r="P16" s="49">
        <f t="shared" si="8"/>
        <v>0</v>
      </c>
      <c r="Q16" s="49">
        <f t="shared" si="8"/>
        <v>0</v>
      </c>
      <c r="R16" s="49">
        <f t="shared" si="8"/>
        <v>0</v>
      </c>
      <c r="S16" s="49">
        <f t="shared" si="8"/>
        <v>0</v>
      </c>
      <c r="T16" s="49">
        <f t="shared" si="8"/>
        <v>0</v>
      </c>
      <c r="U16" s="49">
        <f t="shared" si="8"/>
        <v>0</v>
      </c>
      <c r="V16" s="49">
        <f t="shared" si="8"/>
        <v>0</v>
      </c>
      <c r="W16" s="49">
        <f t="shared" si="8"/>
        <v>0</v>
      </c>
      <c r="X16" s="49">
        <f t="shared" si="8"/>
        <v>0</v>
      </c>
      <c r="Y16" s="49">
        <f t="shared" si="8"/>
        <v>0</v>
      </c>
      <c r="Z16" s="49">
        <f t="shared" si="8"/>
        <v>0</v>
      </c>
      <c r="AA16" s="49">
        <f t="shared" si="8"/>
        <v>0</v>
      </c>
      <c r="AB16" s="49">
        <f t="shared" si="8"/>
        <v>0</v>
      </c>
      <c r="AC16" s="49">
        <f t="shared" si="8"/>
        <v>0</v>
      </c>
      <c r="AD16" s="49">
        <f t="shared" si="8"/>
        <v>0</v>
      </c>
      <c r="AE16" s="49">
        <f t="shared" si="8"/>
        <v>0</v>
      </c>
      <c r="AF16" s="49">
        <f t="shared" si="8"/>
        <v>0</v>
      </c>
      <c r="AG16" s="49">
        <f t="shared" si="8"/>
        <v>0</v>
      </c>
      <c r="AH16" s="49">
        <f t="shared" ref="AH16:BM16" si="9">AH13-AH15</f>
        <v>0</v>
      </c>
      <c r="AI16" s="49">
        <f t="shared" si="9"/>
        <v>0</v>
      </c>
      <c r="AJ16" s="49">
        <f t="shared" si="9"/>
        <v>0</v>
      </c>
      <c r="AK16" s="49">
        <f t="shared" si="9"/>
        <v>0</v>
      </c>
      <c r="AL16" s="49">
        <f t="shared" si="9"/>
        <v>0</v>
      </c>
      <c r="AM16" s="49">
        <f t="shared" si="9"/>
        <v>0</v>
      </c>
      <c r="AN16" s="49">
        <f t="shared" si="9"/>
        <v>0</v>
      </c>
      <c r="AO16" s="49">
        <f t="shared" si="9"/>
        <v>0</v>
      </c>
      <c r="AP16" s="49">
        <f t="shared" si="9"/>
        <v>0</v>
      </c>
      <c r="AQ16" s="49">
        <f t="shared" si="9"/>
        <v>0</v>
      </c>
      <c r="AR16" s="49">
        <f t="shared" si="9"/>
        <v>0</v>
      </c>
      <c r="AS16" s="49">
        <f t="shared" si="9"/>
        <v>0</v>
      </c>
      <c r="AT16" s="49">
        <f t="shared" si="9"/>
        <v>0</v>
      </c>
      <c r="AU16" s="49">
        <f t="shared" si="9"/>
        <v>0</v>
      </c>
      <c r="AV16" s="49">
        <f t="shared" si="9"/>
        <v>0</v>
      </c>
      <c r="AW16" s="49">
        <f t="shared" si="9"/>
        <v>0</v>
      </c>
      <c r="AX16" s="49">
        <f t="shared" si="9"/>
        <v>0</v>
      </c>
      <c r="AY16" s="49">
        <f t="shared" si="9"/>
        <v>0</v>
      </c>
      <c r="AZ16" s="49">
        <f t="shared" si="9"/>
        <v>0</v>
      </c>
      <c r="BA16" s="49">
        <f t="shared" si="9"/>
        <v>0</v>
      </c>
      <c r="BB16" s="49">
        <f t="shared" si="9"/>
        <v>0</v>
      </c>
      <c r="BC16" s="49">
        <f t="shared" si="9"/>
        <v>0</v>
      </c>
      <c r="BD16" s="49">
        <f t="shared" si="9"/>
        <v>0</v>
      </c>
      <c r="BE16" s="49">
        <f t="shared" si="9"/>
        <v>0</v>
      </c>
      <c r="BF16" s="49">
        <f t="shared" si="9"/>
        <v>0</v>
      </c>
      <c r="BG16" s="49">
        <f t="shared" si="9"/>
        <v>0</v>
      </c>
      <c r="BH16" s="49">
        <f t="shared" si="9"/>
        <v>0</v>
      </c>
      <c r="BI16" s="49">
        <f t="shared" si="9"/>
        <v>0</v>
      </c>
    </row>
    <row r="17" spans="1:61" x14ac:dyDescent="0.25">
      <c r="A17" s="38" t="s">
        <v>236</v>
      </c>
      <c r="B17" s="48">
        <f>Expenses!B28</f>
        <v>0</v>
      </c>
      <c r="C17" s="48">
        <f>Expenses!C28</f>
        <v>0</v>
      </c>
      <c r="D17" s="48">
        <f>Expenses!D28</f>
        <v>0</v>
      </c>
      <c r="E17" s="48">
        <f>Expenses!E28</f>
        <v>0</v>
      </c>
      <c r="F17" s="48">
        <f>Expenses!F28</f>
        <v>0</v>
      </c>
      <c r="G17" s="48">
        <f>Expenses!G28</f>
        <v>0</v>
      </c>
      <c r="H17" s="48">
        <f>Expenses!H28</f>
        <v>0</v>
      </c>
      <c r="I17" s="48">
        <f>Expenses!I28</f>
        <v>0</v>
      </c>
      <c r="J17" s="48">
        <f>Expenses!J28</f>
        <v>0</v>
      </c>
      <c r="K17" s="48">
        <f>Expenses!K28</f>
        <v>0</v>
      </c>
      <c r="L17" s="48">
        <f>Expenses!L28</f>
        <v>0</v>
      </c>
      <c r="M17" s="48">
        <f>Expenses!M28</f>
        <v>0</v>
      </c>
      <c r="N17" s="48">
        <f>Expenses!N28</f>
        <v>0</v>
      </c>
      <c r="O17" s="48">
        <f>Expenses!O28</f>
        <v>0</v>
      </c>
      <c r="P17" s="48">
        <f>Expenses!P28</f>
        <v>0</v>
      </c>
      <c r="Q17" s="48">
        <f>Expenses!Q28</f>
        <v>0</v>
      </c>
      <c r="R17" s="48">
        <f>Expenses!R28</f>
        <v>0</v>
      </c>
      <c r="S17" s="48">
        <f>Expenses!S28</f>
        <v>0</v>
      </c>
      <c r="T17" s="48">
        <f>Expenses!T28</f>
        <v>0</v>
      </c>
      <c r="U17" s="48">
        <f>Expenses!U28</f>
        <v>0</v>
      </c>
      <c r="V17" s="48">
        <f>Expenses!V28</f>
        <v>0</v>
      </c>
      <c r="W17" s="48">
        <f>Expenses!W28</f>
        <v>0</v>
      </c>
      <c r="X17" s="48">
        <f>Expenses!X28</f>
        <v>0</v>
      </c>
      <c r="Y17" s="48">
        <f>Expenses!Y28</f>
        <v>0</v>
      </c>
      <c r="Z17" s="48">
        <f>Expenses!Z28</f>
        <v>0</v>
      </c>
      <c r="AA17" s="48">
        <f>Expenses!AA28</f>
        <v>0</v>
      </c>
      <c r="AB17" s="48">
        <f>Expenses!AB28</f>
        <v>0</v>
      </c>
      <c r="AC17" s="48">
        <f>Expenses!AC28</f>
        <v>0</v>
      </c>
      <c r="AD17" s="48">
        <f>Expenses!AD28</f>
        <v>0</v>
      </c>
      <c r="AE17" s="48">
        <f>Expenses!AE28</f>
        <v>0</v>
      </c>
      <c r="AF17" s="48">
        <f>Expenses!AF28</f>
        <v>0</v>
      </c>
      <c r="AG17" s="48">
        <f>Expenses!AG28</f>
        <v>0</v>
      </c>
      <c r="AH17" s="48">
        <f>Expenses!AH28</f>
        <v>0</v>
      </c>
      <c r="AI17" s="48">
        <f>Expenses!AI28</f>
        <v>0</v>
      </c>
      <c r="AJ17" s="48">
        <f>Expenses!AJ28</f>
        <v>0</v>
      </c>
      <c r="AK17" s="48">
        <f>Expenses!AK28</f>
        <v>0</v>
      </c>
      <c r="AL17" s="48">
        <f>Expenses!AL28</f>
        <v>0</v>
      </c>
      <c r="AM17" s="48">
        <f>Expenses!AM28</f>
        <v>0</v>
      </c>
      <c r="AN17" s="48">
        <f>Expenses!AN28</f>
        <v>0</v>
      </c>
      <c r="AO17" s="48">
        <f>Expenses!AO28</f>
        <v>0</v>
      </c>
      <c r="AP17" s="48">
        <f>Expenses!AP28</f>
        <v>0</v>
      </c>
      <c r="AQ17" s="48">
        <f>Expenses!AQ28</f>
        <v>0</v>
      </c>
      <c r="AR17" s="48">
        <f>Expenses!AR28</f>
        <v>0</v>
      </c>
      <c r="AS17" s="48">
        <f>Expenses!AS28</f>
        <v>0</v>
      </c>
      <c r="AT17" s="48">
        <f>Expenses!AT28</f>
        <v>0</v>
      </c>
      <c r="AU17" s="48">
        <f>Expenses!AU28</f>
        <v>0</v>
      </c>
      <c r="AV17" s="48">
        <f>Expenses!AV28</f>
        <v>0</v>
      </c>
      <c r="AW17" s="48">
        <f>Expenses!AW28</f>
        <v>0</v>
      </c>
      <c r="AX17" s="48">
        <f>Expenses!AX28</f>
        <v>0</v>
      </c>
      <c r="AY17" s="48">
        <f>Expenses!AY28</f>
        <v>0</v>
      </c>
      <c r="AZ17" s="48">
        <f>Expenses!AZ28</f>
        <v>0</v>
      </c>
      <c r="BA17" s="48">
        <f>Expenses!BA28</f>
        <v>0</v>
      </c>
      <c r="BB17" s="48">
        <f>Expenses!BB28</f>
        <v>0</v>
      </c>
      <c r="BC17" s="48">
        <f>Expenses!BC28</f>
        <v>0</v>
      </c>
      <c r="BD17" s="48">
        <f>Expenses!BD28</f>
        <v>0</v>
      </c>
      <c r="BE17" s="48">
        <f>Expenses!BE28</f>
        <v>0</v>
      </c>
      <c r="BF17" s="48">
        <f>Expenses!BF28</f>
        <v>0</v>
      </c>
      <c r="BG17" s="48">
        <f>Expenses!BG28</f>
        <v>0</v>
      </c>
      <c r="BH17" s="48">
        <f>Expenses!BH28</f>
        <v>0</v>
      </c>
      <c r="BI17" s="48">
        <f>Expenses!BI28</f>
        <v>0</v>
      </c>
    </row>
    <row r="18" spans="1:61" x14ac:dyDescent="0.25">
      <c r="A18" s="41" t="s">
        <v>237</v>
      </c>
      <c r="B18" s="49">
        <f t="shared" ref="B18:AG18" si="10">B16-B17</f>
        <v>0</v>
      </c>
      <c r="C18" s="49">
        <f t="shared" si="10"/>
        <v>0</v>
      </c>
      <c r="D18" s="49">
        <f t="shared" si="10"/>
        <v>0</v>
      </c>
      <c r="E18" s="49">
        <f t="shared" si="10"/>
        <v>0</v>
      </c>
      <c r="F18" s="49">
        <f t="shared" si="10"/>
        <v>0</v>
      </c>
      <c r="G18" s="49">
        <f t="shared" si="10"/>
        <v>0</v>
      </c>
      <c r="H18" s="49">
        <f t="shared" si="10"/>
        <v>0</v>
      </c>
      <c r="I18" s="49">
        <f t="shared" si="10"/>
        <v>0</v>
      </c>
      <c r="J18" s="49">
        <f t="shared" si="10"/>
        <v>0</v>
      </c>
      <c r="K18" s="49">
        <f t="shared" si="10"/>
        <v>0</v>
      </c>
      <c r="L18" s="49">
        <f t="shared" si="10"/>
        <v>0</v>
      </c>
      <c r="M18" s="49">
        <f t="shared" si="10"/>
        <v>0</v>
      </c>
      <c r="N18" s="49">
        <f t="shared" si="10"/>
        <v>0</v>
      </c>
      <c r="O18" s="49">
        <f t="shared" si="10"/>
        <v>0</v>
      </c>
      <c r="P18" s="49">
        <f t="shared" si="10"/>
        <v>0</v>
      </c>
      <c r="Q18" s="49">
        <f t="shared" si="10"/>
        <v>0</v>
      </c>
      <c r="R18" s="49">
        <f t="shared" si="10"/>
        <v>0</v>
      </c>
      <c r="S18" s="49">
        <f t="shared" si="10"/>
        <v>0</v>
      </c>
      <c r="T18" s="49">
        <f t="shared" si="10"/>
        <v>0</v>
      </c>
      <c r="U18" s="49">
        <f t="shared" si="10"/>
        <v>0</v>
      </c>
      <c r="V18" s="49">
        <f t="shared" si="10"/>
        <v>0</v>
      </c>
      <c r="W18" s="49">
        <f t="shared" si="10"/>
        <v>0</v>
      </c>
      <c r="X18" s="49">
        <f t="shared" si="10"/>
        <v>0</v>
      </c>
      <c r="Y18" s="49">
        <f t="shared" si="10"/>
        <v>0</v>
      </c>
      <c r="Z18" s="49">
        <f t="shared" si="10"/>
        <v>0</v>
      </c>
      <c r="AA18" s="49">
        <f t="shared" si="10"/>
        <v>0</v>
      </c>
      <c r="AB18" s="49">
        <f t="shared" si="10"/>
        <v>0</v>
      </c>
      <c r="AC18" s="49">
        <f t="shared" si="10"/>
        <v>0</v>
      </c>
      <c r="AD18" s="49">
        <f t="shared" si="10"/>
        <v>0</v>
      </c>
      <c r="AE18" s="49">
        <f t="shared" si="10"/>
        <v>0</v>
      </c>
      <c r="AF18" s="49">
        <f t="shared" si="10"/>
        <v>0</v>
      </c>
      <c r="AG18" s="49">
        <f t="shared" si="10"/>
        <v>0</v>
      </c>
      <c r="AH18" s="49">
        <f t="shared" ref="AH18:BM18" si="11">AH16-AH17</f>
        <v>0</v>
      </c>
      <c r="AI18" s="49">
        <f t="shared" si="11"/>
        <v>0</v>
      </c>
      <c r="AJ18" s="49">
        <f t="shared" si="11"/>
        <v>0</v>
      </c>
      <c r="AK18" s="49">
        <f t="shared" si="11"/>
        <v>0</v>
      </c>
      <c r="AL18" s="49">
        <f t="shared" si="11"/>
        <v>0</v>
      </c>
      <c r="AM18" s="49">
        <f t="shared" si="11"/>
        <v>0</v>
      </c>
      <c r="AN18" s="49">
        <f t="shared" si="11"/>
        <v>0</v>
      </c>
      <c r="AO18" s="49">
        <f t="shared" si="11"/>
        <v>0</v>
      </c>
      <c r="AP18" s="49">
        <f t="shared" si="11"/>
        <v>0</v>
      </c>
      <c r="AQ18" s="49">
        <f t="shared" si="11"/>
        <v>0</v>
      </c>
      <c r="AR18" s="49">
        <f t="shared" si="11"/>
        <v>0</v>
      </c>
      <c r="AS18" s="49">
        <f t="shared" si="11"/>
        <v>0</v>
      </c>
      <c r="AT18" s="49">
        <f t="shared" si="11"/>
        <v>0</v>
      </c>
      <c r="AU18" s="49">
        <f t="shared" si="11"/>
        <v>0</v>
      </c>
      <c r="AV18" s="49">
        <f t="shared" si="11"/>
        <v>0</v>
      </c>
      <c r="AW18" s="49">
        <f t="shared" si="11"/>
        <v>0</v>
      </c>
      <c r="AX18" s="49">
        <f t="shared" si="11"/>
        <v>0</v>
      </c>
      <c r="AY18" s="49">
        <f t="shared" si="11"/>
        <v>0</v>
      </c>
      <c r="AZ18" s="49">
        <f t="shared" si="11"/>
        <v>0</v>
      </c>
      <c r="BA18" s="49">
        <f t="shared" si="11"/>
        <v>0</v>
      </c>
      <c r="BB18" s="49">
        <f t="shared" si="11"/>
        <v>0</v>
      </c>
      <c r="BC18" s="49">
        <f t="shared" si="11"/>
        <v>0</v>
      </c>
      <c r="BD18" s="49">
        <f t="shared" si="11"/>
        <v>0</v>
      </c>
      <c r="BE18" s="49">
        <f t="shared" si="11"/>
        <v>0</v>
      </c>
      <c r="BF18" s="49">
        <f t="shared" si="11"/>
        <v>0</v>
      </c>
      <c r="BG18" s="49">
        <f t="shared" si="11"/>
        <v>0</v>
      </c>
      <c r="BH18" s="49">
        <f t="shared" si="11"/>
        <v>0</v>
      </c>
      <c r="BI18" s="49">
        <f t="shared" si="11"/>
        <v>0</v>
      </c>
    </row>
    <row r="19" spans="1:61" x14ac:dyDescent="0.25">
      <c r="A19" s="38" t="s">
        <v>238</v>
      </c>
      <c r="B19" s="46">
        <f>MAX(0,B18)*Assumptions!$D$44</f>
        <v>0</v>
      </c>
      <c r="C19" s="46">
        <f>MAX(0,C18)*Assumptions!$D$44</f>
        <v>0</v>
      </c>
      <c r="D19" s="46">
        <f>MAX(0,D18)*Assumptions!$D$44</f>
        <v>0</v>
      </c>
      <c r="E19" s="46">
        <f>MAX(0,E18)*Assumptions!$D$44</f>
        <v>0</v>
      </c>
      <c r="F19" s="46">
        <f>MAX(0,F18)*Assumptions!$D$44</f>
        <v>0</v>
      </c>
      <c r="G19" s="46">
        <f>MAX(0,G18)*Assumptions!$D$44</f>
        <v>0</v>
      </c>
      <c r="H19" s="46">
        <f>MAX(0,H18)*Assumptions!$D$44</f>
        <v>0</v>
      </c>
      <c r="I19" s="46">
        <f>MAX(0,I18)*Assumptions!$D$44</f>
        <v>0</v>
      </c>
      <c r="J19" s="46">
        <f>MAX(0,J18)*Assumptions!$D$44</f>
        <v>0</v>
      </c>
      <c r="K19" s="46">
        <f>MAX(0,K18)*Assumptions!$D$44</f>
        <v>0</v>
      </c>
      <c r="L19" s="46">
        <f>MAX(0,L18)*Assumptions!$D$44</f>
        <v>0</v>
      </c>
      <c r="M19" s="46">
        <f>MAX(0,M18)*Assumptions!$D$44</f>
        <v>0</v>
      </c>
      <c r="N19" s="46">
        <f>MAX(0,N18)*Assumptions!$D$44</f>
        <v>0</v>
      </c>
      <c r="O19" s="46">
        <f>MAX(0,O18)*Assumptions!$D$44</f>
        <v>0</v>
      </c>
      <c r="P19" s="46">
        <f>MAX(0,P18)*Assumptions!$D$44</f>
        <v>0</v>
      </c>
      <c r="Q19" s="46">
        <f>MAX(0,Q18)*Assumptions!$D$44</f>
        <v>0</v>
      </c>
      <c r="R19" s="46">
        <f>MAX(0,R18)*Assumptions!$D$44</f>
        <v>0</v>
      </c>
      <c r="S19" s="46">
        <f>MAX(0,S18)*Assumptions!$D$44</f>
        <v>0</v>
      </c>
      <c r="T19" s="46">
        <f>MAX(0,T18)*Assumptions!$D$44</f>
        <v>0</v>
      </c>
      <c r="U19" s="46">
        <f>MAX(0,U18)*Assumptions!$D$44</f>
        <v>0</v>
      </c>
      <c r="V19" s="46">
        <f>MAX(0,V18)*Assumptions!$D$44</f>
        <v>0</v>
      </c>
      <c r="W19" s="46">
        <f>MAX(0,W18)*Assumptions!$D$44</f>
        <v>0</v>
      </c>
      <c r="X19" s="46">
        <f>MAX(0,X18)*Assumptions!$D$44</f>
        <v>0</v>
      </c>
      <c r="Y19" s="46">
        <f>MAX(0,Y18)*Assumptions!$D$44</f>
        <v>0</v>
      </c>
      <c r="Z19" s="46">
        <f>MAX(0,Z18)*Assumptions!$D$44</f>
        <v>0</v>
      </c>
      <c r="AA19" s="46">
        <f>MAX(0,AA18)*Assumptions!$D$44</f>
        <v>0</v>
      </c>
      <c r="AB19" s="46">
        <f>MAX(0,AB18)*Assumptions!$D$44</f>
        <v>0</v>
      </c>
      <c r="AC19" s="46">
        <f>MAX(0,AC18)*Assumptions!$D$44</f>
        <v>0</v>
      </c>
      <c r="AD19" s="46">
        <f>MAX(0,AD18)*Assumptions!$D$44</f>
        <v>0</v>
      </c>
      <c r="AE19" s="46">
        <f>MAX(0,AE18)*Assumptions!$D$44</f>
        <v>0</v>
      </c>
      <c r="AF19" s="46">
        <f>MAX(0,AF18)*Assumptions!$D$44</f>
        <v>0</v>
      </c>
      <c r="AG19" s="46">
        <f>MAX(0,AG18)*Assumptions!$D$44</f>
        <v>0</v>
      </c>
      <c r="AH19" s="46">
        <f>MAX(0,AH18)*Assumptions!$D$44</f>
        <v>0</v>
      </c>
      <c r="AI19" s="46">
        <f>MAX(0,AI18)*Assumptions!$D$44</f>
        <v>0</v>
      </c>
      <c r="AJ19" s="46">
        <f>MAX(0,AJ18)*Assumptions!$D$44</f>
        <v>0</v>
      </c>
      <c r="AK19" s="46">
        <f>MAX(0,AK18)*Assumptions!$D$44</f>
        <v>0</v>
      </c>
      <c r="AL19" s="46">
        <f>MAX(0,AL18)*Assumptions!$D$44</f>
        <v>0</v>
      </c>
      <c r="AM19" s="46">
        <f>MAX(0,AM18)*Assumptions!$D$44</f>
        <v>0</v>
      </c>
      <c r="AN19" s="46">
        <f>MAX(0,AN18)*Assumptions!$D$44</f>
        <v>0</v>
      </c>
      <c r="AO19" s="46">
        <f>MAX(0,AO18)*Assumptions!$D$44</f>
        <v>0</v>
      </c>
      <c r="AP19" s="46">
        <f>MAX(0,AP18)*Assumptions!$D$44</f>
        <v>0</v>
      </c>
      <c r="AQ19" s="46">
        <f>MAX(0,AQ18)*Assumptions!$D$44</f>
        <v>0</v>
      </c>
      <c r="AR19" s="46">
        <f>MAX(0,AR18)*Assumptions!$D$44</f>
        <v>0</v>
      </c>
      <c r="AS19" s="46">
        <f>MAX(0,AS18)*Assumptions!$D$44</f>
        <v>0</v>
      </c>
      <c r="AT19" s="46">
        <f>MAX(0,AT18)*Assumptions!$D$44</f>
        <v>0</v>
      </c>
      <c r="AU19" s="46">
        <f>MAX(0,AU18)*Assumptions!$D$44</f>
        <v>0</v>
      </c>
      <c r="AV19" s="46">
        <f>MAX(0,AV18)*Assumptions!$D$44</f>
        <v>0</v>
      </c>
      <c r="AW19" s="46">
        <f>MAX(0,AW18)*Assumptions!$D$44</f>
        <v>0</v>
      </c>
      <c r="AX19" s="46">
        <f>MAX(0,AX18)*Assumptions!$D$44</f>
        <v>0</v>
      </c>
      <c r="AY19" s="46">
        <f>MAX(0,AY18)*Assumptions!$D$44</f>
        <v>0</v>
      </c>
      <c r="AZ19" s="46">
        <f>MAX(0,AZ18)*Assumptions!$D$44</f>
        <v>0</v>
      </c>
      <c r="BA19" s="46">
        <f>MAX(0,BA18)*Assumptions!$D$44</f>
        <v>0</v>
      </c>
      <c r="BB19" s="46">
        <f>MAX(0,BB18)*Assumptions!$D$44</f>
        <v>0</v>
      </c>
      <c r="BC19" s="46">
        <f>MAX(0,BC18)*Assumptions!$D$44</f>
        <v>0</v>
      </c>
      <c r="BD19" s="46">
        <f>MAX(0,BD18)*Assumptions!$D$44</f>
        <v>0</v>
      </c>
      <c r="BE19" s="46">
        <f>MAX(0,BE18)*Assumptions!$D$44</f>
        <v>0</v>
      </c>
      <c r="BF19" s="46">
        <f>MAX(0,BF18)*Assumptions!$D$44</f>
        <v>0</v>
      </c>
      <c r="BG19" s="46">
        <f>MAX(0,BG18)*Assumptions!$D$44</f>
        <v>0</v>
      </c>
      <c r="BH19" s="46">
        <f>MAX(0,BH18)*Assumptions!$D$44</f>
        <v>0</v>
      </c>
      <c r="BI19" s="46">
        <f>MAX(0,BI18)*Assumptions!$D$44</f>
        <v>0</v>
      </c>
    </row>
    <row r="20" spans="1:61" x14ac:dyDescent="0.25">
      <c r="A20" s="43" t="s">
        <v>239</v>
      </c>
      <c r="B20" s="47">
        <f t="shared" ref="B20:AG20" si="12">B18-B19</f>
        <v>0</v>
      </c>
      <c r="C20" s="47">
        <f t="shared" si="12"/>
        <v>0</v>
      </c>
      <c r="D20" s="47">
        <f t="shared" si="12"/>
        <v>0</v>
      </c>
      <c r="E20" s="47">
        <f t="shared" si="12"/>
        <v>0</v>
      </c>
      <c r="F20" s="47">
        <f t="shared" si="12"/>
        <v>0</v>
      </c>
      <c r="G20" s="47">
        <f t="shared" si="12"/>
        <v>0</v>
      </c>
      <c r="H20" s="47">
        <f t="shared" si="12"/>
        <v>0</v>
      </c>
      <c r="I20" s="47">
        <f t="shared" si="12"/>
        <v>0</v>
      </c>
      <c r="J20" s="47">
        <f t="shared" si="12"/>
        <v>0</v>
      </c>
      <c r="K20" s="47">
        <f t="shared" si="12"/>
        <v>0</v>
      </c>
      <c r="L20" s="47">
        <f t="shared" si="12"/>
        <v>0</v>
      </c>
      <c r="M20" s="47">
        <f t="shared" si="12"/>
        <v>0</v>
      </c>
      <c r="N20" s="47">
        <f t="shared" si="12"/>
        <v>0</v>
      </c>
      <c r="O20" s="47">
        <f t="shared" si="12"/>
        <v>0</v>
      </c>
      <c r="P20" s="47">
        <f t="shared" si="12"/>
        <v>0</v>
      </c>
      <c r="Q20" s="47">
        <f t="shared" si="12"/>
        <v>0</v>
      </c>
      <c r="R20" s="47">
        <f t="shared" si="12"/>
        <v>0</v>
      </c>
      <c r="S20" s="47">
        <f t="shared" si="12"/>
        <v>0</v>
      </c>
      <c r="T20" s="47">
        <f t="shared" si="12"/>
        <v>0</v>
      </c>
      <c r="U20" s="47">
        <f t="shared" si="12"/>
        <v>0</v>
      </c>
      <c r="V20" s="47">
        <f t="shared" si="12"/>
        <v>0</v>
      </c>
      <c r="W20" s="47">
        <f t="shared" si="12"/>
        <v>0</v>
      </c>
      <c r="X20" s="47">
        <f t="shared" si="12"/>
        <v>0</v>
      </c>
      <c r="Y20" s="47">
        <f t="shared" si="12"/>
        <v>0</v>
      </c>
      <c r="Z20" s="47">
        <f t="shared" si="12"/>
        <v>0</v>
      </c>
      <c r="AA20" s="47">
        <f t="shared" si="12"/>
        <v>0</v>
      </c>
      <c r="AB20" s="47">
        <f t="shared" si="12"/>
        <v>0</v>
      </c>
      <c r="AC20" s="47">
        <f t="shared" si="12"/>
        <v>0</v>
      </c>
      <c r="AD20" s="47">
        <f t="shared" si="12"/>
        <v>0</v>
      </c>
      <c r="AE20" s="47">
        <f t="shared" si="12"/>
        <v>0</v>
      </c>
      <c r="AF20" s="47">
        <f t="shared" si="12"/>
        <v>0</v>
      </c>
      <c r="AG20" s="47">
        <f t="shared" si="12"/>
        <v>0</v>
      </c>
      <c r="AH20" s="47">
        <f t="shared" ref="AH20:BM20" si="13">AH18-AH19</f>
        <v>0</v>
      </c>
      <c r="AI20" s="47">
        <f t="shared" si="13"/>
        <v>0</v>
      </c>
      <c r="AJ20" s="47">
        <f t="shared" si="13"/>
        <v>0</v>
      </c>
      <c r="AK20" s="47">
        <f t="shared" si="13"/>
        <v>0</v>
      </c>
      <c r="AL20" s="47">
        <f t="shared" si="13"/>
        <v>0</v>
      </c>
      <c r="AM20" s="47">
        <f t="shared" si="13"/>
        <v>0</v>
      </c>
      <c r="AN20" s="47">
        <f t="shared" si="13"/>
        <v>0</v>
      </c>
      <c r="AO20" s="47">
        <f t="shared" si="13"/>
        <v>0</v>
      </c>
      <c r="AP20" s="47">
        <f t="shared" si="13"/>
        <v>0</v>
      </c>
      <c r="AQ20" s="47">
        <f t="shared" si="13"/>
        <v>0</v>
      </c>
      <c r="AR20" s="47">
        <f t="shared" si="13"/>
        <v>0</v>
      </c>
      <c r="AS20" s="47">
        <f t="shared" si="13"/>
        <v>0</v>
      </c>
      <c r="AT20" s="47">
        <f t="shared" si="13"/>
        <v>0</v>
      </c>
      <c r="AU20" s="47">
        <f t="shared" si="13"/>
        <v>0</v>
      </c>
      <c r="AV20" s="47">
        <f t="shared" si="13"/>
        <v>0</v>
      </c>
      <c r="AW20" s="47">
        <f t="shared" si="13"/>
        <v>0</v>
      </c>
      <c r="AX20" s="47">
        <f t="shared" si="13"/>
        <v>0</v>
      </c>
      <c r="AY20" s="47">
        <f t="shared" si="13"/>
        <v>0</v>
      </c>
      <c r="AZ20" s="47">
        <f t="shared" si="13"/>
        <v>0</v>
      </c>
      <c r="BA20" s="47">
        <f t="shared" si="13"/>
        <v>0</v>
      </c>
      <c r="BB20" s="47">
        <f t="shared" si="13"/>
        <v>0</v>
      </c>
      <c r="BC20" s="47">
        <f t="shared" si="13"/>
        <v>0</v>
      </c>
      <c r="BD20" s="47">
        <f t="shared" si="13"/>
        <v>0</v>
      </c>
      <c r="BE20" s="47">
        <f t="shared" si="13"/>
        <v>0</v>
      </c>
      <c r="BF20" s="47">
        <f t="shared" si="13"/>
        <v>0</v>
      </c>
      <c r="BG20" s="47">
        <f t="shared" si="13"/>
        <v>0</v>
      </c>
      <c r="BH20" s="47">
        <f t="shared" si="13"/>
        <v>0</v>
      </c>
      <c r="BI20" s="47">
        <f t="shared" si="13"/>
        <v>0</v>
      </c>
    </row>
    <row r="21" spans="1:61" x14ac:dyDescent="0.25">
      <c r="A21" s="38" t="s">
        <v>240</v>
      </c>
      <c r="B21" s="52">
        <f t="shared" ref="B21:AG21" si="14">IFERROR(B20/B8,0)</f>
        <v>0</v>
      </c>
      <c r="C21" s="52">
        <f t="shared" si="14"/>
        <v>0</v>
      </c>
      <c r="D21" s="52">
        <f t="shared" si="14"/>
        <v>0</v>
      </c>
      <c r="E21" s="52">
        <f t="shared" si="14"/>
        <v>0</v>
      </c>
      <c r="F21" s="52">
        <f t="shared" si="14"/>
        <v>0</v>
      </c>
      <c r="G21" s="52">
        <f t="shared" si="14"/>
        <v>0</v>
      </c>
      <c r="H21" s="52">
        <f t="shared" si="14"/>
        <v>0</v>
      </c>
      <c r="I21" s="52">
        <f t="shared" si="14"/>
        <v>0</v>
      </c>
      <c r="J21" s="52">
        <f t="shared" si="14"/>
        <v>0</v>
      </c>
      <c r="K21" s="52">
        <f t="shared" si="14"/>
        <v>0</v>
      </c>
      <c r="L21" s="52">
        <f t="shared" si="14"/>
        <v>0</v>
      </c>
      <c r="M21" s="52">
        <f t="shared" si="14"/>
        <v>0</v>
      </c>
      <c r="N21" s="52">
        <f t="shared" si="14"/>
        <v>0</v>
      </c>
      <c r="O21" s="52">
        <f t="shared" si="14"/>
        <v>0</v>
      </c>
      <c r="P21" s="52">
        <f t="shared" si="14"/>
        <v>0</v>
      </c>
      <c r="Q21" s="52">
        <f t="shared" si="14"/>
        <v>0</v>
      </c>
      <c r="R21" s="52">
        <f t="shared" si="14"/>
        <v>0</v>
      </c>
      <c r="S21" s="52">
        <f t="shared" si="14"/>
        <v>0</v>
      </c>
      <c r="T21" s="52">
        <f t="shared" si="14"/>
        <v>0</v>
      </c>
      <c r="U21" s="52">
        <f t="shared" si="14"/>
        <v>0</v>
      </c>
      <c r="V21" s="52">
        <f t="shared" si="14"/>
        <v>0</v>
      </c>
      <c r="W21" s="52">
        <f t="shared" si="14"/>
        <v>0</v>
      </c>
      <c r="X21" s="52">
        <f t="shared" si="14"/>
        <v>0</v>
      </c>
      <c r="Y21" s="52">
        <f t="shared" si="14"/>
        <v>0</v>
      </c>
      <c r="Z21" s="52">
        <f t="shared" si="14"/>
        <v>0</v>
      </c>
      <c r="AA21" s="52">
        <f t="shared" si="14"/>
        <v>0</v>
      </c>
      <c r="AB21" s="52">
        <f t="shared" si="14"/>
        <v>0</v>
      </c>
      <c r="AC21" s="52">
        <f t="shared" si="14"/>
        <v>0</v>
      </c>
      <c r="AD21" s="52">
        <f t="shared" si="14"/>
        <v>0</v>
      </c>
      <c r="AE21" s="52">
        <f t="shared" si="14"/>
        <v>0</v>
      </c>
      <c r="AF21" s="52">
        <f t="shared" si="14"/>
        <v>0</v>
      </c>
      <c r="AG21" s="52">
        <f t="shared" si="14"/>
        <v>0</v>
      </c>
      <c r="AH21" s="52">
        <f t="shared" ref="AH21:BM21" si="15">IFERROR(AH20/AH8,0)</f>
        <v>0</v>
      </c>
      <c r="AI21" s="52">
        <f t="shared" si="15"/>
        <v>0</v>
      </c>
      <c r="AJ21" s="52">
        <f t="shared" si="15"/>
        <v>0</v>
      </c>
      <c r="AK21" s="52">
        <f t="shared" si="15"/>
        <v>0</v>
      </c>
      <c r="AL21" s="52">
        <f t="shared" si="15"/>
        <v>0</v>
      </c>
      <c r="AM21" s="52">
        <f t="shared" si="15"/>
        <v>0</v>
      </c>
      <c r="AN21" s="52">
        <f t="shared" si="15"/>
        <v>0</v>
      </c>
      <c r="AO21" s="52">
        <f t="shared" si="15"/>
        <v>0</v>
      </c>
      <c r="AP21" s="52">
        <f t="shared" si="15"/>
        <v>0</v>
      </c>
      <c r="AQ21" s="52">
        <f t="shared" si="15"/>
        <v>0</v>
      </c>
      <c r="AR21" s="52">
        <f t="shared" si="15"/>
        <v>0</v>
      </c>
      <c r="AS21" s="52">
        <f t="shared" si="15"/>
        <v>0</v>
      </c>
      <c r="AT21" s="52">
        <f t="shared" si="15"/>
        <v>0</v>
      </c>
      <c r="AU21" s="52">
        <f t="shared" si="15"/>
        <v>0</v>
      </c>
      <c r="AV21" s="52">
        <f t="shared" si="15"/>
        <v>0</v>
      </c>
      <c r="AW21" s="52">
        <f t="shared" si="15"/>
        <v>0</v>
      </c>
      <c r="AX21" s="52">
        <f t="shared" si="15"/>
        <v>0</v>
      </c>
      <c r="AY21" s="52">
        <f t="shared" si="15"/>
        <v>0</v>
      </c>
      <c r="AZ21" s="52">
        <f t="shared" si="15"/>
        <v>0</v>
      </c>
      <c r="BA21" s="52">
        <f t="shared" si="15"/>
        <v>0</v>
      </c>
      <c r="BB21" s="52">
        <f t="shared" si="15"/>
        <v>0</v>
      </c>
      <c r="BC21" s="52">
        <f t="shared" si="15"/>
        <v>0</v>
      </c>
      <c r="BD21" s="52">
        <f t="shared" si="15"/>
        <v>0</v>
      </c>
      <c r="BE21" s="52">
        <f t="shared" si="15"/>
        <v>0</v>
      </c>
      <c r="BF21" s="52">
        <f t="shared" si="15"/>
        <v>0</v>
      </c>
      <c r="BG21" s="52">
        <f t="shared" si="15"/>
        <v>0</v>
      </c>
      <c r="BH21" s="52">
        <f t="shared" si="15"/>
        <v>0</v>
      </c>
      <c r="BI21" s="52">
        <f t="shared" si="15"/>
        <v>0</v>
      </c>
    </row>
    <row r="22" spans="1:61" x14ac:dyDescent="0.25">
      <c r="A22" s="38" t="s">
        <v>241</v>
      </c>
      <c r="B22" s="46">
        <f>B20</f>
        <v>0</v>
      </c>
      <c r="C22" s="46">
        <f t="shared" ref="C22:AH22" si="16">B22+C20</f>
        <v>0</v>
      </c>
      <c r="D22" s="46">
        <f t="shared" si="16"/>
        <v>0</v>
      </c>
      <c r="E22" s="46">
        <f t="shared" si="16"/>
        <v>0</v>
      </c>
      <c r="F22" s="46">
        <f t="shared" si="16"/>
        <v>0</v>
      </c>
      <c r="G22" s="46">
        <f t="shared" si="16"/>
        <v>0</v>
      </c>
      <c r="H22" s="46">
        <f t="shared" si="16"/>
        <v>0</v>
      </c>
      <c r="I22" s="46">
        <f t="shared" si="16"/>
        <v>0</v>
      </c>
      <c r="J22" s="46">
        <f t="shared" si="16"/>
        <v>0</v>
      </c>
      <c r="K22" s="46">
        <f t="shared" si="16"/>
        <v>0</v>
      </c>
      <c r="L22" s="46">
        <f t="shared" si="16"/>
        <v>0</v>
      </c>
      <c r="M22" s="46">
        <f t="shared" si="16"/>
        <v>0</v>
      </c>
      <c r="N22" s="46">
        <f t="shared" si="16"/>
        <v>0</v>
      </c>
      <c r="O22" s="46">
        <f t="shared" si="16"/>
        <v>0</v>
      </c>
      <c r="P22" s="46">
        <f t="shared" si="16"/>
        <v>0</v>
      </c>
      <c r="Q22" s="46">
        <f t="shared" si="16"/>
        <v>0</v>
      </c>
      <c r="R22" s="46">
        <f t="shared" si="16"/>
        <v>0</v>
      </c>
      <c r="S22" s="46">
        <f t="shared" si="16"/>
        <v>0</v>
      </c>
      <c r="T22" s="46">
        <f t="shared" si="16"/>
        <v>0</v>
      </c>
      <c r="U22" s="46">
        <f t="shared" si="16"/>
        <v>0</v>
      </c>
      <c r="V22" s="46">
        <f t="shared" si="16"/>
        <v>0</v>
      </c>
      <c r="W22" s="46">
        <f t="shared" si="16"/>
        <v>0</v>
      </c>
      <c r="X22" s="46">
        <f t="shared" si="16"/>
        <v>0</v>
      </c>
      <c r="Y22" s="46">
        <f t="shared" si="16"/>
        <v>0</v>
      </c>
      <c r="Z22" s="46">
        <f t="shared" si="16"/>
        <v>0</v>
      </c>
      <c r="AA22" s="46">
        <f t="shared" si="16"/>
        <v>0</v>
      </c>
      <c r="AB22" s="46">
        <f t="shared" si="16"/>
        <v>0</v>
      </c>
      <c r="AC22" s="46">
        <f t="shared" si="16"/>
        <v>0</v>
      </c>
      <c r="AD22" s="46">
        <f t="shared" si="16"/>
        <v>0</v>
      </c>
      <c r="AE22" s="46">
        <f t="shared" si="16"/>
        <v>0</v>
      </c>
      <c r="AF22" s="46">
        <f t="shared" si="16"/>
        <v>0</v>
      </c>
      <c r="AG22" s="46">
        <f t="shared" si="16"/>
        <v>0</v>
      </c>
      <c r="AH22" s="46">
        <f t="shared" si="16"/>
        <v>0</v>
      </c>
      <c r="AI22" s="46">
        <f t="shared" ref="AI22:BI22" si="17">AH22+AI20</f>
        <v>0</v>
      </c>
      <c r="AJ22" s="46">
        <f t="shared" si="17"/>
        <v>0</v>
      </c>
      <c r="AK22" s="46">
        <f t="shared" si="17"/>
        <v>0</v>
      </c>
      <c r="AL22" s="46">
        <f t="shared" si="17"/>
        <v>0</v>
      </c>
      <c r="AM22" s="46">
        <f t="shared" si="17"/>
        <v>0</v>
      </c>
      <c r="AN22" s="46">
        <f t="shared" si="17"/>
        <v>0</v>
      </c>
      <c r="AO22" s="46">
        <f t="shared" si="17"/>
        <v>0</v>
      </c>
      <c r="AP22" s="46">
        <f t="shared" si="17"/>
        <v>0</v>
      </c>
      <c r="AQ22" s="46">
        <f t="shared" si="17"/>
        <v>0</v>
      </c>
      <c r="AR22" s="46">
        <f t="shared" si="17"/>
        <v>0</v>
      </c>
      <c r="AS22" s="46">
        <f t="shared" si="17"/>
        <v>0</v>
      </c>
      <c r="AT22" s="46">
        <f t="shared" si="17"/>
        <v>0</v>
      </c>
      <c r="AU22" s="46">
        <f t="shared" si="17"/>
        <v>0</v>
      </c>
      <c r="AV22" s="46">
        <f t="shared" si="17"/>
        <v>0</v>
      </c>
      <c r="AW22" s="46">
        <f t="shared" si="17"/>
        <v>0</v>
      </c>
      <c r="AX22" s="46">
        <f t="shared" si="17"/>
        <v>0</v>
      </c>
      <c r="AY22" s="46">
        <f t="shared" si="17"/>
        <v>0</v>
      </c>
      <c r="AZ22" s="46">
        <f t="shared" si="17"/>
        <v>0</v>
      </c>
      <c r="BA22" s="46">
        <f t="shared" si="17"/>
        <v>0</v>
      </c>
      <c r="BB22" s="46">
        <f t="shared" si="17"/>
        <v>0</v>
      </c>
      <c r="BC22" s="46">
        <f t="shared" si="17"/>
        <v>0</v>
      </c>
      <c r="BD22" s="46">
        <f t="shared" si="17"/>
        <v>0</v>
      </c>
      <c r="BE22" s="46">
        <f t="shared" si="17"/>
        <v>0</v>
      </c>
      <c r="BF22" s="46">
        <f t="shared" si="17"/>
        <v>0</v>
      </c>
      <c r="BG22" s="46">
        <f t="shared" si="17"/>
        <v>0</v>
      </c>
      <c r="BH22" s="46">
        <f t="shared" si="17"/>
        <v>0</v>
      </c>
      <c r="BI22" s="46">
        <f t="shared" si="17"/>
        <v>0</v>
      </c>
    </row>
  </sheetData>
  <mergeCells count="8">
    <mergeCell ref="A7:BI7"/>
    <mergeCell ref="A1:BI1"/>
    <mergeCell ref="A2:BI2"/>
    <mergeCell ref="B4:M4"/>
    <mergeCell ref="N4:Y4"/>
    <mergeCell ref="Z4:AK4"/>
    <mergeCell ref="AL4:AW4"/>
    <mergeCell ref="AX4:BI4"/>
  </mergeCells>
  <pageMargins left="0.75" right="0.75" top="1" bottom="1" header="0.511811023622047" footer="0.511811023622047"/>
  <pageSetup paperSize="9" orientation="portrait" horizontalDpi="300" verticalDpi="300"/>
  <ignoredErrors>
    <ignoredError sqref="B19:BI19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5496"/>
  </sheetPr>
  <dimension ref="A1:BI24"/>
  <sheetViews>
    <sheetView showGridLines="0" tabSelected="1" zoomScaleNormal="100" workbookViewId="0">
      <selection sqref="A1:XFD1048576"/>
    </sheetView>
  </sheetViews>
  <sheetFormatPr defaultColWidth="8.7109375" defaultRowHeight="15" x14ac:dyDescent="0.25"/>
  <cols>
    <col min="1" max="1" width="38" customWidth="1"/>
    <col min="2" max="61" width="12" customWidth="1"/>
  </cols>
  <sheetData>
    <row r="1" spans="1:61" ht="33.75" customHeight="1" x14ac:dyDescent="0.25">
      <c r="A1" s="5" t="s">
        <v>242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</row>
    <row r="2" spans="1:61" ht="18" customHeight="1" x14ac:dyDescent="0.25">
      <c r="A2" s="4" t="s">
        <v>243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</row>
    <row r="4" spans="1:61" x14ac:dyDescent="0.25">
      <c r="A4" s="35"/>
      <c r="B4" s="3" t="s">
        <v>121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 t="s">
        <v>122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 t="s">
        <v>123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 t="s">
        <v>124</v>
      </c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 t="s">
        <v>125</v>
      </c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</row>
    <row r="5" spans="1:61" x14ac:dyDescent="0.25">
      <c r="A5" s="19" t="s">
        <v>126</v>
      </c>
      <c r="B5" s="20" t="s">
        <v>127</v>
      </c>
      <c r="C5" s="20" t="s">
        <v>128</v>
      </c>
      <c r="D5" s="20" t="s">
        <v>129</v>
      </c>
      <c r="E5" s="20" t="s">
        <v>130</v>
      </c>
      <c r="F5" s="20" t="s">
        <v>131</v>
      </c>
      <c r="G5" s="20" t="s">
        <v>132</v>
      </c>
      <c r="H5" s="20" t="s">
        <v>133</v>
      </c>
      <c r="I5" s="20" t="s">
        <v>134</v>
      </c>
      <c r="J5" s="20" t="s">
        <v>135</v>
      </c>
      <c r="K5" s="20" t="s">
        <v>136</v>
      </c>
      <c r="L5" s="20" t="s">
        <v>137</v>
      </c>
      <c r="M5" s="20" t="s">
        <v>138</v>
      </c>
      <c r="N5" s="20" t="s">
        <v>139</v>
      </c>
      <c r="O5" s="20" t="s">
        <v>140</v>
      </c>
      <c r="P5" s="20" t="s">
        <v>141</v>
      </c>
      <c r="Q5" s="20" t="s">
        <v>142</v>
      </c>
      <c r="R5" s="20" t="s">
        <v>143</v>
      </c>
      <c r="S5" s="20" t="s">
        <v>144</v>
      </c>
      <c r="T5" s="20" t="s">
        <v>145</v>
      </c>
      <c r="U5" s="20" t="s">
        <v>146</v>
      </c>
      <c r="V5" s="20" t="s">
        <v>147</v>
      </c>
      <c r="W5" s="20" t="s">
        <v>148</v>
      </c>
      <c r="X5" s="20" t="s">
        <v>149</v>
      </c>
      <c r="Y5" s="20" t="s">
        <v>150</v>
      </c>
      <c r="Z5" s="20" t="s">
        <v>151</v>
      </c>
      <c r="AA5" s="20" t="s">
        <v>152</v>
      </c>
      <c r="AB5" s="20" t="s">
        <v>153</v>
      </c>
      <c r="AC5" s="20" t="s">
        <v>154</v>
      </c>
      <c r="AD5" s="20" t="s">
        <v>155</v>
      </c>
      <c r="AE5" s="20" t="s">
        <v>156</v>
      </c>
      <c r="AF5" s="20" t="s">
        <v>157</v>
      </c>
      <c r="AG5" s="20" t="s">
        <v>158</v>
      </c>
      <c r="AH5" s="20" t="s">
        <v>159</v>
      </c>
      <c r="AI5" s="20" t="s">
        <v>160</v>
      </c>
      <c r="AJ5" s="20" t="s">
        <v>161</v>
      </c>
      <c r="AK5" s="20" t="s">
        <v>162</v>
      </c>
      <c r="AL5" s="20" t="s">
        <v>163</v>
      </c>
      <c r="AM5" s="20" t="s">
        <v>164</v>
      </c>
      <c r="AN5" s="20" t="s">
        <v>165</v>
      </c>
      <c r="AO5" s="20" t="s">
        <v>166</v>
      </c>
      <c r="AP5" s="20" t="s">
        <v>167</v>
      </c>
      <c r="AQ5" s="20" t="s">
        <v>168</v>
      </c>
      <c r="AR5" s="20" t="s">
        <v>169</v>
      </c>
      <c r="AS5" s="20" t="s">
        <v>170</v>
      </c>
      <c r="AT5" s="20" t="s">
        <v>171</v>
      </c>
      <c r="AU5" s="20" t="s">
        <v>172</v>
      </c>
      <c r="AV5" s="20" t="s">
        <v>173</v>
      </c>
      <c r="AW5" s="20" t="s">
        <v>174</v>
      </c>
      <c r="AX5" s="20" t="s">
        <v>175</v>
      </c>
      <c r="AY5" s="20" t="s">
        <v>176</v>
      </c>
      <c r="AZ5" s="20" t="s">
        <v>177</v>
      </c>
      <c r="BA5" s="20" t="s">
        <v>178</v>
      </c>
      <c r="BB5" s="20" t="s">
        <v>179</v>
      </c>
      <c r="BC5" s="20" t="s">
        <v>180</v>
      </c>
      <c r="BD5" s="20" t="s">
        <v>181</v>
      </c>
      <c r="BE5" s="20" t="s">
        <v>182</v>
      </c>
      <c r="BF5" s="20" t="s">
        <v>183</v>
      </c>
      <c r="BG5" s="20" t="s">
        <v>184</v>
      </c>
      <c r="BH5" s="20" t="s">
        <v>185</v>
      </c>
      <c r="BI5" s="20" t="s">
        <v>186</v>
      </c>
    </row>
    <row r="6" spans="1:61" x14ac:dyDescent="0.25">
      <c r="A6" s="36" t="s">
        <v>187</v>
      </c>
      <c r="B6" s="37">
        <f>IFERROR(EDATE(Assumptions!$D$9,0),"")</f>
        <v>0</v>
      </c>
      <c r="C6" s="37">
        <f>IFERROR(EDATE(Assumptions!$D$9,1),"")</f>
        <v>31</v>
      </c>
      <c r="D6" s="37">
        <f>IFERROR(EDATE(Assumptions!$D$9,2),"")</f>
        <v>60</v>
      </c>
      <c r="E6" s="37">
        <f>IFERROR(EDATE(Assumptions!$D$9,3),"")</f>
        <v>91</v>
      </c>
      <c r="F6" s="37">
        <f>IFERROR(EDATE(Assumptions!$D$9,4),"")</f>
        <v>121</v>
      </c>
      <c r="G6" s="37">
        <f>IFERROR(EDATE(Assumptions!$D$9,5),"")</f>
        <v>152</v>
      </c>
      <c r="H6" s="37">
        <f>IFERROR(EDATE(Assumptions!$D$9,6),"")</f>
        <v>182</v>
      </c>
      <c r="I6" s="37">
        <f>IFERROR(EDATE(Assumptions!$D$9,7),"")</f>
        <v>213</v>
      </c>
      <c r="J6" s="37">
        <f>IFERROR(EDATE(Assumptions!$D$9,8),"")</f>
        <v>244</v>
      </c>
      <c r="K6" s="37">
        <f>IFERROR(EDATE(Assumptions!$D$9,9),"")</f>
        <v>274</v>
      </c>
      <c r="L6" s="37">
        <f>IFERROR(EDATE(Assumptions!$D$9,10),"")</f>
        <v>305</v>
      </c>
      <c r="M6" s="37">
        <f>IFERROR(EDATE(Assumptions!$D$9,11),"")</f>
        <v>335</v>
      </c>
      <c r="N6" s="37">
        <f>IFERROR(EDATE(Assumptions!$D$9,12),"")</f>
        <v>366</v>
      </c>
      <c r="O6" s="37">
        <f>IFERROR(EDATE(Assumptions!$D$9,13),"")</f>
        <v>397</v>
      </c>
      <c r="P6" s="37">
        <f>IFERROR(EDATE(Assumptions!$D$9,14),"")</f>
        <v>425</v>
      </c>
      <c r="Q6" s="37">
        <f>IFERROR(EDATE(Assumptions!$D$9,15),"")</f>
        <v>456</v>
      </c>
      <c r="R6" s="37">
        <f>IFERROR(EDATE(Assumptions!$D$9,16),"")</f>
        <v>486</v>
      </c>
      <c r="S6" s="37">
        <f>IFERROR(EDATE(Assumptions!$D$9,17),"")</f>
        <v>517</v>
      </c>
      <c r="T6" s="37">
        <f>IFERROR(EDATE(Assumptions!$D$9,18),"")</f>
        <v>547</v>
      </c>
      <c r="U6" s="37">
        <f>IFERROR(EDATE(Assumptions!$D$9,19),"")</f>
        <v>578</v>
      </c>
      <c r="V6" s="37">
        <f>IFERROR(EDATE(Assumptions!$D$9,20),"")</f>
        <v>609</v>
      </c>
      <c r="W6" s="37">
        <f>IFERROR(EDATE(Assumptions!$D$9,21),"")</f>
        <v>639</v>
      </c>
      <c r="X6" s="37">
        <f>IFERROR(EDATE(Assumptions!$D$9,22),"")</f>
        <v>670</v>
      </c>
      <c r="Y6" s="37">
        <f>IFERROR(EDATE(Assumptions!$D$9,23),"")</f>
        <v>700</v>
      </c>
      <c r="Z6" s="37">
        <f>IFERROR(EDATE(Assumptions!$D$9,24),"")</f>
        <v>731</v>
      </c>
      <c r="AA6" s="37">
        <f>IFERROR(EDATE(Assumptions!$D$9,25),"")</f>
        <v>762</v>
      </c>
      <c r="AB6" s="37">
        <f>IFERROR(EDATE(Assumptions!$D$9,26),"")</f>
        <v>790</v>
      </c>
      <c r="AC6" s="37">
        <f>IFERROR(EDATE(Assumptions!$D$9,27),"")</f>
        <v>821</v>
      </c>
      <c r="AD6" s="37">
        <f>IFERROR(EDATE(Assumptions!$D$9,28),"")</f>
        <v>851</v>
      </c>
      <c r="AE6" s="37">
        <f>IFERROR(EDATE(Assumptions!$D$9,29),"")</f>
        <v>882</v>
      </c>
      <c r="AF6" s="37">
        <f>IFERROR(EDATE(Assumptions!$D$9,30),"")</f>
        <v>912</v>
      </c>
      <c r="AG6" s="37">
        <f>IFERROR(EDATE(Assumptions!$D$9,31),"")</f>
        <v>943</v>
      </c>
      <c r="AH6" s="37">
        <f>IFERROR(EDATE(Assumptions!$D$9,32),"")</f>
        <v>974</v>
      </c>
      <c r="AI6" s="37">
        <f>IFERROR(EDATE(Assumptions!$D$9,33),"")</f>
        <v>1004</v>
      </c>
      <c r="AJ6" s="37">
        <f>IFERROR(EDATE(Assumptions!$D$9,34),"")</f>
        <v>1035</v>
      </c>
      <c r="AK6" s="37">
        <f>IFERROR(EDATE(Assumptions!$D$9,35),"")</f>
        <v>1065</v>
      </c>
      <c r="AL6" s="37">
        <f>IFERROR(EDATE(Assumptions!$D$9,36),"")</f>
        <v>1096</v>
      </c>
      <c r="AM6" s="37">
        <f>IFERROR(EDATE(Assumptions!$D$9,37),"")</f>
        <v>1127</v>
      </c>
      <c r="AN6" s="37">
        <f>IFERROR(EDATE(Assumptions!$D$9,38),"")</f>
        <v>1155</v>
      </c>
      <c r="AO6" s="37">
        <f>IFERROR(EDATE(Assumptions!$D$9,39),"")</f>
        <v>1186</v>
      </c>
      <c r="AP6" s="37">
        <f>IFERROR(EDATE(Assumptions!$D$9,40),"")</f>
        <v>1216</v>
      </c>
      <c r="AQ6" s="37">
        <f>IFERROR(EDATE(Assumptions!$D$9,41),"")</f>
        <v>1247</v>
      </c>
      <c r="AR6" s="37">
        <f>IFERROR(EDATE(Assumptions!$D$9,42),"")</f>
        <v>1277</v>
      </c>
      <c r="AS6" s="37">
        <f>IFERROR(EDATE(Assumptions!$D$9,43),"")</f>
        <v>1308</v>
      </c>
      <c r="AT6" s="37">
        <f>IFERROR(EDATE(Assumptions!$D$9,44),"")</f>
        <v>1339</v>
      </c>
      <c r="AU6" s="37">
        <f>IFERROR(EDATE(Assumptions!$D$9,45),"")</f>
        <v>1369</v>
      </c>
      <c r="AV6" s="37">
        <f>IFERROR(EDATE(Assumptions!$D$9,46),"")</f>
        <v>1400</v>
      </c>
      <c r="AW6" s="37">
        <f>IFERROR(EDATE(Assumptions!$D$9,47),"")</f>
        <v>1430</v>
      </c>
      <c r="AX6" s="37">
        <f>IFERROR(EDATE(Assumptions!$D$9,48),"")</f>
        <v>1461</v>
      </c>
      <c r="AY6" s="37">
        <f>IFERROR(EDATE(Assumptions!$D$9,49),"")</f>
        <v>1492</v>
      </c>
      <c r="AZ6" s="37">
        <f>IFERROR(EDATE(Assumptions!$D$9,50),"")</f>
        <v>1521</v>
      </c>
      <c r="BA6" s="37">
        <f>IFERROR(EDATE(Assumptions!$D$9,51),"")</f>
        <v>1552</v>
      </c>
      <c r="BB6" s="37">
        <f>IFERROR(EDATE(Assumptions!$D$9,52),"")</f>
        <v>1582</v>
      </c>
      <c r="BC6" s="37">
        <f>IFERROR(EDATE(Assumptions!$D$9,53),"")</f>
        <v>1613</v>
      </c>
      <c r="BD6" s="37">
        <f>IFERROR(EDATE(Assumptions!$D$9,54),"")</f>
        <v>1643</v>
      </c>
      <c r="BE6" s="37">
        <f>IFERROR(EDATE(Assumptions!$D$9,55),"")</f>
        <v>1674</v>
      </c>
      <c r="BF6" s="37">
        <f>IFERROR(EDATE(Assumptions!$D$9,56),"")</f>
        <v>1705</v>
      </c>
      <c r="BG6" s="37">
        <f>IFERROR(EDATE(Assumptions!$D$9,57),"")</f>
        <v>1735</v>
      </c>
      <c r="BH6" s="37">
        <f>IFERROR(EDATE(Assumptions!$D$9,58),"")</f>
        <v>1766</v>
      </c>
      <c r="BI6" s="37">
        <f>IFERROR(EDATE(Assumptions!$D$9,59),"")</f>
        <v>1796</v>
      </c>
    </row>
    <row r="7" spans="1:61" ht="18" customHeight="1" x14ac:dyDescent="0.25">
      <c r="A7" s="9" t="s">
        <v>244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</row>
    <row r="8" spans="1:61" x14ac:dyDescent="0.25">
      <c r="A8" s="38" t="s">
        <v>245</v>
      </c>
      <c r="B8" s="48">
        <f>'P&amp;L'!B20</f>
        <v>0</v>
      </c>
      <c r="C8" s="48">
        <f>'P&amp;L'!C20</f>
        <v>0</v>
      </c>
      <c r="D8" s="48">
        <f>'P&amp;L'!D20</f>
        <v>0</v>
      </c>
      <c r="E8" s="48">
        <f>'P&amp;L'!E20</f>
        <v>0</v>
      </c>
      <c r="F8" s="48">
        <f>'P&amp;L'!F20</f>
        <v>0</v>
      </c>
      <c r="G8" s="48">
        <f>'P&amp;L'!G20</f>
        <v>0</v>
      </c>
      <c r="H8" s="48">
        <f>'P&amp;L'!H20</f>
        <v>0</v>
      </c>
      <c r="I8" s="48">
        <f>'P&amp;L'!I20</f>
        <v>0</v>
      </c>
      <c r="J8" s="48">
        <f>'P&amp;L'!J20</f>
        <v>0</v>
      </c>
      <c r="K8" s="48">
        <f>'P&amp;L'!K20</f>
        <v>0</v>
      </c>
      <c r="L8" s="48">
        <f>'P&amp;L'!L20</f>
        <v>0</v>
      </c>
      <c r="M8" s="48">
        <f>'P&amp;L'!M20</f>
        <v>0</v>
      </c>
      <c r="N8" s="48">
        <f>'P&amp;L'!N20</f>
        <v>0</v>
      </c>
      <c r="O8" s="48">
        <f>'P&amp;L'!O20</f>
        <v>0</v>
      </c>
      <c r="P8" s="48">
        <f>'P&amp;L'!P20</f>
        <v>0</v>
      </c>
      <c r="Q8" s="48">
        <f>'P&amp;L'!Q20</f>
        <v>0</v>
      </c>
      <c r="R8" s="48">
        <f>'P&amp;L'!R20</f>
        <v>0</v>
      </c>
      <c r="S8" s="48">
        <f>'P&amp;L'!S20</f>
        <v>0</v>
      </c>
      <c r="T8" s="48">
        <f>'P&amp;L'!T20</f>
        <v>0</v>
      </c>
      <c r="U8" s="48">
        <f>'P&amp;L'!U20</f>
        <v>0</v>
      </c>
      <c r="V8" s="48">
        <f>'P&amp;L'!V20</f>
        <v>0</v>
      </c>
      <c r="W8" s="48">
        <f>'P&amp;L'!W20</f>
        <v>0</v>
      </c>
      <c r="X8" s="48">
        <f>'P&amp;L'!X20</f>
        <v>0</v>
      </c>
      <c r="Y8" s="48">
        <f>'P&amp;L'!Y20</f>
        <v>0</v>
      </c>
      <c r="Z8" s="48">
        <f>'P&amp;L'!Z20</f>
        <v>0</v>
      </c>
      <c r="AA8" s="48">
        <f>'P&amp;L'!AA20</f>
        <v>0</v>
      </c>
      <c r="AB8" s="48">
        <f>'P&amp;L'!AB20</f>
        <v>0</v>
      </c>
      <c r="AC8" s="48">
        <f>'P&amp;L'!AC20</f>
        <v>0</v>
      </c>
      <c r="AD8" s="48">
        <f>'P&amp;L'!AD20</f>
        <v>0</v>
      </c>
      <c r="AE8" s="48">
        <f>'P&amp;L'!AE20</f>
        <v>0</v>
      </c>
      <c r="AF8" s="48">
        <f>'P&amp;L'!AF20</f>
        <v>0</v>
      </c>
      <c r="AG8" s="48">
        <f>'P&amp;L'!AG20</f>
        <v>0</v>
      </c>
      <c r="AH8" s="48">
        <f>'P&amp;L'!AH20</f>
        <v>0</v>
      </c>
      <c r="AI8" s="48">
        <f>'P&amp;L'!AI20</f>
        <v>0</v>
      </c>
      <c r="AJ8" s="48">
        <f>'P&amp;L'!AJ20</f>
        <v>0</v>
      </c>
      <c r="AK8" s="48">
        <f>'P&amp;L'!AK20</f>
        <v>0</v>
      </c>
      <c r="AL8" s="48">
        <f>'P&amp;L'!AL20</f>
        <v>0</v>
      </c>
      <c r="AM8" s="48">
        <f>'P&amp;L'!AM20</f>
        <v>0</v>
      </c>
      <c r="AN8" s="48">
        <f>'P&amp;L'!AN20</f>
        <v>0</v>
      </c>
      <c r="AO8" s="48">
        <f>'P&amp;L'!AO20</f>
        <v>0</v>
      </c>
      <c r="AP8" s="48">
        <f>'P&amp;L'!AP20</f>
        <v>0</v>
      </c>
      <c r="AQ8" s="48">
        <f>'P&amp;L'!AQ20</f>
        <v>0</v>
      </c>
      <c r="AR8" s="48">
        <f>'P&amp;L'!AR20</f>
        <v>0</v>
      </c>
      <c r="AS8" s="48">
        <f>'P&amp;L'!AS20</f>
        <v>0</v>
      </c>
      <c r="AT8" s="48">
        <f>'P&amp;L'!AT20</f>
        <v>0</v>
      </c>
      <c r="AU8" s="48">
        <f>'P&amp;L'!AU20</f>
        <v>0</v>
      </c>
      <c r="AV8" s="48">
        <f>'P&amp;L'!AV20</f>
        <v>0</v>
      </c>
      <c r="AW8" s="48">
        <f>'P&amp;L'!AW20</f>
        <v>0</v>
      </c>
      <c r="AX8" s="48">
        <f>'P&amp;L'!AX20</f>
        <v>0</v>
      </c>
      <c r="AY8" s="48">
        <f>'P&amp;L'!AY20</f>
        <v>0</v>
      </c>
      <c r="AZ8" s="48">
        <f>'P&amp;L'!AZ20</f>
        <v>0</v>
      </c>
      <c r="BA8" s="48">
        <f>'P&amp;L'!BA20</f>
        <v>0</v>
      </c>
      <c r="BB8" s="48">
        <f>'P&amp;L'!BB20</f>
        <v>0</v>
      </c>
      <c r="BC8" s="48">
        <f>'P&amp;L'!BC20</f>
        <v>0</v>
      </c>
      <c r="BD8" s="48">
        <f>'P&amp;L'!BD20</f>
        <v>0</v>
      </c>
      <c r="BE8" s="48">
        <f>'P&amp;L'!BE20</f>
        <v>0</v>
      </c>
      <c r="BF8" s="48">
        <f>'P&amp;L'!BF20</f>
        <v>0</v>
      </c>
      <c r="BG8" s="48">
        <f>'P&amp;L'!BG20</f>
        <v>0</v>
      </c>
      <c r="BH8" s="48">
        <f>'P&amp;L'!BH20</f>
        <v>0</v>
      </c>
      <c r="BI8" s="48">
        <f>'P&amp;L'!BI20</f>
        <v>0</v>
      </c>
    </row>
    <row r="9" spans="1:61" x14ac:dyDescent="0.25">
      <c r="A9" s="38" t="s">
        <v>246</v>
      </c>
      <c r="B9" s="48">
        <f>'P&amp;L'!B15</f>
        <v>0</v>
      </c>
      <c r="C9" s="48">
        <f>'P&amp;L'!C15</f>
        <v>0</v>
      </c>
      <c r="D9" s="48">
        <f>'P&amp;L'!D15</f>
        <v>0</v>
      </c>
      <c r="E9" s="48">
        <f>'P&amp;L'!E15</f>
        <v>0</v>
      </c>
      <c r="F9" s="48">
        <f>'P&amp;L'!F15</f>
        <v>0</v>
      </c>
      <c r="G9" s="48">
        <f>'P&amp;L'!G15</f>
        <v>0</v>
      </c>
      <c r="H9" s="48">
        <f>'P&amp;L'!H15</f>
        <v>0</v>
      </c>
      <c r="I9" s="48">
        <f>'P&amp;L'!I15</f>
        <v>0</v>
      </c>
      <c r="J9" s="48">
        <f>'P&amp;L'!J15</f>
        <v>0</v>
      </c>
      <c r="K9" s="48">
        <f>'P&amp;L'!K15</f>
        <v>0</v>
      </c>
      <c r="L9" s="48">
        <f>'P&amp;L'!L15</f>
        <v>0</v>
      </c>
      <c r="M9" s="48">
        <f>'P&amp;L'!M15</f>
        <v>0</v>
      </c>
      <c r="N9" s="48">
        <f>'P&amp;L'!N15</f>
        <v>0</v>
      </c>
      <c r="O9" s="48">
        <f>'P&amp;L'!O15</f>
        <v>0</v>
      </c>
      <c r="P9" s="48">
        <f>'P&amp;L'!P15</f>
        <v>0</v>
      </c>
      <c r="Q9" s="48">
        <f>'P&amp;L'!Q15</f>
        <v>0</v>
      </c>
      <c r="R9" s="48">
        <f>'P&amp;L'!R15</f>
        <v>0</v>
      </c>
      <c r="S9" s="48">
        <f>'P&amp;L'!S15</f>
        <v>0</v>
      </c>
      <c r="T9" s="48">
        <f>'P&amp;L'!T15</f>
        <v>0</v>
      </c>
      <c r="U9" s="48">
        <f>'P&amp;L'!U15</f>
        <v>0</v>
      </c>
      <c r="V9" s="48">
        <f>'P&amp;L'!V15</f>
        <v>0</v>
      </c>
      <c r="W9" s="48">
        <f>'P&amp;L'!W15</f>
        <v>0</v>
      </c>
      <c r="X9" s="48">
        <f>'P&amp;L'!X15</f>
        <v>0</v>
      </c>
      <c r="Y9" s="48">
        <f>'P&amp;L'!Y15</f>
        <v>0</v>
      </c>
      <c r="Z9" s="48">
        <f>'P&amp;L'!Z15</f>
        <v>0</v>
      </c>
      <c r="AA9" s="48">
        <f>'P&amp;L'!AA15</f>
        <v>0</v>
      </c>
      <c r="AB9" s="48">
        <f>'P&amp;L'!AB15</f>
        <v>0</v>
      </c>
      <c r="AC9" s="48">
        <f>'P&amp;L'!AC15</f>
        <v>0</v>
      </c>
      <c r="AD9" s="48">
        <f>'P&amp;L'!AD15</f>
        <v>0</v>
      </c>
      <c r="AE9" s="48">
        <f>'P&amp;L'!AE15</f>
        <v>0</v>
      </c>
      <c r="AF9" s="48">
        <f>'P&amp;L'!AF15</f>
        <v>0</v>
      </c>
      <c r="AG9" s="48">
        <f>'P&amp;L'!AG15</f>
        <v>0</v>
      </c>
      <c r="AH9" s="48">
        <f>'P&amp;L'!AH15</f>
        <v>0</v>
      </c>
      <c r="AI9" s="48">
        <f>'P&amp;L'!AI15</f>
        <v>0</v>
      </c>
      <c r="AJ9" s="48">
        <f>'P&amp;L'!AJ15</f>
        <v>0</v>
      </c>
      <c r="AK9" s="48">
        <f>'P&amp;L'!AK15</f>
        <v>0</v>
      </c>
      <c r="AL9" s="48">
        <f>'P&amp;L'!AL15</f>
        <v>0</v>
      </c>
      <c r="AM9" s="48">
        <f>'P&amp;L'!AM15</f>
        <v>0</v>
      </c>
      <c r="AN9" s="48">
        <f>'P&amp;L'!AN15</f>
        <v>0</v>
      </c>
      <c r="AO9" s="48">
        <f>'P&amp;L'!AO15</f>
        <v>0</v>
      </c>
      <c r="AP9" s="48">
        <f>'P&amp;L'!AP15</f>
        <v>0</v>
      </c>
      <c r="AQ9" s="48">
        <f>'P&amp;L'!AQ15</f>
        <v>0</v>
      </c>
      <c r="AR9" s="48">
        <f>'P&amp;L'!AR15</f>
        <v>0</v>
      </c>
      <c r="AS9" s="48">
        <f>'P&amp;L'!AS15</f>
        <v>0</v>
      </c>
      <c r="AT9" s="48">
        <f>'P&amp;L'!AT15</f>
        <v>0</v>
      </c>
      <c r="AU9" s="48">
        <f>'P&amp;L'!AU15</f>
        <v>0</v>
      </c>
      <c r="AV9" s="48">
        <f>'P&amp;L'!AV15</f>
        <v>0</v>
      </c>
      <c r="AW9" s="48">
        <f>'P&amp;L'!AW15</f>
        <v>0</v>
      </c>
      <c r="AX9" s="48">
        <f>'P&amp;L'!AX15</f>
        <v>0</v>
      </c>
      <c r="AY9" s="48">
        <f>'P&amp;L'!AY15</f>
        <v>0</v>
      </c>
      <c r="AZ9" s="48">
        <f>'P&amp;L'!AZ15</f>
        <v>0</v>
      </c>
      <c r="BA9" s="48">
        <f>'P&amp;L'!BA15</f>
        <v>0</v>
      </c>
      <c r="BB9" s="48">
        <f>'P&amp;L'!BB15</f>
        <v>0</v>
      </c>
      <c r="BC9" s="48">
        <f>'P&amp;L'!BC15</f>
        <v>0</v>
      </c>
      <c r="BD9" s="48">
        <f>'P&amp;L'!BD15</f>
        <v>0</v>
      </c>
      <c r="BE9" s="48">
        <f>'P&amp;L'!BE15</f>
        <v>0</v>
      </c>
      <c r="BF9" s="48">
        <f>'P&amp;L'!BF15</f>
        <v>0</v>
      </c>
      <c r="BG9" s="48">
        <f>'P&amp;L'!BG15</f>
        <v>0</v>
      </c>
      <c r="BH9" s="48">
        <f>'P&amp;L'!BH15</f>
        <v>0</v>
      </c>
      <c r="BI9" s="48">
        <f>'P&amp;L'!BI15</f>
        <v>0</v>
      </c>
    </row>
    <row r="10" spans="1:61" x14ac:dyDescent="0.25">
      <c r="A10" s="38" t="s">
        <v>247</v>
      </c>
      <c r="B10" s="46">
        <f>Sales!B14*Assumptions!$D$38/30</f>
        <v>0</v>
      </c>
      <c r="C10" s="46">
        <f>Sales!C14*Assumptions!$D$38/30</f>
        <v>0</v>
      </c>
      <c r="D10" s="46">
        <f>Sales!D14*Assumptions!$D$38/30</f>
        <v>0</v>
      </c>
      <c r="E10" s="46">
        <f>Sales!E14*Assumptions!$D$38/30</f>
        <v>0</v>
      </c>
      <c r="F10" s="46">
        <f>Sales!F14*Assumptions!$D$38/30</f>
        <v>0</v>
      </c>
      <c r="G10" s="46">
        <f>Sales!G14*Assumptions!$D$38/30</f>
        <v>0</v>
      </c>
      <c r="H10" s="46">
        <f>Sales!H14*Assumptions!$D$38/30</f>
        <v>0</v>
      </c>
      <c r="I10" s="46">
        <f>Sales!I14*Assumptions!$D$38/30</f>
        <v>0</v>
      </c>
      <c r="J10" s="46">
        <f>Sales!J14*Assumptions!$D$38/30</f>
        <v>0</v>
      </c>
      <c r="K10" s="46">
        <f>Sales!K14*Assumptions!$D$38/30</f>
        <v>0</v>
      </c>
      <c r="L10" s="46">
        <f>Sales!L14*Assumptions!$D$38/30</f>
        <v>0</v>
      </c>
      <c r="M10" s="46">
        <f>Sales!M14*Assumptions!$D$38/30</f>
        <v>0</v>
      </c>
      <c r="N10" s="46">
        <f>Sales!N14*Assumptions!$D$38/30</f>
        <v>0</v>
      </c>
      <c r="O10" s="46">
        <f>Sales!O14*Assumptions!$D$38/30</f>
        <v>0</v>
      </c>
      <c r="P10" s="46">
        <f>Sales!P14*Assumptions!$D$38/30</f>
        <v>0</v>
      </c>
      <c r="Q10" s="46">
        <f>Sales!Q14*Assumptions!$D$38/30</f>
        <v>0</v>
      </c>
      <c r="R10" s="46">
        <f>Sales!R14*Assumptions!$D$38/30</f>
        <v>0</v>
      </c>
      <c r="S10" s="46">
        <f>Sales!S14*Assumptions!$D$38/30</f>
        <v>0</v>
      </c>
      <c r="T10" s="46">
        <f>Sales!T14*Assumptions!$D$38/30</f>
        <v>0</v>
      </c>
      <c r="U10" s="46">
        <f>Sales!U14*Assumptions!$D$38/30</f>
        <v>0</v>
      </c>
      <c r="V10" s="46">
        <f>Sales!V14*Assumptions!$D$38/30</f>
        <v>0</v>
      </c>
      <c r="W10" s="46">
        <f>Sales!W14*Assumptions!$D$38/30</f>
        <v>0</v>
      </c>
      <c r="X10" s="46">
        <f>Sales!X14*Assumptions!$D$38/30</f>
        <v>0</v>
      </c>
      <c r="Y10" s="46">
        <f>Sales!Y14*Assumptions!$D$38/30</f>
        <v>0</v>
      </c>
      <c r="Z10" s="46">
        <f>Sales!Z14*Assumptions!$D$38/30</f>
        <v>0</v>
      </c>
      <c r="AA10" s="46">
        <f>Sales!AA14*Assumptions!$D$38/30</f>
        <v>0</v>
      </c>
      <c r="AB10" s="46">
        <f>Sales!AB14*Assumptions!$D$38/30</f>
        <v>0</v>
      </c>
      <c r="AC10" s="46">
        <f>Sales!AC14*Assumptions!$D$38/30</f>
        <v>0</v>
      </c>
      <c r="AD10" s="46">
        <f>Sales!AD14*Assumptions!$D$38/30</f>
        <v>0</v>
      </c>
      <c r="AE10" s="46">
        <f>Sales!AE14*Assumptions!$D$38/30</f>
        <v>0</v>
      </c>
      <c r="AF10" s="46">
        <f>Sales!AF14*Assumptions!$D$38/30</f>
        <v>0</v>
      </c>
      <c r="AG10" s="46">
        <f>Sales!AG14*Assumptions!$D$38/30</f>
        <v>0</v>
      </c>
      <c r="AH10" s="46">
        <f>Sales!AH14*Assumptions!$D$38/30</f>
        <v>0</v>
      </c>
      <c r="AI10" s="46">
        <f>Sales!AI14*Assumptions!$D$38/30</f>
        <v>0</v>
      </c>
      <c r="AJ10" s="46">
        <f>Sales!AJ14*Assumptions!$D$38/30</f>
        <v>0</v>
      </c>
      <c r="AK10" s="46">
        <f>Sales!AK14*Assumptions!$D$38/30</f>
        <v>0</v>
      </c>
      <c r="AL10" s="46">
        <f>Sales!AL14*Assumptions!$D$38/30</f>
        <v>0</v>
      </c>
      <c r="AM10" s="46">
        <f>Sales!AM14*Assumptions!$D$38/30</f>
        <v>0</v>
      </c>
      <c r="AN10" s="46">
        <f>Sales!AN14*Assumptions!$D$38/30</f>
        <v>0</v>
      </c>
      <c r="AO10" s="46">
        <f>Sales!AO14*Assumptions!$D$38/30</f>
        <v>0</v>
      </c>
      <c r="AP10" s="46">
        <f>Sales!AP14*Assumptions!$D$38/30</f>
        <v>0</v>
      </c>
      <c r="AQ10" s="46">
        <f>Sales!AQ14*Assumptions!$D$38/30</f>
        <v>0</v>
      </c>
      <c r="AR10" s="46">
        <f>Sales!AR14*Assumptions!$D$38/30</f>
        <v>0</v>
      </c>
      <c r="AS10" s="46">
        <f>Sales!AS14*Assumptions!$D$38/30</f>
        <v>0</v>
      </c>
      <c r="AT10" s="46">
        <f>Sales!AT14*Assumptions!$D$38/30</f>
        <v>0</v>
      </c>
      <c r="AU10" s="46">
        <f>Sales!AU14*Assumptions!$D$38/30</f>
        <v>0</v>
      </c>
      <c r="AV10" s="46">
        <f>Sales!AV14*Assumptions!$D$38/30</f>
        <v>0</v>
      </c>
      <c r="AW10" s="46">
        <f>Sales!AW14*Assumptions!$D$38/30</f>
        <v>0</v>
      </c>
      <c r="AX10" s="46">
        <f>Sales!AX14*Assumptions!$D$38/30</f>
        <v>0</v>
      </c>
      <c r="AY10" s="46">
        <f>Sales!AY14*Assumptions!$D$38/30</f>
        <v>0</v>
      </c>
      <c r="AZ10" s="46">
        <f>Sales!AZ14*Assumptions!$D$38/30</f>
        <v>0</v>
      </c>
      <c r="BA10" s="46">
        <f>Sales!BA14*Assumptions!$D$38/30</f>
        <v>0</v>
      </c>
      <c r="BB10" s="46">
        <f>Sales!BB14*Assumptions!$D$38/30</f>
        <v>0</v>
      </c>
      <c r="BC10" s="46">
        <f>Sales!BC14*Assumptions!$D$38/30</f>
        <v>0</v>
      </c>
      <c r="BD10" s="46">
        <f>Sales!BD14*Assumptions!$D$38/30</f>
        <v>0</v>
      </c>
      <c r="BE10" s="46">
        <f>Sales!BE14*Assumptions!$D$38/30</f>
        <v>0</v>
      </c>
      <c r="BF10" s="46">
        <f>Sales!BF14*Assumptions!$D$38/30</f>
        <v>0</v>
      </c>
      <c r="BG10" s="46">
        <f>Sales!BG14*Assumptions!$D$38/30</f>
        <v>0</v>
      </c>
      <c r="BH10" s="46">
        <f>Sales!BH14*Assumptions!$D$38/30</f>
        <v>0</v>
      </c>
      <c r="BI10" s="46">
        <f>Sales!BI14*Assumptions!$D$38/30</f>
        <v>0</v>
      </c>
    </row>
    <row r="11" spans="1:61" x14ac:dyDescent="0.25">
      <c r="A11" s="38" t="s">
        <v>248</v>
      </c>
      <c r="B11" s="46">
        <f>Expenses!B17*Assumptions!$D$39/30</f>
        <v>0</v>
      </c>
      <c r="C11" s="46">
        <f>Expenses!C17*Assumptions!$D$39/30</f>
        <v>0</v>
      </c>
      <c r="D11" s="46">
        <f>Expenses!D17*Assumptions!$D$39/30</f>
        <v>0</v>
      </c>
      <c r="E11" s="46">
        <f>Expenses!E17*Assumptions!$D$39/30</f>
        <v>0</v>
      </c>
      <c r="F11" s="46">
        <f>Expenses!F17*Assumptions!$D$39/30</f>
        <v>0</v>
      </c>
      <c r="G11" s="46">
        <f>Expenses!G17*Assumptions!$D$39/30</f>
        <v>0</v>
      </c>
      <c r="H11" s="46">
        <f>Expenses!H17*Assumptions!$D$39/30</f>
        <v>0</v>
      </c>
      <c r="I11" s="46">
        <f>Expenses!I17*Assumptions!$D$39/30</f>
        <v>0</v>
      </c>
      <c r="J11" s="46">
        <f>Expenses!J17*Assumptions!$D$39/30</f>
        <v>0</v>
      </c>
      <c r="K11" s="46">
        <f>Expenses!K17*Assumptions!$D$39/30</f>
        <v>0</v>
      </c>
      <c r="L11" s="46">
        <f>Expenses!L17*Assumptions!$D$39/30</f>
        <v>0</v>
      </c>
      <c r="M11" s="46">
        <f>Expenses!M17*Assumptions!$D$39/30</f>
        <v>0</v>
      </c>
      <c r="N11" s="46">
        <f>Expenses!N17*Assumptions!$D$39/30</f>
        <v>0</v>
      </c>
      <c r="O11" s="46">
        <f>Expenses!O17*Assumptions!$D$39/30</f>
        <v>0</v>
      </c>
      <c r="P11" s="46">
        <f>Expenses!P17*Assumptions!$D$39/30</f>
        <v>0</v>
      </c>
      <c r="Q11" s="46">
        <f>Expenses!Q17*Assumptions!$D$39/30</f>
        <v>0</v>
      </c>
      <c r="R11" s="46">
        <f>Expenses!R17*Assumptions!$D$39/30</f>
        <v>0</v>
      </c>
      <c r="S11" s="46">
        <f>Expenses!S17*Assumptions!$D$39/30</f>
        <v>0</v>
      </c>
      <c r="T11" s="46">
        <f>Expenses!T17*Assumptions!$D$39/30</f>
        <v>0</v>
      </c>
      <c r="U11" s="46">
        <f>Expenses!U17*Assumptions!$D$39/30</f>
        <v>0</v>
      </c>
      <c r="V11" s="46">
        <f>Expenses!V17*Assumptions!$D$39/30</f>
        <v>0</v>
      </c>
      <c r="W11" s="46">
        <f>Expenses!W17*Assumptions!$D$39/30</f>
        <v>0</v>
      </c>
      <c r="X11" s="46">
        <f>Expenses!X17*Assumptions!$D$39/30</f>
        <v>0</v>
      </c>
      <c r="Y11" s="46">
        <f>Expenses!Y17*Assumptions!$D$39/30</f>
        <v>0</v>
      </c>
      <c r="Z11" s="46">
        <f>Expenses!Z17*Assumptions!$D$39/30</f>
        <v>0</v>
      </c>
      <c r="AA11" s="46">
        <f>Expenses!AA17*Assumptions!$D$39/30</f>
        <v>0</v>
      </c>
      <c r="AB11" s="46">
        <f>Expenses!AB17*Assumptions!$D$39/30</f>
        <v>0</v>
      </c>
      <c r="AC11" s="46">
        <f>Expenses!AC17*Assumptions!$D$39/30</f>
        <v>0</v>
      </c>
      <c r="AD11" s="46">
        <f>Expenses!AD17*Assumptions!$D$39/30</f>
        <v>0</v>
      </c>
      <c r="AE11" s="46">
        <f>Expenses!AE17*Assumptions!$D$39/30</f>
        <v>0</v>
      </c>
      <c r="AF11" s="46">
        <f>Expenses!AF17*Assumptions!$D$39/30</f>
        <v>0</v>
      </c>
      <c r="AG11" s="46">
        <f>Expenses!AG17*Assumptions!$D$39/30</f>
        <v>0</v>
      </c>
      <c r="AH11" s="46">
        <f>Expenses!AH17*Assumptions!$D$39/30</f>
        <v>0</v>
      </c>
      <c r="AI11" s="46">
        <f>Expenses!AI17*Assumptions!$D$39/30</f>
        <v>0</v>
      </c>
      <c r="AJ11" s="46">
        <f>Expenses!AJ17*Assumptions!$D$39/30</f>
        <v>0</v>
      </c>
      <c r="AK11" s="46">
        <f>Expenses!AK17*Assumptions!$D$39/30</f>
        <v>0</v>
      </c>
      <c r="AL11" s="46">
        <f>Expenses!AL17*Assumptions!$D$39/30</f>
        <v>0</v>
      </c>
      <c r="AM11" s="46">
        <f>Expenses!AM17*Assumptions!$D$39/30</f>
        <v>0</v>
      </c>
      <c r="AN11" s="46">
        <f>Expenses!AN17*Assumptions!$D$39/30</f>
        <v>0</v>
      </c>
      <c r="AO11" s="46">
        <f>Expenses!AO17*Assumptions!$D$39/30</f>
        <v>0</v>
      </c>
      <c r="AP11" s="46">
        <f>Expenses!AP17*Assumptions!$D$39/30</f>
        <v>0</v>
      </c>
      <c r="AQ11" s="46">
        <f>Expenses!AQ17*Assumptions!$D$39/30</f>
        <v>0</v>
      </c>
      <c r="AR11" s="46">
        <f>Expenses!AR17*Assumptions!$D$39/30</f>
        <v>0</v>
      </c>
      <c r="AS11" s="46">
        <f>Expenses!AS17*Assumptions!$D$39/30</f>
        <v>0</v>
      </c>
      <c r="AT11" s="46">
        <f>Expenses!AT17*Assumptions!$D$39/30</f>
        <v>0</v>
      </c>
      <c r="AU11" s="46">
        <f>Expenses!AU17*Assumptions!$D$39/30</f>
        <v>0</v>
      </c>
      <c r="AV11" s="46">
        <f>Expenses!AV17*Assumptions!$D$39/30</f>
        <v>0</v>
      </c>
      <c r="AW11" s="46">
        <f>Expenses!AW17*Assumptions!$D$39/30</f>
        <v>0</v>
      </c>
      <c r="AX11" s="46">
        <f>Expenses!AX17*Assumptions!$D$39/30</f>
        <v>0</v>
      </c>
      <c r="AY11" s="46">
        <f>Expenses!AY17*Assumptions!$D$39/30</f>
        <v>0</v>
      </c>
      <c r="AZ11" s="46">
        <f>Expenses!AZ17*Assumptions!$D$39/30</f>
        <v>0</v>
      </c>
      <c r="BA11" s="46">
        <f>Expenses!BA17*Assumptions!$D$39/30</f>
        <v>0</v>
      </c>
      <c r="BB11" s="46">
        <f>Expenses!BB17*Assumptions!$D$39/30</f>
        <v>0</v>
      </c>
      <c r="BC11" s="46">
        <f>Expenses!BC17*Assumptions!$D$39/30</f>
        <v>0</v>
      </c>
      <c r="BD11" s="46">
        <f>Expenses!BD17*Assumptions!$D$39/30</f>
        <v>0</v>
      </c>
      <c r="BE11" s="46">
        <f>Expenses!BE17*Assumptions!$D$39/30</f>
        <v>0</v>
      </c>
      <c r="BF11" s="46">
        <f>Expenses!BF17*Assumptions!$D$39/30</f>
        <v>0</v>
      </c>
      <c r="BG11" s="46">
        <f>Expenses!BG17*Assumptions!$D$39/30</f>
        <v>0</v>
      </c>
      <c r="BH11" s="46">
        <f>Expenses!BH17*Assumptions!$D$39/30</f>
        <v>0</v>
      </c>
      <c r="BI11" s="46">
        <f>Expenses!BI17*Assumptions!$D$39/30</f>
        <v>0</v>
      </c>
    </row>
    <row r="12" spans="1:61" x14ac:dyDescent="0.25">
      <c r="A12" s="38" t="s">
        <v>249</v>
      </c>
      <c r="B12" s="46">
        <f>Expenses!B17*Assumptions!$D$40/30</f>
        <v>0</v>
      </c>
      <c r="C12" s="46">
        <f>Expenses!C17*Assumptions!$D$40/30</f>
        <v>0</v>
      </c>
      <c r="D12" s="46">
        <f>Expenses!D17*Assumptions!$D$40/30</f>
        <v>0</v>
      </c>
      <c r="E12" s="46">
        <f>Expenses!E17*Assumptions!$D$40/30</f>
        <v>0</v>
      </c>
      <c r="F12" s="46">
        <f>Expenses!F17*Assumptions!$D$40/30</f>
        <v>0</v>
      </c>
      <c r="G12" s="46">
        <f>Expenses!G17*Assumptions!$D$40/30</f>
        <v>0</v>
      </c>
      <c r="H12" s="46">
        <f>Expenses!H17*Assumptions!$D$40/30</f>
        <v>0</v>
      </c>
      <c r="I12" s="46">
        <f>Expenses!I17*Assumptions!$D$40/30</f>
        <v>0</v>
      </c>
      <c r="J12" s="46">
        <f>Expenses!J17*Assumptions!$D$40/30</f>
        <v>0</v>
      </c>
      <c r="K12" s="46">
        <f>Expenses!K17*Assumptions!$D$40/30</f>
        <v>0</v>
      </c>
      <c r="L12" s="46">
        <f>Expenses!L17*Assumptions!$D$40/30</f>
        <v>0</v>
      </c>
      <c r="M12" s="46">
        <f>Expenses!M17*Assumptions!$D$40/30</f>
        <v>0</v>
      </c>
      <c r="N12" s="46">
        <f>Expenses!N17*Assumptions!$D$40/30</f>
        <v>0</v>
      </c>
      <c r="O12" s="46">
        <f>Expenses!O17*Assumptions!$D$40/30</f>
        <v>0</v>
      </c>
      <c r="P12" s="46">
        <f>Expenses!P17*Assumptions!$D$40/30</f>
        <v>0</v>
      </c>
      <c r="Q12" s="46">
        <f>Expenses!Q17*Assumptions!$D$40/30</f>
        <v>0</v>
      </c>
      <c r="R12" s="46">
        <f>Expenses!R17*Assumptions!$D$40/30</f>
        <v>0</v>
      </c>
      <c r="S12" s="46">
        <f>Expenses!S17*Assumptions!$D$40/30</f>
        <v>0</v>
      </c>
      <c r="T12" s="46">
        <f>Expenses!T17*Assumptions!$D$40/30</f>
        <v>0</v>
      </c>
      <c r="U12" s="46">
        <f>Expenses!U17*Assumptions!$D$40/30</f>
        <v>0</v>
      </c>
      <c r="V12" s="46">
        <f>Expenses!V17*Assumptions!$D$40/30</f>
        <v>0</v>
      </c>
      <c r="W12" s="46">
        <f>Expenses!W17*Assumptions!$D$40/30</f>
        <v>0</v>
      </c>
      <c r="X12" s="46">
        <f>Expenses!X17*Assumptions!$D$40/30</f>
        <v>0</v>
      </c>
      <c r="Y12" s="46">
        <f>Expenses!Y17*Assumptions!$D$40/30</f>
        <v>0</v>
      </c>
      <c r="Z12" s="46">
        <f>Expenses!Z17*Assumptions!$D$40/30</f>
        <v>0</v>
      </c>
      <c r="AA12" s="46">
        <f>Expenses!AA17*Assumptions!$D$40/30</f>
        <v>0</v>
      </c>
      <c r="AB12" s="46">
        <f>Expenses!AB17*Assumptions!$D$40/30</f>
        <v>0</v>
      </c>
      <c r="AC12" s="46">
        <f>Expenses!AC17*Assumptions!$D$40/30</f>
        <v>0</v>
      </c>
      <c r="AD12" s="46">
        <f>Expenses!AD17*Assumptions!$D$40/30</f>
        <v>0</v>
      </c>
      <c r="AE12" s="46">
        <f>Expenses!AE17*Assumptions!$D$40/30</f>
        <v>0</v>
      </c>
      <c r="AF12" s="46">
        <f>Expenses!AF17*Assumptions!$D$40/30</f>
        <v>0</v>
      </c>
      <c r="AG12" s="46">
        <f>Expenses!AG17*Assumptions!$D$40/30</f>
        <v>0</v>
      </c>
      <c r="AH12" s="46">
        <f>Expenses!AH17*Assumptions!$D$40/30</f>
        <v>0</v>
      </c>
      <c r="AI12" s="46">
        <f>Expenses!AI17*Assumptions!$D$40/30</f>
        <v>0</v>
      </c>
      <c r="AJ12" s="46">
        <f>Expenses!AJ17*Assumptions!$D$40/30</f>
        <v>0</v>
      </c>
      <c r="AK12" s="46">
        <f>Expenses!AK17*Assumptions!$D$40/30</f>
        <v>0</v>
      </c>
      <c r="AL12" s="46">
        <f>Expenses!AL17*Assumptions!$D$40/30</f>
        <v>0</v>
      </c>
      <c r="AM12" s="46">
        <f>Expenses!AM17*Assumptions!$D$40/30</f>
        <v>0</v>
      </c>
      <c r="AN12" s="46">
        <f>Expenses!AN17*Assumptions!$D$40/30</f>
        <v>0</v>
      </c>
      <c r="AO12" s="46">
        <f>Expenses!AO17*Assumptions!$D$40/30</f>
        <v>0</v>
      </c>
      <c r="AP12" s="46">
        <f>Expenses!AP17*Assumptions!$D$40/30</f>
        <v>0</v>
      </c>
      <c r="AQ12" s="46">
        <f>Expenses!AQ17*Assumptions!$D$40/30</f>
        <v>0</v>
      </c>
      <c r="AR12" s="46">
        <f>Expenses!AR17*Assumptions!$D$40/30</f>
        <v>0</v>
      </c>
      <c r="AS12" s="46">
        <f>Expenses!AS17*Assumptions!$D$40/30</f>
        <v>0</v>
      </c>
      <c r="AT12" s="46">
        <f>Expenses!AT17*Assumptions!$D$40/30</f>
        <v>0</v>
      </c>
      <c r="AU12" s="46">
        <f>Expenses!AU17*Assumptions!$D$40/30</f>
        <v>0</v>
      </c>
      <c r="AV12" s="46">
        <f>Expenses!AV17*Assumptions!$D$40/30</f>
        <v>0</v>
      </c>
      <c r="AW12" s="46">
        <f>Expenses!AW17*Assumptions!$D$40/30</f>
        <v>0</v>
      </c>
      <c r="AX12" s="46">
        <f>Expenses!AX17*Assumptions!$D$40/30</f>
        <v>0</v>
      </c>
      <c r="AY12" s="46">
        <f>Expenses!AY17*Assumptions!$D$40/30</f>
        <v>0</v>
      </c>
      <c r="AZ12" s="46">
        <f>Expenses!AZ17*Assumptions!$D$40/30</f>
        <v>0</v>
      </c>
      <c r="BA12" s="46">
        <f>Expenses!BA17*Assumptions!$D$40/30</f>
        <v>0</v>
      </c>
      <c r="BB12" s="46">
        <f>Expenses!BB17*Assumptions!$D$40/30</f>
        <v>0</v>
      </c>
      <c r="BC12" s="46">
        <f>Expenses!BC17*Assumptions!$D$40/30</f>
        <v>0</v>
      </c>
      <c r="BD12" s="46">
        <f>Expenses!BD17*Assumptions!$D$40/30</f>
        <v>0</v>
      </c>
      <c r="BE12" s="46">
        <f>Expenses!BE17*Assumptions!$D$40/30</f>
        <v>0</v>
      </c>
      <c r="BF12" s="46">
        <f>Expenses!BF17*Assumptions!$D$40/30</f>
        <v>0</v>
      </c>
      <c r="BG12" s="46">
        <f>Expenses!BG17*Assumptions!$D$40/30</f>
        <v>0</v>
      </c>
      <c r="BH12" s="46">
        <f>Expenses!BH17*Assumptions!$D$40/30</f>
        <v>0</v>
      </c>
      <c r="BI12" s="46">
        <f>Expenses!BI17*Assumptions!$D$40/30</f>
        <v>0</v>
      </c>
    </row>
    <row r="13" spans="1:61" x14ac:dyDescent="0.25">
      <c r="A13" s="38" t="s">
        <v>250</v>
      </c>
      <c r="B13" s="46">
        <f t="shared" ref="B13:AG13" si="0">B10+B11-B12</f>
        <v>0</v>
      </c>
      <c r="C13" s="46">
        <f t="shared" si="0"/>
        <v>0</v>
      </c>
      <c r="D13" s="46">
        <f t="shared" si="0"/>
        <v>0</v>
      </c>
      <c r="E13" s="46">
        <f t="shared" si="0"/>
        <v>0</v>
      </c>
      <c r="F13" s="46">
        <f t="shared" si="0"/>
        <v>0</v>
      </c>
      <c r="G13" s="46">
        <f t="shared" si="0"/>
        <v>0</v>
      </c>
      <c r="H13" s="46">
        <f t="shared" si="0"/>
        <v>0</v>
      </c>
      <c r="I13" s="46">
        <f t="shared" si="0"/>
        <v>0</v>
      </c>
      <c r="J13" s="46">
        <f t="shared" si="0"/>
        <v>0</v>
      </c>
      <c r="K13" s="46">
        <f t="shared" si="0"/>
        <v>0</v>
      </c>
      <c r="L13" s="46">
        <f t="shared" si="0"/>
        <v>0</v>
      </c>
      <c r="M13" s="46">
        <f t="shared" si="0"/>
        <v>0</v>
      </c>
      <c r="N13" s="46">
        <f t="shared" si="0"/>
        <v>0</v>
      </c>
      <c r="O13" s="46">
        <f t="shared" si="0"/>
        <v>0</v>
      </c>
      <c r="P13" s="46">
        <f t="shared" si="0"/>
        <v>0</v>
      </c>
      <c r="Q13" s="46">
        <f t="shared" si="0"/>
        <v>0</v>
      </c>
      <c r="R13" s="46">
        <f t="shared" si="0"/>
        <v>0</v>
      </c>
      <c r="S13" s="46">
        <f t="shared" si="0"/>
        <v>0</v>
      </c>
      <c r="T13" s="46">
        <f t="shared" si="0"/>
        <v>0</v>
      </c>
      <c r="U13" s="46">
        <f t="shared" si="0"/>
        <v>0</v>
      </c>
      <c r="V13" s="46">
        <f t="shared" si="0"/>
        <v>0</v>
      </c>
      <c r="W13" s="46">
        <f t="shared" si="0"/>
        <v>0</v>
      </c>
      <c r="X13" s="46">
        <f t="shared" si="0"/>
        <v>0</v>
      </c>
      <c r="Y13" s="46">
        <f t="shared" si="0"/>
        <v>0</v>
      </c>
      <c r="Z13" s="46">
        <f t="shared" si="0"/>
        <v>0</v>
      </c>
      <c r="AA13" s="46">
        <f t="shared" si="0"/>
        <v>0</v>
      </c>
      <c r="AB13" s="46">
        <f t="shared" si="0"/>
        <v>0</v>
      </c>
      <c r="AC13" s="46">
        <f t="shared" si="0"/>
        <v>0</v>
      </c>
      <c r="AD13" s="46">
        <f t="shared" si="0"/>
        <v>0</v>
      </c>
      <c r="AE13" s="46">
        <f t="shared" si="0"/>
        <v>0</v>
      </c>
      <c r="AF13" s="46">
        <f t="shared" si="0"/>
        <v>0</v>
      </c>
      <c r="AG13" s="46">
        <f t="shared" si="0"/>
        <v>0</v>
      </c>
      <c r="AH13" s="46">
        <f t="shared" ref="AH13:BM13" si="1">AH10+AH11-AH12</f>
        <v>0</v>
      </c>
      <c r="AI13" s="46">
        <f t="shared" si="1"/>
        <v>0</v>
      </c>
      <c r="AJ13" s="46">
        <f t="shared" si="1"/>
        <v>0</v>
      </c>
      <c r="AK13" s="46">
        <f t="shared" si="1"/>
        <v>0</v>
      </c>
      <c r="AL13" s="46">
        <f t="shared" si="1"/>
        <v>0</v>
      </c>
      <c r="AM13" s="46">
        <f t="shared" si="1"/>
        <v>0</v>
      </c>
      <c r="AN13" s="46">
        <f t="shared" si="1"/>
        <v>0</v>
      </c>
      <c r="AO13" s="46">
        <f t="shared" si="1"/>
        <v>0</v>
      </c>
      <c r="AP13" s="46">
        <f t="shared" si="1"/>
        <v>0</v>
      </c>
      <c r="AQ13" s="46">
        <f t="shared" si="1"/>
        <v>0</v>
      </c>
      <c r="AR13" s="46">
        <f t="shared" si="1"/>
        <v>0</v>
      </c>
      <c r="AS13" s="46">
        <f t="shared" si="1"/>
        <v>0</v>
      </c>
      <c r="AT13" s="46">
        <f t="shared" si="1"/>
        <v>0</v>
      </c>
      <c r="AU13" s="46">
        <f t="shared" si="1"/>
        <v>0</v>
      </c>
      <c r="AV13" s="46">
        <f t="shared" si="1"/>
        <v>0</v>
      </c>
      <c r="AW13" s="46">
        <f t="shared" si="1"/>
        <v>0</v>
      </c>
      <c r="AX13" s="46">
        <f t="shared" si="1"/>
        <v>0</v>
      </c>
      <c r="AY13" s="46">
        <f t="shared" si="1"/>
        <v>0</v>
      </c>
      <c r="AZ13" s="46">
        <f t="shared" si="1"/>
        <v>0</v>
      </c>
      <c r="BA13" s="46">
        <f t="shared" si="1"/>
        <v>0</v>
      </c>
      <c r="BB13" s="46">
        <f t="shared" si="1"/>
        <v>0</v>
      </c>
      <c r="BC13" s="46">
        <f t="shared" si="1"/>
        <v>0</v>
      </c>
      <c r="BD13" s="46">
        <f t="shared" si="1"/>
        <v>0</v>
      </c>
      <c r="BE13" s="46">
        <f t="shared" si="1"/>
        <v>0</v>
      </c>
      <c r="BF13" s="46">
        <f t="shared" si="1"/>
        <v>0</v>
      </c>
      <c r="BG13" s="46">
        <f t="shared" si="1"/>
        <v>0</v>
      </c>
      <c r="BH13" s="46">
        <f t="shared" si="1"/>
        <v>0</v>
      </c>
      <c r="BI13" s="46">
        <f t="shared" si="1"/>
        <v>0</v>
      </c>
    </row>
    <row r="14" spans="1:61" x14ac:dyDescent="0.25">
      <c r="A14" s="38" t="s">
        <v>251</v>
      </c>
      <c r="B14" s="46">
        <f>B13</f>
        <v>0</v>
      </c>
      <c r="C14" s="46">
        <f t="shared" ref="C14:AH14" si="2">C13-B13</f>
        <v>0</v>
      </c>
      <c r="D14" s="46">
        <f t="shared" si="2"/>
        <v>0</v>
      </c>
      <c r="E14" s="46">
        <f t="shared" si="2"/>
        <v>0</v>
      </c>
      <c r="F14" s="46">
        <f t="shared" si="2"/>
        <v>0</v>
      </c>
      <c r="G14" s="46">
        <f t="shared" si="2"/>
        <v>0</v>
      </c>
      <c r="H14" s="46">
        <f t="shared" si="2"/>
        <v>0</v>
      </c>
      <c r="I14" s="46">
        <f t="shared" si="2"/>
        <v>0</v>
      </c>
      <c r="J14" s="46">
        <f t="shared" si="2"/>
        <v>0</v>
      </c>
      <c r="K14" s="46">
        <f t="shared" si="2"/>
        <v>0</v>
      </c>
      <c r="L14" s="46">
        <f t="shared" si="2"/>
        <v>0</v>
      </c>
      <c r="M14" s="46">
        <f t="shared" si="2"/>
        <v>0</v>
      </c>
      <c r="N14" s="46">
        <f t="shared" si="2"/>
        <v>0</v>
      </c>
      <c r="O14" s="46">
        <f t="shared" si="2"/>
        <v>0</v>
      </c>
      <c r="P14" s="46">
        <f t="shared" si="2"/>
        <v>0</v>
      </c>
      <c r="Q14" s="46">
        <f t="shared" si="2"/>
        <v>0</v>
      </c>
      <c r="R14" s="46">
        <f t="shared" si="2"/>
        <v>0</v>
      </c>
      <c r="S14" s="46">
        <f t="shared" si="2"/>
        <v>0</v>
      </c>
      <c r="T14" s="46">
        <f t="shared" si="2"/>
        <v>0</v>
      </c>
      <c r="U14" s="46">
        <f t="shared" si="2"/>
        <v>0</v>
      </c>
      <c r="V14" s="46">
        <f t="shared" si="2"/>
        <v>0</v>
      </c>
      <c r="W14" s="46">
        <f t="shared" si="2"/>
        <v>0</v>
      </c>
      <c r="X14" s="46">
        <f t="shared" si="2"/>
        <v>0</v>
      </c>
      <c r="Y14" s="46">
        <f t="shared" si="2"/>
        <v>0</v>
      </c>
      <c r="Z14" s="46">
        <f t="shared" si="2"/>
        <v>0</v>
      </c>
      <c r="AA14" s="46">
        <f t="shared" si="2"/>
        <v>0</v>
      </c>
      <c r="AB14" s="46">
        <f t="shared" si="2"/>
        <v>0</v>
      </c>
      <c r="AC14" s="46">
        <f t="shared" si="2"/>
        <v>0</v>
      </c>
      <c r="AD14" s="46">
        <f t="shared" si="2"/>
        <v>0</v>
      </c>
      <c r="AE14" s="46">
        <f t="shared" si="2"/>
        <v>0</v>
      </c>
      <c r="AF14" s="46">
        <f t="shared" si="2"/>
        <v>0</v>
      </c>
      <c r="AG14" s="46">
        <f t="shared" si="2"/>
        <v>0</v>
      </c>
      <c r="AH14" s="46">
        <f t="shared" si="2"/>
        <v>0</v>
      </c>
      <c r="AI14" s="46">
        <f t="shared" ref="AI14:BN14" si="3">AI13-AH13</f>
        <v>0</v>
      </c>
      <c r="AJ14" s="46">
        <f t="shared" si="3"/>
        <v>0</v>
      </c>
      <c r="AK14" s="46">
        <f t="shared" si="3"/>
        <v>0</v>
      </c>
      <c r="AL14" s="46">
        <f t="shared" si="3"/>
        <v>0</v>
      </c>
      <c r="AM14" s="46">
        <f t="shared" si="3"/>
        <v>0</v>
      </c>
      <c r="AN14" s="46">
        <f t="shared" si="3"/>
        <v>0</v>
      </c>
      <c r="AO14" s="46">
        <f t="shared" si="3"/>
        <v>0</v>
      </c>
      <c r="AP14" s="46">
        <f t="shared" si="3"/>
        <v>0</v>
      </c>
      <c r="AQ14" s="46">
        <f t="shared" si="3"/>
        <v>0</v>
      </c>
      <c r="AR14" s="46">
        <f t="shared" si="3"/>
        <v>0</v>
      </c>
      <c r="AS14" s="46">
        <f t="shared" si="3"/>
        <v>0</v>
      </c>
      <c r="AT14" s="46">
        <f t="shared" si="3"/>
        <v>0</v>
      </c>
      <c r="AU14" s="46">
        <f t="shared" si="3"/>
        <v>0</v>
      </c>
      <c r="AV14" s="46">
        <f t="shared" si="3"/>
        <v>0</v>
      </c>
      <c r="AW14" s="46">
        <f t="shared" si="3"/>
        <v>0</v>
      </c>
      <c r="AX14" s="46">
        <f t="shared" si="3"/>
        <v>0</v>
      </c>
      <c r="AY14" s="46">
        <f t="shared" si="3"/>
        <v>0</v>
      </c>
      <c r="AZ14" s="46">
        <f t="shared" si="3"/>
        <v>0</v>
      </c>
      <c r="BA14" s="46">
        <f t="shared" si="3"/>
        <v>0</v>
      </c>
      <c r="BB14" s="46">
        <f t="shared" si="3"/>
        <v>0</v>
      </c>
      <c r="BC14" s="46">
        <f t="shared" si="3"/>
        <v>0</v>
      </c>
      <c r="BD14" s="46">
        <f t="shared" si="3"/>
        <v>0</v>
      </c>
      <c r="BE14" s="46">
        <f t="shared" si="3"/>
        <v>0</v>
      </c>
      <c r="BF14" s="46">
        <f t="shared" si="3"/>
        <v>0</v>
      </c>
      <c r="BG14" s="46">
        <f t="shared" si="3"/>
        <v>0</v>
      </c>
      <c r="BH14" s="46">
        <f t="shared" si="3"/>
        <v>0</v>
      </c>
      <c r="BI14" s="46">
        <f t="shared" si="3"/>
        <v>0</v>
      </c>
    </row>
    <row r="15" spans="1:61" x14ac:dyDescent="0.25">
      <c r="A15" s="41" t="s">
        <v>252</v>
      </c>
      <c r="B15" s="49">
        <f t="shared" ref="B15:AG15" si="4">B8+B9-B14</f>
        <v>0</v>
      </c>
      <c r="C15" s="49">
        <f t="shared" si="4"/>
        <v>0</v>
      </c>
      <c r="D15" s="49">
        <f t="shared" si="4"/>
        <v>0</v>
      </c>
      <c r="E15" s="49">
        <f t="shared" si="4"/>
        <v>0</v>
      </c>
      <c r="F15" s="49">
        <f t="shared" si="4"/>
        <v>0</v>
      </c>
      <c r="G15" s="49">
        <f t="shared" si="4"/>
        <v>0</v>
      </c>
      <c r="H15" s="49">
        <f t="shared" si="4"/>
        <v>0</v>
      </c>
      <c r="I15" s="49">
        <f t="shared" si="4"/>
        <v>0</v>
      </c>
      <c r="J15" s="49">
        <f t="shared" si="4"/>
        <v>0</v>
      </c>
      <c r="K15" s="49">
        <f t="shared" si="4"/>
        <v>0</v>
      </c>
      <c r="L15" s="49">
        <f t="shared" si="4"/>
        <v>0</v>
      </c>
      <c r="M15" s="49">
        <f t="shared" si="4"/>
        <v>0</v>
      </c>
      <c r="N15" s="49">
        <f t="shared" si="4"/>
        <v>0</v>
      </c>
      <c r="O15" s="49">
        <f t="shared" si="4"/>
        <v>0</v>
      </c>
      <c r="P15" s="49">
        <f t="shared" si="4"/>
        <v>0</v>
      </c>
      <c r="Q15" s="49">
        <f t="shared" si="4"/>
        <v>0</v>
      </c>
      <c r="R15" s="49">
        <f t="shared" si="4"/>
        <v>0</v>
      </c>
      <c r="S15" s="49">
        <f t="shared" si="4"/>
        <v>0</v>
      </c>
      <c r="T15" s="49">
        <f t="shared" si="4"/>
        <v>0</v>
      </c>
      <c r="U15" s="49">
        <f t="shared" si="4"/>
        <v>0</v>
      </c>
      <c r="V15" s="49">
        <f t="shared" si="4"/>
        <v>0</v>
      </c>
      <c r="W15" s="49">
        <f t="shared" si="4"/>
        <v>0</v>
      </c>
      <c r="X15" s="49">
        <f t="shared" si="4"/>
        <v>0</v>
      </c>
      <c r="Y15" s="49">
        <f t="shared" si="4"/>
        <v>0</v>
      </c>
      <c r="Z15" s="49">
        <f t="shared" si="4"/>
        <v>0</v>
      </c>
      <c r="AA15" s="49">
        <f t="shared" si="4"/>
        <v>0</v>
      </c>
      <c r="AB15" s="49">
        <f t="shared" si="4"/>
        <v>0</v>
      </c>
      <c r="AC15" s="49">
        <f t="shared" si="4"/>
        <v>0</v>
      </c>
      <c r="AD15" s="49">
        <f t="shared" si="4"/>
        <v>0</v>
      </c>
      <c r="AE15" s="49">
        <f t="shared" si="4"/>
        <v>0</v>
      </c>
      <c r="AF15" s="49">
        <f t="shared" si="4"/>
        <v>0</v>
      </c>
      <c r="AG15" s="49">
        <f t="shared" si="4"/>
        <v>0</v>
      </c>
      <c r="AH15" s="49">
        <f t="shared" ref="AH15:BM15" si="5">AH8+AH9-AH14</f>
        <v>0</v>
      </c>
      <c r="AI15" s="49">
        <f t="shared" si="5"/>
        <v>0</v>
      </c>
      <c r="AJ15" s="49">
        <f t="shared" si="5"/>
        <v>0</v>
      </c>
      <c r="AK15" s="49">
        <f t="shared" si="5"/>
        <v>0</v>
      </c>
      <c r="AL15" s="49">
        <f t="shared" si="5"/>
        <v>0</v>
      </c>
      <c r="AM15" s="49">
        <f t="shared" si="5"/>
        <v>0</v>
      </c>
      <c r="AN15" s="49">
        <f t="shared" si="5"/>
        <v>0</v>
      </c>
      <c r="AO15" s="49">
        <f t="shared" si="5"/>
        <v>0</v>
      </c>
      <c r="AP15" s="49">
        <f t="shared" si="5"/>
        <v>0</v>
      </c>
      <c r="AQ15" s="49">
        <f t="shared" si="5"/>
        <v>0</v>
      </c>
      <c r="AR15" s="49">
        <f t="shared" si="5"/>
        <v>0</v>
      </c>
      <c r="AS15" s="49">
        <f t="shared" si="5"/>
        <v>0</v>
      </c>
      <c r="AT15" s="49">
        <f t="shared" si="5"/>
        <v>0</v>
      </c>
      <c r="AU15" s="49">
        <f t="shared" si="5"/>
        <v>0</v>
      </c>
      <c r="AV15" s="49">
        <f t="shared" si="5"/>
        <v>0</v>
      </c>
      <c r="AW15" s="49">
        <f t="shared" si="5"/>
        <v>0</v>
      </c>
      <c r="AX15" s="49">
        <f t="shared" si="5"/>
        <v>0</v>
      </c>
      <c r="AY15" s="49">
        <f t="shared" si="5"/>
        <v>0</v>
      </c>
      <c r="AZ15" s="49">
        <f t="shared" si="5"/>
        <v>0</v>
      </c>
      <c r="BA15" s="49">
        <f t="shared" si="5"/>
        <v>0</v>
      </c>
      <c r="BB15" s="49">
        <f t="shared" si="5"/>
        <v>0</v>
      </c>
      <c r="BC15" s="49">
        <f t="shared" si="5"/>
        <v>0</v>
      </c>
      <c r="BD15" s="49">
        <f t="shared" si="5"/>
        <v>0</v>
      </c>
      <c r="BE15" s="49">
        <f t="shared" si="5"/>
        <v>0</v>
      </c>
      <c r="BF15" s="49">
        <f t="shared" si="5"/>
        <v>0</v>
      </c>
      <c r="BG15" s="49">
        <f t="shared" si="5"/>
        <v>0</v>
      </c>
      <c r="BH15" s="49">
        <f t="shared" si="5"/>
        <v>0</v>
      </c>
      <c r="BI15" s="49">
        <f t="shared" si="5"/>
        <v>0</v>
      </c>
    </row>
    <row r="16" spans="1:61" ht="18" customHeight="1" x14ac:dyDescent="0.25">
      <c r="A16" s="9" t="s">
        <v>253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</row>
    <row r="17" spans="1:61" x14ac:dyDescent="0.25">
      <c r="A17" s="38" t="s">
        <v>254</v>
      </c>
      <c r="B17" s="46">
        <f>-(Assumptions!$D$46+Assumptions!$D$47+Assumptions!$D$48+Assumptions!$D$49)*(1+Assumptions!$D$51)+Assumptions!$D$50</f>
        <v>0</v>
      </c>
      <c r="C17" s="46">
        <f>0</f>
        <v>0</v>
      </c>
      <c r="D17" s="46">
        <f>0</f>
        <v>0</v>
      </c>
      <c r="E17" s="46">
        <f>0</f>
        <v>0</v>
      </c>
      <c r="F17" s="46">
        <f>0</f>
        <v>0</v>
      </c>
      <c r="G17" s="46">
        <f>0</f>
        <v>0</v>
      </c>
      <c r="H17" s="46">
        <f>0</f>
        <v>0</v>
      </c>
      <c r="I17" s="46">
        <f>0</f>
        <v>0</v>
      </c>
      <c r="J17" s="46">
        <f>0</f>
        <v>0</v>
      </c>
      <c r="K17" s="46">
        <f>0</f>
        <v>0</v>
      </c>
      <c r="L17" s="46">
        <f>0</f>
        <v>0</v>
      </c>
      <c r="M17" s="46">
        <f>0</f>
        <v>0</v>
      </c>
      <c r="N17" s="46">
        <f>0</f>
        <v>0</v>
      </c>
      <c r="O17" s="46">
        <f>0</f>
        <v>0</v>
      </c>
      <c r="P17" s="46">
        <f>0</f>
        <v>0</v>
      </c>
      <c r="Q17" s="46">
        <f>0</f>
        <v>0</v>
      </c>
      <c r="R17" s="46">
        <f>0</f>
        <v>0</v>
      </c>
      <c r="S17" s="46">
        <f>0</f>
        <v>0</v>
      </c>
      <c r="T17" s="46">
        <f>0</f>
        <v>0</v>
      </c>
      <c r="U17" s="46">
        <f>0</f>
        <v>0</v>
      </c>
      <c r="V17" s="46">
        <f>0</f>
        <v>0</v>
      </c>
      <c r="W17" s="46">
        <f>0</f>
        <v>0</v>
      </c>
      <c r="X17" s="46">
        <f>0</f>
        <v>0</v>
      </c>
      <c r="Y17" s="46">
        <f>0</f>
        <v>0</v>
      </c>
      <c r="Z17" s="46">
        <f>0</f>
        <v>0</v>
      </c>
      <c r="AA17" s="46">
        <f>0</f>
        <v>0</v>
      </c>
      <c r="AB17" s="46">
        <f>0</f>
        <v>0</v>
      </c>
      <c r="AC17" s="46">
        <f>0</f>
        <v>0</v>
      </c>
      <c r="AD17" s="46">
        <f>0</f>
        <v>0</v>
      </c>
      <c r="AE17" s="46">
        <f>0</f>
        <v>0</v>
      </c>
      <c r="AF17" s="46">
        <f>0</f>
        <v>0</v>
      </c>
      <c r="AG17" s="46">
        <f>0</f>
        <v>0</v>
      </c>
      <c r="AH17" s="46">
        <f>0</f>
        <v>0</v>
      </c>
      <c r="AI17" s="46">
        <f>0</f>
        <v>0</v>
      </c>
      <c r="AJ17" s="46">
        <f>0</f>
        <v>0</v>
      </c>
      <c r="AK17" s="46">
        <f>0</f>
        <v>0</v>
      </c>
      <c r="AL17" s="46">
        <f>0</f>
        <v>0</v>
      </c>
      <c r="AM17" s="46">
        <f>0</f>
        <v>0</v>
      </c>
      <c r="AN17" s="46">
        <f>0</f>
        <v>0</v>
      </c>
      <c r="AO17" s="46">
        <f>0</f>
        <v>0</v>
      </c>
      <c r="AP17" s="46">
        <f>0</f>
        <v>0</v>
      </c>
      <c r="AQ17" s="46">
        <f>0</f>
        <v>0</v>
      </c>
      <c r="AR17" s="46">
        <f>0</f>
        <v>0</v>
      </c>
      <c r="AS17" s="46">
        <f>0</f>
        <v>0</v>
      </c>
      <c r="AT17" s="46">
        <f>0</f>
        <v>0</v>
      </c>
      <c r="AU17" s="46">
        <f>0</f>
        <v>0</v>
      </c>
      <c r="AV17" s="46">
        <f>0</f>
        <v>0</v>
      </c>
      <c r="AW17" s="46">
        <f>0</f>
        <v>0</v>
      </c>
      <c r="AX17" s="46">
        <f>0</f>
        <v>0</v>
      </c>
      <c r="AY17" s="46">
        <f>0</f>
        <v>0</v>
      </c>
      <c r="AZ17" s="46">
        <f>0</f>
        <v>0</v>
      </c>
      <c r="BA17" s="46">
        <f>0</f>
        <v>0</v>
      </c>
      <c r="BB17" s="46">
        <f>0</f>
        <v>0</v>
      </c>
      <c r="BC17" s="46">
        <f>0</f>
        <v>0</v>
      </c>
      <c r="BD17" s="46">
        <f>0</f>
        <v>0</v>
      </c>
      <c r="BE17" s="46">
        <f>0</f>
        <v>0</v>
      </c>
      <c r="BF17" s="46">
        <f>0</f>
        <v>0</v>
      </c>
      <c r="BG17" s="46">
        <f>0</f>
        <v>0</v>
      </c>
      <c r="BH17" s="46">
        <f>0</f>
        <v>0</v>
      </c>
      <c r="BI17" s="46">
        <f>0</f>
        <v>0</v>
      </c>
    </row>
    <row r="18" spans="1:61" x14ac:dyDescent="0.25">
      <c r="A18" s="38" t="s">
        <v>255</v>
      </c>
      <c r="B18" s="48">
        <f>-Expenses!B33</f>
        <v>0</v>
      </c>
      <c r="C18" s="48">
        <f>-Expenses!C33</f>
        <v>0</v>
      </c>
      <c r="D18" s="48">
        <f>-Expenses!D33</f>
        <v>0</v>
      </c>
      <c r="E18" s="48">
        <f>-Expenses!E33</f>
        <v>0</v>
      </c>
      <c r="F18" s="48">
        <f>-Expenses!F33</f>
        <v>0</v>
      </c>
      <c r="G18" s="48">
        <f>-Expenses!G33</f>
        <v>0</v>
      </c>
      <c r="H18" s="48">
        <f>-Expenses!H33</f>
        <v>0</v>
      </c>
      <c r="I18" s="48">
        <f>-Expenses!I33</f>
        <v>0</v>
      </c>
      <c r="J18" s="48">
        <f>-Expenses!J33</f>
        <v>0</v>
      </c>
      <c r="K18" s="48">
        <f>-Expenses!K33</f>
        <v>0</v>
      </c>
      <c r="L18" s="48">
        <f>-Expenses!L33</f>
        <v>0</v>
      </c>
      <c r="M18" s="48">
        <f>-Expenses!M33</f>
        <v>0</v>
      </c>
      <c r="N18" s="48">
        <f>-Expenses!N33</f>
        <v>0</v>
      </c>
      <c r="O18" s="48">
        <f>-Expenses!O33</f>
        <v>0</v>
      </c>
      <c r="P18" s="48">
        <f>-Expenses!P33</f>
        <v>0</v>
      </c>
      <c r="Q18" s="48">
        <f>-Expenses!Q33</f>
        <v>0</v>
      </c>
      <c r="R18" s="48">
        <f>-Expenses!R33</f>
        <v>0</v>
      </c>
      <c r="S18" s="48">
        <f>-Expenses!S33</f>
        <v>0</v>
      </c>
      <c r="T18" s="48">
        <f>-Expenses!T33</f>
        <v>0</v>
      </c>
      <c r="U18" s="48">
        <f>-Expenses!U33</f>
        <v>0</v>
      </c>
      <c r="V18" s="48">
        <f>-Expenses!V33</f>
        <v>0</v>
      </c>
      <c r="W18" s="48">
        <f>-Expenses!W33</f>
        <v>0</v>
      </c>
      <c r="X18" s="48">
        <f>-Expenses!X33</f>
        <v>0</v>
      </c>
      <c r="Y18" s="48">
        <f>-Expenses!Y33</f>
        <v>0</v>
      </c>
      <c r="Z18" s="48">
        <f>-Expenses!Z33</f>
        <v>0</v>
      </c>
      <c r="AA18" s="48">
        <f>-Expenses!AA33</f>
        <v>0</v>
      </c>
      <c r="AB18" s="48">
        <f>-Expenses!AB33</f>
        <v>0</v>
      </c>
      <c r="AC18" s="48">
        <f>-Expenses!AC33</f>
        <v>0</v>
      </c>
      <c r="AD18" s="48">
        <f>-Expenses!AD33</f>
        <v>0</v>
      </c>
      <c r="AE18" s="48">
        <f>-Expenses!AE33</f>
        <v>0</v>
      </c>
      <c r="AF18" s="48">
        <f>-Expenses!AF33</f>
        <v>0</v>
      </c>
      <c r="AG18" s="48">
        <f>-Expenses!AG33</f>
        <v>0</v>
      </c>
      <c r="AH18" s="48">
        <f>-Expenses!AH33</f>
        <v>0</v>
      </c>
      <c r="AI18" s="48">
        <f>-Expenses!AI33</f>
        <v>0</v>
      </c>
      <c r="AJ18" s="48">
        <f>-Expenses!AJ33</f>
        <v>0</v>
      </c>
      <c r="AK18" s="48">
        <f>-Expenses!AK33</f>
        <v>0</v>
      </c>
      <c r="AL18" s="48">
        <f>-Expenses!AL33</f>
        <v>0</v>
      </c>
      <c r="AM18" s="48">
        <f>-Expenses!AM33</f>
        <v>0</v>
      </c>
      <c r="AN18" s="48">
        <f>-Expenses!AN33</f>
        <v>0</v>
      </c>
      <c r="AO18" s="48">
        <f>-Expenses!AO33</f>
        <v>0</v>
      </c>
      <c r="AP18" s="48">
        <f>-Expenses!AP33</f>
        <v>0</v>
      </c>
      <c r="AQ18" s="48">
        <f>-Expenses!AQ33</f>
        <v>0</v>
      </c>
      <c r="AR18" s="48">
        <f>-Expenses!AR33</f>
        <v>0</v>
      </c>
      <c r="AS18" s="48">
        <f>-Expenses!AS33</f>
        <v>0</v>
      </c>
      <c r="AT18" s="48">
        <f>-Expenses!AT33</f>
        <v>0</v>
      </c>
      <c r="AU18" s="48">
        <f>-Expenses!AU33</f>
        <v>0</v>
      </c>
      <c r="AV18" s="48">
        <f>-Expenses!AV33</f>
        <v>0</v>
      </c>
      <c r="AW18" s="48">
        <f>-Expenses!AW33</f>
        <v>0</v>
      </c>
      <c r="AX18" s="48">
        <f>-Expenses!AX33</f>
        <v>0</v>
      </c>
      <c r="AY18" s="48">
        <f>-Expenses!AY33</f>
        <v>0</v>
      </c>
      <c r="AZ18" s="48">
        <f>-Expenses!AZ33</f>
        <v>0</v>
      </c>
      <c r="BA18" s="48">
        <f>-Expenses!BA33</f>
        <v>0</v>
      </c>
      <c r="BB18" s="48">
        <f>-Expenses!BB33</f>
        <v>0</v>
      </c>
      <c r="BC18" s="48">
        <f>-Expenses!BC33</f>
        <v>0</v>
      </c>
      <c r="BD18" s="48">
        <f>-Expenses!BD33</f>
        <v>0</v>
      </c>
      <c r="BE18" s="48">
        <f>-Expenses!BE33</f>
        <v>0</v>
      </c>
      <c r="BF18" s="48">
        <f>-Expenses!BF33</f>
        <v>0</v>
      </c>
      <c r="BG18" s="48">
        <f>-Expenses!BG33</f>
        <v>0</v>
      </c>
      <c r="BH18" s="48">
        <f>-Expenses!BH33</f>
        <v>0</v>
      </c>
      <c r="BI18" s="48">
        <f>-Expenses!BI33</f>
        <v>0</v>
      </c>
    </row>
    <row r="19" spans="1:61" x14ac:dyDescent="0.25">
      <c r="A19" s="38" t="s">
        <v>256</v>
      </c>
      <c r="B19" s="46">
        <f>Assumptions!$D$58+Assumptions!$D$59</f>
        <v>0</v>
      </c>
      <c r="C19" s="46">
        <f>0</f>
        <v>0</v>
      </c>
      <c r="D19" s="46">
        <f>0</f>
        <v>0</v>
      </c>
      <c r="E19" s="46">
        <f>0</f>
        <v>0</v>
      </c>
      <c r="F19" s="46">
        <f>0</f>
        <v>0</v>
      </c>
      <c r="G19" s="46">
        <f>0</f>
        <v>0</v>
      </c>
      <c r="H19" s="46">
        <f>0</f>
        <v>0</v>
      </c>
      <c r="I19" s="46">
        <f>0</f>
        <v>0</v>
      </c>
      <c r="J19" s="46">
        <f>0</f>
        <v>0</v>
      </c>
      <c r="K19" s="46">
        <f>0</f>
        <v>0</v>
      </c>
      <c r="L19" s="46">
        <f>0</f>
        <v>0</v>
      </c>
      <c r="M19" s="46">
        <f>0</f>
        <v>0</v>
      </c>
      <c r="N19" s="46">
        <f>0</f>
        <v>0</v>
      </c>
      <c r="O19" s="46">
        <f>0</f>
        <v>0</v>
      </c>
      <c r="P19" s="46">
        <f>0</f>
        <v>0</v>
      </c>
      <c r="Q19" s="46">
        <f>0</f>
        <v>0</v>
      </c>
      <c r="R19" s="46">
        <f>0</f>
        <v>0</v>
      </c>
      <c r="S19" s="46">
        <f>0</f>
        <v>0</v>
      </c>
      <c r="T19" s="46">
        <f>0</f>
        <v>0</v>
      </c>
      <c r="U19" s="46">
        <f>0</f>
        <v>0</v>
      </c>
      <c r="V19" s="46">
        <f>0</f>
        <v>0</v>
      </c>
      <c r="W19" s="46">
        <f>0</f>
        <v>0</v>
      </c>
      <c r="X19" s="46">
        <f>0</f>
        <v>0</v>
      </c>
      <c r="Y19" s="46">
        <f>0</f>
        <v>0</v>
      </c>
      <c r="Z19" s="46">
        <f>0</f>
        <v>0</v>
      </c>
      <c r="AA19" s="46">
        <f>0</f>
        <v>0</v>
      </c>
      <c r="AB19" s="46">
        <f>0</f>
        <v>0</v>
      </c>
      <c r="AC19" s="46">
        <f>0</f>
        <v>0</v>
      </c>
      <c r="AD19" s="46">
        <f>0</f>
        <v>0</v>
      </c>
      <c r="AE19" s="46">
        <f>0</f>
        <v>0</v>
      </c>
      <c r="AF19" s="46">
        <f>0</f>
        <v>0</v>
      </c>
      <c r="AG19" s="46">
        <f>0</f>
        <v>0</v>
      </c>
      <c r="AH19" s="46">
        <f>0</f>
        <v>0</v>
      </c>
      <c r="AI19" s="46">
        <f>0</f>
        <v>0</v>
      </c>
      <c r="AJ19" s="46">
        <f>0</f>
        <v>0</v>
      </c>
      <c r="AK19" s="46">
        <f>0</f>
        <v>0</v>
      </c>
      <c r="AL19" s="46">
        <f>0</f>
        <v>0</v>
      </c>
      <c r="AM19" s="46">
        <f>0</f>
        <v>0</v>
      </c>
      <c r="AN19" s="46">
        <f>0</f>
        <v>0</v>
      </c>
      <c r="AO19" s="46">
        <f>0</f>
        <v>0</v>
      </c>
      <c r="AP19" s="46">
        <f>0</f>
        <v>0</v>
      </c>
      <c r="AQ19" s="46">
        <f>0</f>
        <v>0</v>
      </c>
      <c r="AR19" s="46">
        <f>0</f>
        <v>0</v>
      </c>
      <c r="AS19" s="46">
        <f>0</f>
        <v>0</v>
      </c>
      <c r="AT19" s="46">
        <f>0</f>
        <v>0</v>
      </c>
      <c r="AU19" s="46">
        <f>0</f>
        <v>0</v>
      </c>
      <c r="AV19" s="46">
        <f>0</f>
        <v>0</v>
      </c>
      <c r="AW19" s="46">
        <f>0</f>
        <v>0</v>
      </c>
      <c r="AX19" s="46">
        <f>0</f>
        <v>0</v>
      </c>
      <c r="AY19" s="46">
        <f>0</f>
        <v>0</v>
      </c>
      <c r="AZ19" s="46">
        <f>0</f>
        <v>0</v>
      </c>
      <c r="BA19" s="46">
        <f>0</f>
        <v>0</v>
      </c>
      <c r="BB19" s="46">
        <f>0</f>
        <v>0</v>
      </c>
      <c r="BC19" s="46">
        <f>0</f>
        <v>0</v>
      </c>
      <c r="BD19" s="46">
        <f>0</f>
        <v>0</v>
      </c>
      <c r="BE19" s="46">
        <f>0</f>
        <v>0</v>
      </c>
      <c r="BF19" s="46">
        <f>0</f>
        <v>0</v>
      </c>
      <c r="BG19" s="46">
        <f>0</f>
        <v>0</v>
      </c>
      <c r="BH19" s="46">
        <f>0</f>
        <v>0</v>
      </c>
      <c r="BI19" s="46">
        <f>0</f>
        <v>0</v>
      </c>
    </row>
    <row r="20" spans="1:61" x14ac:dyDescent="0.25">
      <c r="A20" s="38" t="s">
        <v>257</v>
      </c>
      <c r="B20" s="46">
        <f>Assumptions!$D$60</f>
        <v>0</v>
      </c>
      <c r="C20" s="46">
        <f>0</f>
        <v>0</v>
      </c>
      <c r="D20" s="46">
        <f>0</f>
        <v>0</v>
      </c>
      <c r="E20" s="46">
        <f>0</f>
        <v>0</v>
      </c>
      <c r="F20" s="46">
        <f>0</f>
        <v>0</v>
      </c>
      <c r="G20" s="46">
        <f>0</f>
        <v>0</v>
      </c>
      <c r="H20" s="46">
        <f>0</f>
        <v>0</v>
      </c>
      <c r="I20" s="46">
        <f>0</f>
        <v>0</v>
      </c>
      <c r="J20" s="46">
        <f>0</f>
        <v>0</v>
      </c>
      <c r="K20" s="46">
        <f>0</f>
        <v>0</v>
      </c>
      <c r="L20" s="46">
        <f>0</f>
        <v>0</v>
      </c>
      <c r="M20" s="46">
        <f>0</f>
        <v>0</v>
      </c>
      <c r="N20" s="46">
        <f>0</f>
        <v>0</v>
      </c>
      <c r="O20" s="46">
        <f>0</f>
        <v>0</v>
      </c>
      <c r="P20" s="46">
        <f>0</f>
        <v>0</v>
      </c>
      <c r="Q20" s="46">
        <f>0</f>
        <v>0</v>
      </c>
      <c r="R20" s="46">
        <f>0</f>
        <v>0</v>
      </c>
      <c r="S20" s="46">
        <f>0</f>
        <v>0</v>
      </c>
      <c r="T20" s="46">
        <f>0</f>
        <v>0</v>
      </c>
      <c r="U20" s="46">
        <f>0</f>
        <v>0</v>
      </c>
      <c r="V20" s="46">
        <f>0</f>
        <v>0</v>
      </c>
      <c r="W20" s="46">
        <f>0</f>
        <v>0</v>
      </c>
      <c r="X20" s="46">
        <f>0</f>
        <v>0</v>
      </c>
      <c r="Y20" s="46">
        <f>0</f>
        <v>0</v>
      </c>
      <c r="Z20" s="46">
        <f>0</f>
        <v>0</v>
      </c>
      <c r="AA20" s="46">
        <f>0</f>
        <v>0</v>
      </c>
      <c r="AB20" s="46">
        <f>0</f>
        <v>0</v>
      </c>
      <c r="AC20" s="46">
        <f>0</f>
        <v>0</v>
      </c>
      <c r="AD20" s="46">
        <f>0</f>
        <v>0</v>
      </c>
      <c r="AE20" s="46">
        <f>0</f>
        <v>0</v>
      </c>
      <c r="AF20" s="46">
        <f>0</f>
        <v>0</v>
      </c>
      <c r="AG20" s="46">
        <f>0</f>
        <v>0</v>
      </c>
      <c r="AH20" s="46">
        <f>0</f>
        <v>0</v>
      </c>
      <c r="AI20" s="46">
        <f>0</f>
        <v>0</v>
      </c>
      <c r="AJ20" s="46">
        <f>0</f>
        <v>0</v>
      </c>
      <c r="AK20" s="46">
        <f>0</f>
        <v>0</v>
      </c>
      <c r="AL20" s="46">
        <f>0</f>
        <v>0</v>
      </c>
      <c r="AM20" s="46">
        <f>0</f>
        <v>0</v>
      </c>
      <c r="AN20" s="46">
        <f>0</f>
        <v>0</v>
      </c>
      <c r="AO20" s="46">
        <f>0</f>
        <v>0</v>
      </c>
      <c r="AP20" s="46">
        <f>0</f>
        <v>0</v>
      </c>
      <c r="AQ20" s="46">
        <f>0</f>
        <v>0</v>
      </c>
      <c r="AR20" s="46">
        <f>0</f>
        <v>0</v>
      </c>
      <c r="AS20" s="46">
        <f>0</f>
        <v>0</v>
      </c>
      <c r="AT20" s="46">
        <f>0</f>
        <v>0</v>
      </c>
      <c r="AU20" s="46">
        <f>0</f>
        <v>0</v>
      </c>
      <c r="AV20" s="46">
        <f>0</f>
        <v>0</v>
      </c>
      <c r="AW20" s="46">
        <f>0</f>
        <v>0</v>
      </c>
      <c r="AX20" s="46">
        <f>0</f>
        <v>0</v>
      </c>
      <c r="AY20" s="46">
        <f>0</f>
        <v>0</v>
      </c>
      <c r="AZ20" s="46">
        <f>0</f>
        <v>0</v>
      </c>
      <c r="BA20" s="46">
        <f>0</f>
        <v>0</v>
      </c>
      <c r="BB20" s="46">
        <f>0</f>
        <v>0</v>
      </c>
      <c r="BC20" s="46">
        <f>0</f>
        <v>0</v>
      </c>
      <c r="BD20" s="46">
        <f>0</f>
        <v>0</v>
      </c>
      <c r="BE20" s="46">
        <f>0</f>
        <v>0</v>
      </c>
      <c r="BF20" s="46">
        <f>0</f>
        <v>0</v>
      </c>
      <c r="BG20" s="46">
        <f>0</f>
        <v>0</v>
      </c>
      <c r="BH20" s="46">
        <f>0</f>
        <v>0</v>
      </c>
      <c r="BI20" s="46">
        <f>0</f>
        <v>0</v>
      </c>
    </row>
    <row r="21" spans="1:61" x14ac:dyDescent="0.25">
      <c r="A21" s="41" t="s">
        <v>258</v>
      </c>
      <c r="B21" s="49">
        <f t="shared" ref="B21:AG21" si="6">B15+B17+B18+B19+B20</f>
        <v>0</v>
      </c>
      <c r="C21" s="49">
        <f t="shared" si="6"/>
        <v>0</v>
      </c>
      <c r="D21" s="49">
        <f t="shared" si="6"/>
        <v>0</v>
      </c>
      <c r="E21" s="49">
        <f t="shared" si="6"/>
        <v>0</v>
      </c>
      <c r="F21" s="49">
        <f t="shared" si="6"/>
        <v>0</v>
      </c>
      <c r="G21" s="49">
        <f t="shared" si="6"/>
        <v>0</v>
      </c>
      <c r="H21" s="49">
        <f t="shared" si="6"/>
        <v>0</v>
      </c>
      <c r="I21" s="49">
        <f t="shared" si="6"/>
        <v>0</v>
      </c>
      <c r="J21" s="49">
        <f t="shared" si="6"/>
        <v>0</v>
      </c>
      <c r="K21" s="49">
        <f t="shared" si="6"/>
        <v>0</v>
      </c>
      <c r="L21" s="49">
        <f t="shared" si="6"/>
        <v>0</v>
      </c>
      <c r="M21" s="49">
        <f t="shared" si="6"/>
        <v>0</v>
      </c>
      <c r="N21" s="49">
        <f t="shared" si="6"/>
        <v>0</v>
      </c>
      <c r="O21" s="49">
        <f t="shared" si="6"/>
        <v>0</v>
      </c>
      <c r="P21" s="49">
        <f t="shared" si="6"/>
        <v>0</v>
      </c>
      <c r="Q21" s="49">
        <f t="shared" si="6"/>
        <v>0</v>
      </c>
      <c r="R21" s="49">
        <f t="shared" si="6"/>
        <v>0</v>
      </c>
      <c r="S21" s="49">
        <f t="shared" si="6"/>
        <v>0</v>
      </c>
      <c r="T21" s="49">
        <f t="shared" si="6"/>
        <v>0</v>
      </c>
      <c r="U21" s="49">
        <f t="shared" si="6"/>
        <v>0</v>
      </c>
      <c r="V21" s="49">
        <f t="shared" si="6"/>
        <v>0</v>
      </c>
      <c r="W21" s="49">
        <f t="shared" si="6"/>
        <v>0</v>
      </c>
      <c r="X21" s="49">
        <f t="shared" si="6"/>
        <v>0</v>
      </c>
      <c r="Y21" s="49">
        <f t="shared" si="6"/>
        <v>0</v>
      </c>
      <c r="Z21" s="49">
        <f t="shared" si="6"/>
        <v>0</v>
      </c>
      <c r="AA21" s="49">
        <f t="shared" si="6"/>
        <v>0</v>
      </c>
      <c r="AB21" s="49">
        <f t="shared" si="6"/>
        <v>0</v>
      </c>
      <c r="AC21" s="49">
        <f t="shared" si="6"/>
        <v>0</v>
      </c>
      <c r="AD21" s="49">
        <f t="shared" si="6"/>
        <v>0</v>
      </c>
      <c r="AE21" s="49">
        <f t="shared" si="6"/>
        <v>0</v>
      </c>
      <c r="AF21" s="49">
        <f t="shared" si="6"/>
        <v>0</v>
      </c>
      <c r="AG21" s="49">
        <f t="shared" si="6"/>
        <v>0</v>
      </c>
      <c r="AH21" s="49">
        <f t="shared" ref="AH21:BM21" si="7">AH15+AH17+AH18+AH19+AH20</f>
        <v>0</v>
      </c>
      <c r="AI21" s="49">
        <f t="shared" si="7"/>
        <v>0</v>
      </c>
      <c r="AJ21" s="49">
        <f t="shared" si="7"/>
        <v>0</v>
      </c>
      <c r="AK21" s="49">
        <f t="shared" si="7"/>
        <v>0</v>
      </c>
      <c r="AL21" s="49">
        <f t="shared" si="7"/>
        <v>0</v>
      </c>
      <c r="AM21" s="49">
        <f t="shared" si="7"/>
        <v>0</v>
      </c>
      <c r="AN21" s="49">
        <f t="shared" si="7"/>
        <v>0</v>
      </c>
      <c r="AO21" s="49">
        <f t="shared" si="7"/>
        <v>0</v>
      </c>
      <c r="AP21" s="49">
        <f t="shared" si="7"/>
        <v>0</v>
      </c>
      <c r="AQ21" s="49">
        <f t="shared" si="7"/>
        <v>0</v>
      </c>
      <c r="AR21" s="49">
        <f t="shared" si="7"/>
        <v>0</v>
      </c>
      <c r="AS21" s="49">
        <f t="shared" si="7"/>
        <v>0</v>
      </c>
      <c r="AT21" s="49">
        <f t="shared" si="7"/>
        <v>0</v>
      </c>
      <c r="AU21" s="49">
        <f t="shared" si="7"/>
        <v>0</v>
      </c>
      <c r="AV21" s="49">
        <f t="shared" si="7"/>
        <v>0</v>
      </c>
      <c r="AW21" s="49">
        <f t="shared" si="7"/>
        <v>0</v>
      </c>
      <c r="AX21" s="49">
        <f t="shared" si="7"/>
        <v>0</v>
      </c>
      <c r="AY21" s="49">
        <f t="shared" si="7"/>
        <v>0</v>
      </c>
      <c r="AZ21" s="49">
        <f t="shared" si="7"/>
        <v>0</v>
      </c>
      <c r="BA21" s="49">
        <f t="shared" si="7"/>
        <v>0</v>
      </c>
      <c r="BB21" s="49">
        <f t="shared" si="7"/>
        <v>0</v>
      </c>
      <c r="BC21" s="49">
        <f t="shared" si="7"/>
        <v>0</v>
      </c>
      <c r="BD21" s="49">
        <f t="shared" si="7"/>
        <v>0</v>
      </c>
      <c r="BE21" s="49">
        <f t="shared" si="7"/>
        <v>0</v>
      </c>
      <c r="BF21" s="49">
        <f t="shared" si="7"/>
        <v>0</v>
      </c>
      <c r="BG21" s="49">
        <f t="shared" si="7"/>
        <v>0</v>
      </c>
      <c r="BH21" s="49">
        <f t="shared" si="7"/>
        <v>0</v>
      </c>
      <c r="BI21" s="49">
        <f t="shared" si="7"/>
        <v>0</v>
      </c>
    </row>
    <row r="22" spans="1:61" ht="18" customHeight="1" x14ac:dyDescent="0.25">
      <c r="A22" s="9" t="s">
        <v>259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</row>
    <row r="23" spans="1:61" x14ac:dyDescent="0.25">
      <c r="A23" s="38" t="s">
        <v>260</v>
      </c>
      <c r="B23" s="46">
        <f>0</f>
        <v>0</v>
      </c>
      <c r="C23" s="46">
        <f t="shared" ref="C23:AH23" si="8">B24</f>
        <v>0</v>
      </c>
      <c r="D23" s="46">
        <f t="shared" si="8"/>
        <v>0</v>
      </c>
      <c r="E23" s="46">
        <f t="shared" si="8"/>
        <v>0</v>
      </c>
      <c r="F23" s="46">
        <f t="shared" si="8"/>
        <v>0</v>
      </c>
      <c r="G23" s="46">
        <f t="shared" si="8"/>
        <v>0</v>
      </c>
      <c r="H23" s="46">
        <f t="shared" si="8"/>
        <v>0</v>
      </c>
      <c r="I23" s="46">
        <f t="shared" si="8"/>
        <v>0</v>
      </c>
      <c r="J23" s="46">
        <f t="shared" si="8"/>
        <v>0</v>
      </c>
      <c r="K23" s="46">
        <f t="shared" si="8"/>
        <v>0</v>
      </c>
      <c r="L23" s="46">
        <f t="shared" si="8"/>
        <v>0</v>
      </c>
      <c r="M23" s="46">
        <f t="shared" si="8"/>
        <v>0</v>
      </c>
      <c r="N23" s="46">
        <f t="shared" si="8"/>
        <v>0</v>
      </c>
      <c r="O23" s="46">
        <f t="shared" si="8"/>
        <v>0</v>
      </c>
      <c r="P23" s="46">
        <f t="shared" si="8"/>
        <v>0</v>
      </c>
      <c r="Q23" s="46">
        <f t="shared" si="8"/>
        <v>0</v>
      </c>
      <c r="R23" s="46">
        <f t="shared" si="8"/>
        <v>0</v>
      </c>
      <c r="S23" s="46">
        <f t="shared" si="8"/>
        <v>0</v>
      </c>
      <c r="T23" s="46">
        <f t="shared" si="8"/>
        <v>0</v>
      </c>
      <c r="U23" s="46">
        <f t="shared" si="8"/>
        <v>0</v>
      </c>
      <c r="V23" s="46">
        <f t="shared" si="8"/>
        <v>0</v>
      </c>
      <c r="W23" s="46">
        <f t="shared" si="8"/>
        <v>0</v>
      </c>
      <c r="X23" s="46">
        <f t="shared" si="8"/>
        <v>0</v>
      </c>
      <c r="Y23" s="46">
        <f t="shared" si="8"/>
        <v>0</v>
      </c>
      <c r="Z23" s="46">
        <f t="shared" si="8"/>
        <v>0</v>
      </c>
      <c r="AA23" s="46">
        <f t="shared" si="8"/>
        <v>0</v>
      </c>
      <c r="AB23" s="46">
        <f t="shared" si="8"/>
        <v>0</v>
      </c>
      <c r="AC23" s="46">
        <f t="shared" si="8"/>
        <v>0</v>
      </c>
      <c r="AD23" s="46">
        <f t="shared" si="8"/>
        <v>0</v>
      </c>
      <c r="AE23" s="46">
        <f t="shared" si="8"/>
        <v>0</v>
      </c>
      <c r="AF23" s="46">
        <f t="shared" si="8"/>
        <v>0</v>
      </c>
      <c r="AG23" s="46">
        <f t="shared" si="8"/>
        <v>0</v>
      </c>
      <c r="AH23" s="46">
        <f t="shared" si="8"/>
        <v>0</v>
      </c>
      <c r="AI23" s="46">
        <f t="shared" ref="AI23:BI23" si="9">AH24</f>
        <v>0</v>
      </c>
      <c r="AJ23" s="46">
        <f t="shared" si="9"/>
        <v>0</v>
      </c>
      <c r="AK23" s="46">
        <f t="shared" si="9"/>
        <v>0</v>
      </c>
      <c r="AL23" s="46">
        <f t="shared" si="9"/>
        <v>0</v>
      </c>
      <c r="AM23" s="46">
        <f t="shared" si="9"/>
        <v>0</v>
      </c>
      <c r="AN23" s="46">
        <f t="shared" si="9"/>
        <v>0</v>
      </c>
      <c r="AO23" s="46">
        <f t="shared" si="9"/>
        <v>0</v>
      </c>
      <c r="AP23" s="46">
        <f t="shared" si="9"/>
        <v>0</v>
      </c>
      <c r="AQ23" s="46">
        <f t="shared" si="9"/>
        <v>0</v>
      </c>
      <c r="AR23" s="46">
        <f t="shared" si="9"/>
        <v>0</v>
      </c>
      <c r="AS23" s="46">
        <f t="shared" si="9"/>
        <v>0</v>
      </c>
      <c r="AT23" s="46">
        <f t="shared" si="9"/>
        <v>0</v>
      </c>
      <c r="AU23" s="46">
        <f t="shared" si="9"/>
        <v>0</v>
      </c>
      <c r="AV23" s="46">
        <f t="shared" si="9"/>
        <v>0</v>
      </c>
      <c r="AW23" s="46">
        <f t="shared" si="9"/>
        <v>0</v>
      </c>
      <c r="AX23" s="46">
        <f t="shared" si="9"/>
        <v>0</v>
      </c>
      <c r="AY23" s="46">
        <f t="shared" si="9"/>
        <v>0</v>
      </c>
      <c r="AZ23" s="46">
        <f t="shared" si="9"/>
        <v>0</v>
      </c>
      <c r="BA23" s="46">
        <f t="shared" si="9"/>
        <v>0</v>
      </c>
      <c r="BB23" s="46">
        <f t="shared" si="9"/>
        <v>0</v>
      </c>
      <c r="BC23" s="46">
        <f t="shared" si="9"/>
        <v>0</v>
      </c>
      <c r="BD23" s="46">
        <f t="shared" si="9"/>
        <v>0</v>
      </c>
      <c r="BE23" s="46">
        <f t="shared" si="9"/>
        <v>0</v>
      </c>
      <c r="BF23" s="46">
        <f t="shared" si="9"/>
        <v>0</v>
      </c>
      <c r="BG23" s="46">
        <f t="shared" si="9"/>
        <v>0</v>
      </c>
      <c r="BH23" s="46">
        <f t="shared" si="9"/>
        <v>0</v>
      </c>
      <c r="BI23" s="46">
        <f t="shared" si="9"/>
        <v>0</v>
      </c>
    </row>
    <row r="24" spans="1:61" x14ac:dyDescent="0.25">
      <c r="A24" s="43" t="s">
        <v>261</v>
      </c>
      <c r="B24" s="47">
        <f t="shared" ref="B24:AG24" si="10">B23+B21</f>
        <v>0</v>
      </c>
      <c r="C24" s="47">
        <f t="shared" si="10"/>
        <v>0</v>
      </c>
      <c r="D24" s="47">
        <f t="shared" si="10"/>
        <v>0</v>
      </c>
      <c r="E24" s="47">
        <f t="shared" si="10"/>
        <v>0</v>
      </c>
      <c r="F24" s="47">
        <f t="shared" si="10"/>
        <v>0</v>
      </c>
      <c r="G24" s="47">
        <f t="shared" si="10"/>
        <v>0</v>
      </c>
      <c r="H24" s="47">
        <f t="shared" si="10"/>
        <v>0</v>
      </c>
      <c r="I24" s="47">
        <f t="shared" si="10"/>
        <v>0</v>
      </c>
      <c r="J24" s="47">
        <f t="shared" si="10"/>
        <v>0</v>
      </c>
      <c r="K24" s="47">
        <f t="shared" si="10"/>
        <v>0</v>
      </c>
      <c r="L24" s="47">
        <f t="shared" si="10"/>
        <v>0</v>
      </c>
      <c r="M24" s="47">
        <f t="shared" si="10"/>
        <v>0</v>
      </c>
      <c r="N24" s="47">
        <f t="shared" si="10"/>
        <v>0</v>
      </c>
      <c r="O24" s="47">
        <f t="shared" si="10"/>
        <v>0</v>
      </c>
      <c r="P24" s="47">
        <f t="shared" si="10"/>
        <v>0</v>
      </c>
      <c r="Q24" s="47">
        <f t="shared" si="10"/>
        <v>0</v>
      </c>
      <c r="R24" s="47">
        <f t="shared" si="10"/>
        <v>0</v>
      </c>
      <c r="S24" s="47">
        <f t="shared" si="10"/>
        <v>0</v>
      </c>
      <c r="T24" s="47">
        <f t="shared" si="10"/>
        <v>0</v>
      </c>
      <c r="U24" s="47">
        <f t="shared" si="10"/>
        <v>0</v>
      </c>
      <c r="V24" s="47">
        <f t="shared" si="10"/>
        <v>0</v>
      </c>
      <c r="W24" s="47">
        <f t="shared" si="10"/>
        <v>0</v>
      </c>
      <c r="X24" s="47">
        <f t="shared" si="10"/>
        <v>0</v>
      </c>
      <c r="Y24" s="47">
        <f t="shared" si="10"/>
        <v>0</v>
      </c>
      <c r="Z24" s="47">
        <f t="shared" si="10"/>
        <v>0</v>
      </c>
      <c r="AA24" s="47">
        <f t="shared" si="10"/>
        <v>0</v>
      </c>
      <c r="AB24" s="47">
        <f t="shared" si="10"/>
        <v>0</v>
      </c>
      <c r="AC24" s="47">
        <f t="shared" si="10"/>
        <v>0</v>
      </c>
      <c r="AD24" s="47">
        <f t="shared" si="10"/>
        <v>0</v>
      </c>
      <c r="AE24" s="47">
        <f t="shared" si="10"/>
        <v>0</v>
      </c>
      <c r="AF24" s="47">
        <f t="shared" si="10"/>
        <v>0</v>
      </c>
      <c r="AG24" s="47">
        <f t="shared" si="10"/>
        <v>0</v>
      </c>
      <c r="AH24" s="47">
        <f t="shared" ref="AH24:BM24" si="11">AH23+AH21</f>
        <v>0</v>
      </c>
      <c r="AI24" s="47">
        <f t="shared" si="11"/>
        <v>0</v>
      </c>
      <c r="AJ24" s="47">
        <f t="shared" si="11"/>
        <v>0</v>
      </c>
      <c r="AK24" s="47">
        <f t="shared" si="11"/>
        <v>0</v>
      </c>
      <c r="AL24" s="47">
        <f t="shared" si="11"/>
        <v>0</v>
      </c>
      <c r="AM24" s="47">
        <f t="shared" si="11"/>
        <v>0</v>
      </c>
      <c r="AN24" s="47">
        <f t="shared" si="11"/>
        <v>0</v>
      </c>
      <c r="AO24" s="47">
        <f t="shared" si="11"/>
        <v>0</v>
      </c>
      <c r="AP24" s="47">
        <f t="shared" si="11"/>
        <v>0</v>
      </c>
      <c r="AQ24" s="47">
        <f t="shared" si="11"/>
        <v>0</v>
      </c>
      <c r="AR24" s="47">
        <f t="shared" si="11"/>
        <v>0</v>
      </c>
      <c r="AS24" s="47">
        <f t="shared" si="11"/>
        <v>0</v>
      </c>
      <c r="AT24" s="47">
        <f t="shared" si="11"/>
        <v>0</v>
      </c>
      <c r="AU24" s="47">
        <f t="shared" si="11"/>
        <v>0</v>
      </c>
      <c r="AV24" s="47">
        <f t="shared" si="11"/>
        <v>0</v>
      </c>
      <c r="AW24" s="47">
        <f t="shared" si="11"/>
        <v>0</v>
      </c>
      <c r="AX24" s="47">
        <f t="shared" si="11"/>
        <v>0</v>
      </c>
      <c r="AY24" s="47">
        <f t="shared" si="11"/>
        <v>0</v>
      </c>
      <c r="AZ24" s="47">
        <f t="shared" si="11"/>
        <v>0</v>
      </c>
      <c r="BA24" s="47">
        <f t="shared" si="11"/>
        <v>0</v>
      </c>
      <c r="BB24" s="47">
        <f t="shared" si="11"/>
        <v>0</v>
      </c>
      <c r="BC24" s="47">
        <f t="shared" si="11"/>
        <v>0</v>
      </c>
      <c r="BD24" s="47">
        <f t="shared" si="11"/>
        <v>0</v>
      </c>
      <c r="BE24" s="47">
        <f t="shared" si="11"/>
        <v>0</v>
      </c>
      <c r="BF24" s="47">
        <f t="shared" si="11"/>
        <v>0</v>
      </c>
      <c r="BG24" s="47">
        <f t="shared" si="11"/>
        <v>0</v>
      </c>
      <c r="BH24" s="47">
        <f t="shared" si="11"/>
        <v>0</v>
      </c>
      <c r="BI24" s="47">
        <f t="shared" si="11"/>
        <v>0</v>
      </c>
    </row>
  </sheetData>
  <mergeCells count="10">
    <mergeCell ref="A7:BI7"/>
    <mergeCell ref="A16:BI16"/>
    <mergeCell ref="A22:BI22"/>
    <mergeCell ref="A1:BI1"/>
    <mergeCell ref="A2:BI2"/>
    <mergeCell ref="B4:M4"/>
    <mergeCell ref="N4:Y4"/>
    <mergeCell ref="Z4:AK4"/>
    <mergeCell ref="AL4:AW4"/>
    <mergeCell ref="AX4:BI4"/>
  </mergeCells>
  <pageMargins left="0.75" right="0.75" top="1" bottom="1" header="0.511811023622047" footer="0.511811023622047"/>
  <pageSetup paperSize="9" orientation="portrait" horizontalDpi="300" verticalDpi="300"/>
  <ignoredErrors>
    <ignoredError sqref="C18:BI18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3294B"/>
  </sheetPr>
  <dimension ref="A1:H26"/>
  <sheetViews>
    <sheetView showGridLines="0" zoomScaleNormal="100" workbookViewId="0">
      <selection sqref="A1:XFD1048576"/>
    </sheetView>
  </sheetViews>
  <sheetFormatPr defaultColWidth="8.7109375" defaultRowHeight="15" x14ac:dyDescent="0.25"/>
  <cols>
    <col min="1" max="1" width="3" customWidth="1"/>
    <col min="2" max="2" width="36" customWidth="1"/>
    <col min="3" max="7" width="16" customWidth="1"/>
    <col min="8" max="8" width="18" customWidth="1"/>
  </cols>
  <sheetData>
    <row r="1" spans="1:8" ht="33.75" customHeight="1" x14ac:dyDescent="0.25">
      <c r="A1" s="5" t="s">
        <v>262</v>
      </c>
      <c r="B1" s="5"/>
      <c r="C1" s="5"/>
      <c r="D1" s="5"/>
      <c r="E1" s="5"/>
      <c r="F1" s="5"/>
      <c r="G1" s="5"/>
      <c r="H1" s="5"/>
    </row>
    <row r="2" spans="1:8" x14ac:dyDescent="0.25">
      <c r="A2" s="4" t="s">
        <v>263</v>
      </c>
      <c r="B2" s="4"/>
      <c r="C2" s="4"/>
      <c r="D2" s="4"/>
      <c r="E2" s="4"/>
      <c r="F2" s="4"/>
      <c r="G2" s="4"/>
      <c r="H2" s="4"/>
    </row>
    <row r="4" spans="1:8" x14ac:dyDescent="0.25">
      <c r="B4" s="19" t="s">
        <v>264</v>
      </c>
      <c r="C4" s="20" t="s">
        <v>36</v>
      </c>
      <c r="D4" s="20" t="s">
        <v>37</v>
      </c>
      <c r="E4" s="20" t="s">
        <v>38</v>
      </c>
      <c r="F4" s="20" t="s">
        <v>39</v>
      </c>
      <c r="G4" s="20" t="s">
        <v>40</v>
      </c>
      <c r="H4" s="20" t="s">
        <v>265</v>
      </c>
    </row>
    <row r="5" spans="1:8" x14ac:dyDescent="0.25">
      <c r="B5" s="21" t="s">
        <v>266</v>
      </c>
      <c r="C5" s="39">
        <f>AVERAGE(Production!B8:M8)</f>
        <v>0</v>
      </c>
      <c r="D5" s="39">
        <f>AVERAGE(Production!N8:Y8)</f>
        <v>0</v>
      </c>
      <c r="E5" s="39">
        <f>AVERAGE(Production!Z8:AK8)</f>
        <v>0</v>
      </c>
      <c r="F5" s="39">
        <f>AVERAGE(Production!AL8:AW8)</f>
        <v>0</v>
      </c>
      <c r="G5" s="39">
        <f>AVERAGE(Production!AX8:BI8)</f>
        <v>0</v>
      </c>
      <c r="H5" s="42">
        <f>AVERAGE(C5:G5)</f>
        <v>0</v>
      </c>
    </row>
    <row r="6" spans="1:8" x14ac:dyDescent="0.25">
      <c r="B6" s="21" t="s">
        <v>267</v>
      </c>
      <c r="C6" s="40">
        <f>IFERROR(AVERAGE(Production!B9:M9),0)</f>
        <v>0</v>
      </c>
      <c r="D6" s="40">
        <f>IFERROR(AVERAGE(Production!N9:Y9),0)</f>
        <v>0</v>
      </c>
      <c r="E6" s="40">
        <f>IFERROR(AVERAGE(Production!Z9:AK9),0)</f>
        <v>0</v>
      </c>
      <c r="F6" s="40">
        <f>IFERROR(AVERAGE(Production!AL9:AW9),0)</f>
        <v>0</v>
      </c>
      <c r="G6" s="40">
        <f>IFERROR(AVERAGE(Production!AX9:BI9),0)</f>
        <v>0</v>
      </c>
      <c r="H6" s="53">
        <f>IFERROR(AVERAGE(C6:G6),0)</f>
        <v>0</v>
      </c>
    </row>
    <row r="7" spans="1:8" x14ac:dyDescent="0.25">
      <c r="B7" s="21" t="s">
        <v>193</v>
      </c>
      <c r="C7" s="39">
        <f>SUM(Production!B12:M12)</f>
        <v>0</v>
      </c>
      <c r="D7" s="39">
        <f>SUM(Production!N12:Y12)</f>
        <v>0</v>
      </c>
      <c r="E7" s="39">
        <f>SUM(Production!Z12:AK12)</f>
        <v>0</v>
      </c>
      <c r="F7" s="39">
        <f>SUM(Production!AL12:AW12)</f>
        <v>0</v>
      </c>
      <c r="G7" s="39">
        <f>SUM(Production!AX12:BI12)</f>
        <v>0</v>
      </c>
      <c r="H7" s="42">
        <f>SUM(C7:G7)</f>
        <v>0</v>
      </c>
    </row>
    <row r="8" spans="1:8" x14ac:dyDescent="0.25">
      <c r="B8" s="21" t="s">
        <v>198</v>
      </c>
      <c r="C8" s="39">
        <f>SUM(Sales!B10:M10)</f>
        <v>0</v>
      </c>
      <c r="D8" s="39">
        <f>SUM(Sales!N10:Y10)</f>
        <v>0</v>
      </c>
      <c r="E8" s="39">
        <f>SUM(Sales!Z10:AK10)</f>
        <v>0</v>
      </c>
      <c r="F8" s="39">
        <f>SUM(Sales!AL10:AW10)</f>
        <v>0</v>
      </c>
      <c r="G8" s="39">
        <f>SUM(Sales!AX10:BI10)</f>
        <v>0</v>
      </c>
      <c r="H8" s="42">
        <f>SUM(C8:G8)</f>
        <v>0</v>
      </c>
    </row>
    <row r="9" spans="1:8" x14ac:dyDescent="0.25">
      <c r="B9" s="54" t="s">
        <v>227</v>
      </c>
      <c r="C9" s="55">
        <f>SUM(Sales!B14:M14)</f>
        <v>0</v>
      </c>
      <c r="D9" s="55">
        <f>SUM(Sales!N14:Y14)</f>
        <v>0</v>
      </c>
      <c r="E9" s="55">
        <f>SUM(Sales!Z14:AK14)</f>
        <v>0</v>
      </c>
      <c r="F9" s="55">
        <f>SUM(Sales!AL14:AW14)</f>
        <v>0</v>
      </c>
      <c r="G9" s="55">
        <f>SUM(Sales!AX14:BI14)</f>
        <v>0</v>
      </c>
      <c r="H9" s="47">
        <f>SUM(C9:G9)</f>
        <v>0</v>
      </c>
    </row>
    <row r="10" spans="1:8" x14ac:dyDescent="0.25">
      <c r="B10" s="21" t="s">
        <v>268</v>
      </c>
      <c r="C10" s="48">
        <f>SUM(Expenses!B17:M17)</f>
        <v>0</v>
      </c>
      <c r="D10" s="48">
        <f>SUM(Expenses!N17:Y17)</f>
        <v>0</v>
      </c>
      <c r="E10" s="48">
        <f>SUM(Expenses!Z17:AK17)</f>
        <v>0</v>
      </c>
      <c r="F10" s="48">
        <f>SUM(Expenses!AL17:AW17)</f>
        <v>0</v>
      </c>
      <c r="G10" s="48">
        <f>SUM(Expenses!AX17:BI17)</f>
        <v>0</v>
      </c>
      <c r="H10" s="49">
        <f>SUM(C10:G10)</f>
        <v>0</v>
      </c>
    </row>
    <row r="11" spans="1:8" x14ac:dyDescent="0.25">
      <c r="B11" s="54" t="s">
        <v>229</v>
      </c>
      <c r="C11" s="55">
        <f>SUM('P&amp;L'!B10:M10)</f>
        <v>0</v>
      </c>
      <c r="D11" s="55">
        <f>SUM('P&amp;L'!N10:Y10)</f>
        <v>0</v>
      </c>
      <c r="E11" s="55">
        <f>SUM('P&amp;L'!Z10:AK10)</f>
        <v>0</v>
      </c>
      <c r="F11" s="55">
        <f>SUM('P&amp;L'!AL10:AW10)</f>
        <v>0</v>
      </c>
      <c r="G11" s="55">
        <f>SUM('P&amp;L'!AX10:BI10)</f>
        <v>0</v>
      </c>
      <c r="H11" s="47">
        <f>SUM(C11:G11)</f>
        <v>0</v>
      </c>
    </row>
    <row r="12" spans="1:8" x14ac:dyDescent="0.25">
      <c r="B12" s="21" t="s">
        <v>269</v>
      </c>
      <c r="C12" s="52">
        <f t="shared" ref="C12:H12" si="0">IFERROR(C11/C9,0)</f>
        <v>0</v>
      </c>
      <c r="D12" s="52">
        <f t="shared" si="0"/>
        <v>0</v>
      </c>
      <c r="E12" s="52">
        <f t="shared" si="0"/>
        <v>0</v>
      </c>
      <c r="F12" s="52">
        <f t="shared" si="0"/>
        <v>0</v>
      </c>
      <c r="G12" s="52">
        <f t="shared" si="0"/>
        <v>0</v>
      </c>
      <c r="H12" s="56">
        <f t="shared" si="0"/>
        <v>0</v>
      </c>
    </row>
    <row r="13" spans="1:8" x14ac:dyDescent="0.25">
      <c r="B13" s="21" t="s">
        <v>270</v>
      </c>
      <c r="C13" s="48">
        <f>SUM(Expenses!B25:M25)</f>
        <v>0</v>
      </c>
      <c r="D13" s="48">
        <f>SUM(Expenses!N25:Y25)</f>
        <v>0</v>
      </c>
      <c r="E13" s="48">
        <f>SUM(Expenses!Z25:AK25)</f>
        <v>0</v>
      </c>
      <c r="F13" s="48">
        <f>SUM(Expenses!AL25:AW25)</f>
        <v>0</v>
      </c>
      <c r="G13" s="48">
        <f>SUM(Expenses!AX25:BI25)</f>
        <v>0</v>
      </c>
      <c r="H13" s="49">
        <f>SUM(C13:G13)</f>
        <v>0</v>
      </c>
    </row>
    <row r="14" spans="1:8" x14ac:dyDescent="0.25">
      <c r="B14" s="54" t="s">
        <v>232</v>
      </c>
      <c r="C14" s="55">
        <f>SUM('P&amp;L'!B13:M13)</f>
        <v>0</v>
      </c>
      <c r="D14" s="55">
        <f>SUM('P&amp;L'!N13:Y13)</f>
        <v>0</v>
      </c>
      <c r="E14" s="55">
        <f>SUM('P&amp;L'!Z13:AK13)</f>
        <v>0</v>
      </c>
      <c r="F14" s="55">
        <f>SUM('P&amp;L'!AL13:AW13)</f>
        <v>0</v>
      </c>
      <c r="G14" s="55">
        <f>SUM('P&amp;L'!AX13:BI13)</f>
        <v>0</v>
      </c>
      <c r="H14" s="47">
        <f>SUM(C14:G14)</f>
        <v>0</v>
      </c>
    </row>
    <row r="15" spans="1:8" x14ac:dyDescent="0.25">
      <c r="B15" s="21" t="s">
        <v>271</v>
      </c>
      <c r="C15" s="52">
        <f t="shared" ref="C15:H15" si="1">IFERROR(C14/C9,0)</f>
        <v>0</v>
      </c>
      <c r="D15" s="52">
        <f t="shared" si="1"/>
        <v>0</v>
      </c>
      <c r="E15" s="52">
        <f t="shared" si="1"/>
        <v>0</v>
      </c>
      <c r="F15" s="52">
        <f t="shared" si="1"/>
        <v>0</v>
      </c>
      <c r="G15" s="52">
        <f t="shared" si="1"/>
        <v>0</v>
      </c>
      <c r="H15" s="56">
        <f t="shared" si="1"/>
        <v>0</v>
      </c>
    </row>
    <row r="16" spans="1:8" x14ac:dyDescent="0.25">
      <c r="B16" s="21" t="s">
        <v>217</v>
      </c>
      <c r="C16" s="48">
        <f>SUM('P&amp;L'!B15:M15)</f>
        <v>0</v>
      </c>
      <c r="D16" s="48">
        <f>SUM('P&amp;L'!N15:Y15)</f>
        <v>0</v>
      </c>
      <c r="E16" s="48">
        <f>SUM('P&amp;L'!Z15:AK15)</f>
        <v>0</v>
      </c>
      <c r="F16" s="48">
        <f>SUM('P&amp;L'!AL15:AW15)</f>
        <v>0</v>
      </c>
      <c r="G16" s="48">
        <f>SUM('P&amp;L'!AX15:BI15)</f>
        <v>0</v>
      </c>
      <c r="H16" s="49">
        <f t="shared" ref="H16:H21" si="2">SUM(C16:G16)</f>
        <v>0</v>
      </c>
    </row>
    <row r="17" spans="2:8" x14ac:dyDescent="0.25">
      <c r="B17" s="54" t="s">
        <v>235</v>
      </c>
      <c r="C17" s="55">
        <f>SUM('P&amp;L'!B16:M16)</f>
        <v>0</v>
      </c>
      <c r="D17" s="55">
        <f>SUM('P&amp;L'!N16:Y16)</f>
        <v>0</v>
      </c>
      <c r="E17" s="55">
        <f>SUM('P&amp;L'!Z16:AK16)</f>
        <v>0</v>
      </c>
      <c r="F17" s="55">
        <f>SUM('P&amp;L'!AL16:AW16)</f>
        <v>0</v>
      </c>
      <c r="G17" s="55">
        <f>SUM('P&amp;L'!AX16:BI16)</f>
        <v>0</v>
      </c>
      <c r="H17" s="47">
        <f t="shared" si="2"/>
        <v>0</v>
      </c>
    </row>
    <row r="18" spans="2:8" x14ac:dyDescent="0.25">
      <c r="B18" s="21" t="s">
        <v>221</v>
      </c>
      <c r="C18" s="48">
        <f>SUM('P&amp;L'!B17:M17)</f>
        <v>0</v>
      </c>
      <c r="D18" s="48">
        <f>SUM('P&amp;L'!N17:Y17)</f>
        <v>0</v>
      </c>
      <c r="E18" s="48">
        <f>SUM('P&amp;L'!Z17:AK17)</f>
        <v>0</v>
      </c>
      <c r="F18" s="48">
        <f>SUM('P&amp;L'!AL17:AW17)</f>
        <v>0</v>
      </c>
      <c r="G18" s="48">
        <f>SUM('P&amp;L'!AX17:BI17)</f>
        <v>0</v>
      </c>
      <c r="H18" s="49">
        <f t="shared" si="2"/>
        <v>0</v>
      </c>
    </row>
    <row r="19" spans="2:8" x14ac:dyDescent="0.25">
      <c r="B19" s="54" t="s">
        <v>237</v>
      </c>
      <c r="C19" s="55">
        <f>SUM('P&amp;L'!B18:M18)</f>
        <v>0</v>
      </c>
      <c r="D19" s="55">
        <f>SUM('P&amp;L'!N18:Y18)</f>
        <v>0</v>
      </c>
      <c r="E19" s="55">
        <f>SUM('P&amp;L'!Z18:AK18)</f>
        <v>0</v>
      </c>
      <c r="F19" s="55">
        <f>SUM('P&amp;L'!AL18:AW18)</f>
        <v>0</v>
      </c>
      <c r="G19" s="55">
        <f>SUM('P&amp;L'!AX18:BI18)</f>
        <v>0</v>
      </c>
      <c r="H19" s="47">
        <f t="shared" si="2"/>
        <v>0</v>
      </c>
    </row>
    <row r="20" spans="2:8" x14ac:dyDescent="0.25">
      <c r="B20" s="21" t="s">
        <v>272</v>
      </c>
      <c r="C20" s="48">
        <f>SUM('P&amp;L'!B19:M19)</f>
        <v>0</v>
      </c>
      <c r="D20" s="48">
        <f>SUM('P&amp;L'!N19:Y19)</f>
        <v>0</v>
      </c>
      <c r="E20" s="48">
        <f>SUM('P&amp;L'!Z19:AK19)</f>
        <v>0</v>
      </c>
      <c r="F20" s="48">
        <f>SUM('P&amp;L'!AL19:AW19)</f>
        <v>0</v>
      </c>
      <c r="G20" s="48">
        <f>SUM('P&amp;L'!AX19:BI19)</f>
        <v>0</v>
      </c>
      <c r="H20" s="49">
        <f t="shared" si="2"/>
        <v>0</v>
      </c>
    </row>
    <row r="21" spans="2:8" x14ac:dyDescent="0.25">
      <c r="B21" s="54" t="s">
        <v>239</v>
      </c>
      <c r="C21" s="55">
        <f>SUM('P&amp;L'!B20:M20)</f>
        <v>0</v>
      </c>
      <c r="D21" s="55">
        <f>SUM('P&amp;L'!N20:Y20)</f>
        <v>0</v>
      </c>
      <c r="E21" s="55">
        <f>SUM('P&amp;L'!Z20:AK20)</f>
        <v>0</v>
      </c>
      <c r="F21" s="55">
        <f>SUM('P&amp;L'!AL20:AW20)</f>
        <v>0</v>
      </c>
      <c r="G21" s="55">
        <f>SUM('P&amp;L'!AX20:BI20)</f>
        <v>0</v>
      </c>
      <c r="H21" s="47">
        <f t="shared" si="2"/>
        <v>0</v>
      </c>
    </row>
    <row r="22" spans="2:8" x14ac:dyDescent="0.25">
      <c r="B22" s="21" t="s">
        <v>273</v>
      </c>
      <c r="C22" s="52">
        <f t="shared" ref="C22:H22" si="3">IFERROR(C21/C9,0)</f>
        <v>0</v>
      </c>
      <c r="D22" s="52">
        <f t="shared" si="3"/>
        <v>0</v>
      </c>
      <c r="E22" s="52">
        <f t="shared" si="3"/>
        <v>0</v>
      </c>
      <c r="F22" s="52">
        <f t="shared" si="3"/>
        <v>0</v>
      </c>
      <c r="G22" s="52">
        <f t="shared" si="3"/>
        <v>0</v>
      </c>
      <c r="H22" s="56">
        <f t="shared" si="3"/>
        <v>0</v>
      </c>
    </row>
    <row r="23" spans="2:8" x14ac:dyDescent="0.25">
      <c r="B23" s="21" t="s">
        <v>241</v>
      </c>
      <c r="C23" s="46">
        <f>C21</f>
        <v>0</v>
      </c>
      <c r="D23" s="46">
        <f>C23+D21</f>
        <v>0</v>
      </c>
      <c r="E23" s="46">
        <f>D23+E21</f>
        <v>0</v>
      </c>
      <c r="F23" s="46">
        <f>E23+F21</f>
        <v>0</v>
      </c>
      <c r="G23" s="46">
        <f>F23+G21</f>
        <v>0</v>
      </c>
      <c r="H23" s="49">
        <f>G23</f>
        <v>0</v>
      </c>
    </row>
    <row r="24" spans="2:8" x14ac:dyDescent="0.25">
      <c r="B24" s="21" t="s">
        <v>274</v>
      </c>
      <c r="C24" s="48">
        <f>SUM('Cash Flow'!B15:M15)</f>
        <v>0</v>
      </c>
      <c r="D24" s="48">
        <f>SUM('Cash Flow'!N15:Y15)</f>
        <v>0</v>
      </c>
      <c r="E24" s="48">
        <f>SUM('Cash Flow'!Z15:AK15)</f>
        <v>0</v>
      </c>
      <c r="F24" s="48">
        <f>SUM('Cash Flow'!AL15:AW15)</f>
        <v>0</v>
      </c>
      <c r="G24" s="48">
        <f>SUM('Cash Flow'!AX15:BI15)</f>
        <v>0</v>
      </c>
      <c r="H24" s="49">
        <f>SUM(C24:G24)</f>
        <v>0</v>
      </c>
    </row>
    <row r="25" spans="2:8" x14ac:dyDescent="0.25">
      <c r="B25" s="21" t="s">
        <v>258</v>
      </c>
      <c r="C25" s="48">
        <f>SUM('Cash Flow'!B21:M21)</f>
        <v>0</v>
      </c>
      <c r="D25" s="48">
        <f>SUM('Cash Flow'!N21:Y21)</f>
        <v>0</v>
      </c>
      <c r="E25" s="48">
        <f>SUM('Cash Flow'!Z21:AK21)</f>
        <v>0</v>
      </c>
      <c r="F25" s="48">
        <f>SUM('Cash Flow'!AL21:AW21)</f>
        <v>0</v>
      </c>
      <c r="G25" s="48">
        <f>SUM('Cash Flow'!AX21:BI21)</f>
        <v>0</v>
      </c>
      <c r="H25" s="49">
        <f>SUM(C25:G25)</f>
        <v>0</v>
      </c>
    </row>
    <row r="26" spans="2:8" x14ac:dyDescent="0.25">
      <c r="B26" s="54" t="s">
        <v>261</v>
      </c>
      <c r="C26" s="55">
        <f>'Cash Flow'!M24</f>
        <v>0</v>
      </c>
      <c r="D26" s="55">
        <f>'Cash Flow'!Y24</f>
        <v>0</v>
      </c>
      <c r="E26" s="55">
        <f>'Cash Flow'!AK24</f>
        <v>0</v>
      </c>
      <c r="F26" s="55">
        <f>'Cash Flow'!AW24</f>
        <v>0</v>
      </c>
      <c r="G26" s="55">
        <f>'Cash Flow'!BI24</f>
        <v>0</v>
      </c>
      <c r="H26" s="47">
        <f>G26</f>
        <v>0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ignoredErrors>
    <ignoredError sqref="H12 H15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9A227"/>
  </sheetPr>
  <dimension ref="A1:H45"/>
  <sheetViews>
    <sheetView showGridLines="0" zoomScaleNormal="100" workbookViewId="0">
      <selection sqref="A1:XFD1048576"/>
    </sheetView>
  </sheetViews>
  <sheetFormatPr defaultColWidth="8.7109375" defaultRowHeight="15" x14ac:dyDescent="0.25"/>
  <cols>
    <col min="1" max="1" width="3" customWidth="1"/>
    <col min="2" max="2" width="40" customWidth="1"/>
    <col min="3" max="8" width="16" customWidth="1"/>
  </cols>
  <sheetData>
    <row r="1" spans="1:8" ht="33.75" customHeight="1" x14ac:dyDescent="0.25">
      <c r="A1" s="5" t="s">
        <v>275</v>
      </c>
      <c r="B1" s="5"/>
      <c r="C1" s="5"/>
      <c r="D1" s="5"/>
      <c r="E1" s="5"/>
      <c r="F1" s="5"/>
      <c r="G1" s="5"/>
      <c r="H1" s="5"/>
    </row>
    <row r="2" spans="1:8" x14ac:dyDescent="0.25">
      <c r="A2" s="4" t="s">
        <v>276</v>
      </c>
      <c r="B2" s="4"/>
      <c r="C2" s="4"/>
      <c r="D2" s="4"/>
      <c r="E2" s="4"/>
      <c r="F2" s="4"/>
      <c r="G2" s="4"/>
      <c r="H2" s="4"/>
    </row>
    <row r="4" spans="1:8" ht="18" customHeight="1" x14ac:dyDescent="0.25">
      <c r="A4" s="9" t="s">
        <v>277</v>
      </c>
      <c r="B4" s="9"/>
      <c r="C4" s="9"/>
      <c r="D4" s="9"/>
      <c r="E4" s="9"/>
      <c r="F4" s="9"/>
      <c r="G4" s="9"/>
      <c r="H4" s="9"/>
    </row>
    <row r="5" spans="1:8" x14ac:dyDescent="0.25">
      <c r="B5" s="21" t="s">
        <v>95</v>
      </c>
      <c r="C5" s="57"/>
      <c r="D5" s="48">
        <f>Assumptions!$D$46</f>
        <v>0</v>
      </c>
    </row>
    <row r="6" spans="1:8" x14ac:dyDescent="0.25">
      <c r="B6" s="21" t="s">
        <v>97</v>
      </c>
      <c r="C6" s="57"/>
      <c r="D6" s="48">
        <f>Assumptions!$D$47</f>
        <v>0</v>
      </c>
    </row>
    <row r="7" spans="1:8" x14ac:dyDescent="0.25">
      <c r="B7" s="21" t="s">
        <v>98</v>
      </c>
      <c r="C7" s="57"/>
      <c r="D7" s="48">
        <f>Assumptions!$D$48</f>
        <v>0</v>
      </c>
    </row>
    <row r="8" spans="1:8" x14ac:dyDescent="0.25">
      <c r="B8" s="21" t="s">
        <v>99</v>
      </c>
      <c r="C8" s="57"/>
      <c r="D8" s="48">
        <f>Assumptions!$D$49</f>
        <v>0</v>
      </c>
    </row>
    <row r="9" spans="1:8" x14ac:dyDescent="0.25">
      <c r="B9" s="21" t="s">
        <v>101</v>
      </c>
      <c r="C9" s="57"/>
      <c r="D9" s="46">
        <f>(Assumptions!$D$46+Assumptions!$D$47+Assumptions!$D$48+Assumptions!$D$49)*Assumptions!$D$51</f>
        <v>0</v>
      </c>
    </row>
    <row r="10" spans="1:8" x14ac:dyDescent="0.25">
      <c r="B10" s="21" t="s">
        <v>278</v>
      </c>
      <c r="C10" s="57"/>
      <c r="D10" s="48">
        <f>Assumptions!$D$50</f>
        <v>0</v>
      </c>
    </row>
    <row r="11" spans="1:8" x14ac:dyDescent="0.25">
      <c r="B11" s="21" t="s">
        <v>279</v>
      </c>
      <c r="C11" s="57"/>
      <c r="D11" s="46">
        <f>IFERROR('Annual Summary'!C9*Assumptions!$D$38/365,0)+IFERROR('Annual Summary'!C10*Assumptions!$D$39/365,0)-IFERROR('Annual Summary'!C10*Assumptions!$D$40/365,0)</f>
        <v>0</v>
      </c>
    </row>
    <row r="12" spans="1:8" x14ac:dyDescent="0.25">
      <c r="B12" s="54" t="s">
        <v>280</v>
      </c>
      <c r="C12" s="58"/>
      <c r="D12" s="49">
        <f>SUM(D5:D11)</f>
        <v>0</v>
      </c>
    </row>
    <row r="14" spans="1:8" ht="18" customHeight="1" x14ac:dyDescent="0.25">
      <c r="A14" s="9" t="s">
        <v>281</v>
      </c>
      <c r="B14" s="9"/>
      <c r="C14" s="9"/>
      <c r="D14" s="9"/>
      <c r="E14" s="9"/>
      <c r="F14" s="9"/>
      <c r="G14" s="9"/>
      <c r="H14" s="9"/>
    </row>
    <row r="15" spans="1:8" x14ac:dyDescent="0.25">
      <c r="B15" s="21" t="s">
        <v>109</v>
      </c>
      <c r="C15" s="57"/>
      <c r="D15" s="48">
        <f>Assumptions!$D$58</f>
        <v>0</v>
      </c>
    </row>
    <row r="16" spans="1:8" x14ac:dyDescent="0.25">
      <c r="B16" s="59" t="s">
        <v>110</v>
      </c>
      <c r="C16" s="60"/>
      <c r="D16" s="61">
        <f>Assumptions!$D$59</f>
        <v>0</v>
      </c>
    </row>
    <row r="17" spans="1:8" x14ac:dyDescent="0.25">
      <c r="B17" s="21" t="s">
        <v>111</v>
      </c>
      <c r="C17" s="57"/>
      <c r="D17" s="48">
        <f>Assumptions!$D$60</f>
        <v>0</v>
      </c>
    </row>
    <row r="18" spans="1:8" x14ac:dyDescent="0.25">
      <c r="B18" s="54" t="s">
        <v>282</v>
      </c>
      <c r="C18" s="58"/>
      <c r="D18" s="49">
        <f>SUM(D15:D17)</f>
        <v>0</v>
      </c>
    </row>
    <row r="19" spans="1:8" x14ac:dyDescent="0.25">
      <c r="B19" s="54" t="s">
        <v>283</v>
      </c>
      <c r="C19" s="58"/>
      <c r="D19" s="49">
        <f>D18-D12</f>
        <v>0</v>
      </c>
    </row>
    <row r="20" spans="1:8" x14ac:dyDescent="0.25">
      <c r="B20" s="21" t="s">
        <v>284</v>
      </c>
      <c r="C20" s="57"/>
      <c r="D20" s="62">
        <f>IFERROR(D17/(D15+D16),0)</f>
        <v>0</v>
      </c>
    </row>
    <row r="22" spans="1:8" ht="18" customHeight="1" x14ac:dyDescent="0.25">
      <c r="A22" s="9" t="s">
        <v>285</v>
      </c>
      <c r="B22" s="9"/>
      <c r="C22" s="9"/>
      <c r="D22" s="9"/>
      <c r="E22" s="9"/>
      <c r="F22" s="9"/>
      <c r="G22" s="9"/>
      <c r="H22" s="9"/>
    </row>
    <row r="23" spans="1:8" x14ac:dyDescent="0.25">
      <c r="B23" s="21" t="s">
        <v>286</v>
      </c>
      <c r="C23" s="57"/>
      <c r="D23" s="48">
        <f>'Annual Summary'!H21</f>
        <v>0</v>
      </c>
    </row>
    <row r="24" spans="1:8" x14ac:dyDescent="0.25">
      <c r="B24" s="21" t="s">
        <v>287</v>
      </c>
      <c r="C24" s="57"/>
      <c r="D24" s="46">
        <f>D23/5</f>
        <v>0</v>
      </c>
    </row>
    <row r="25" spans="1:8" x14ac:dyDescent="0.25">
      <c r="B25" s="21" t="s">
        <v>288</v>
      </c>
      <c r="C25" s="57"/>
      <c r="D25" s="46">
        <f>(D23+'Annual Summary'!H16)/5</f>
        <v>0</v>
      </c>
    </row>
    <row r="26" spans="1:8" x14ac:dyDescent="0.25">
      <c r="B26" s="63" t="s">
        <v>289</v>
      </c>
      <c r="C26" s="64"/>
      <c r="D26" s="65">
        <f>IFERROR(D24/D12,0)</f>
        <v>0</v>
      </c>
    </row>
    <row r="27" spans="1:8" x14ac:dyDescent="0.25">
      <c r="B27" s="21" t="s">
        <v>290</v>
      </c>
      <c r="C27" s="57"/>
      <c r="D27" s="52">
        <f>IFERROR(D24/(D15+D16),0)</f>
        <v>0</v>
      </c>
    </row>
    <row r="28" spans="1:8" x14ac:dyDescent="0.25">
      <c r="B28" s="63" t="s">
        <v>291</v>
      </c>
      <c r="C28" s="64"/>
      <c r="D28" s="66">
        <f>IFERROR(D12/D25,0)</f>
        <v>0</v>
      </c>
    </row>
    <row r="29" spans="1:8" x14ac:dyDescent="0.25">
      <c r="B29" s="21" t="s">
        <v>292</v>
      </c>
      <c r="C29" s="46">
        <f>-D12</f>
        <v>0</v>
      </c>
      <c r="D29" s="48">
        <f>'Annual Summary'!C21+'Annual Summary'!C16</f>
        <v>0</v>
      </c>
      <c r="E29" s="48">
        <f>'Annual Summary'!D21+'Annual Summary'!D16</f>
        <v>0</v>
      </c>
      <c r="F29" s="48">
        <f>'Annual Summary'!E21+'Annual Summary'!E16</f>
        <v>0</v>
      </c>
      <c r="G29" s="48">
        <f>'Annual Summary'!F21+'Annual Summary'!F16</f>
        <v>0</v>
      </c>
      <c r="H29" s="48">
        <f>'Annual Summary'!G21+'Annual Summary'!G16</f>
        <v>0</v>
      </c>
    </row>
    <row r="30" spans="1:8" x14ac:dyDescent="0.25">
      <c r="B30" s="63" t="s">
        <v>293</v>
      </c>
      <c r="C30" s="64"/>
      <c r="D30" s="47">
        <f>IFERROR(C29+NPV(Assumptions!$D$63,D29:H29),0)</f>
        <v>0</v>
      </c>
    </row>
    <row r="31" spans="1:8" x14ac:dyDescent="0.25">
      <c r="B31" s="63" t="s">
        <v>294</v>
      </c>
      <c r="C31" s="64"/>
      <c r="D31" s="65">
        <f>IFERROR(IRR(C29:H29),0)</f>
        <v>0</v>
      </c>
    </row>
    <row r="33" spans="1:8" ht="18" customHeight="1" x14ac:dyDescent="0.25">
      <c r="A33" s="9" t="s">
        <v>295</v>
      </c>
      <c r="B33" s="9"/>
      <c r="C33" s="9"/>
      <c r="D33" s="9"/>
      <c r="E33" s="9"/>
      <c r="F33" s="9"/>
      <c r="G33" s="9"/>
      <c r="H33" s="9"/>
    </row>
    <row r="34" spans="1:8" x14ac:dyDescent="0.25">
      <c r="B34" s="59" t="s">
        <v>296</v>
      </c>
      <c r="C34" s="60"/>
      <c r="D34" s="61">
        <f>Assumptions!$D$59</f>
        <v>0</v>
      </c>
    </row>
    <row r="35" spans="1:8" x14ac:dyDescent="0.25">
      <c r="B35" s="59" t="s">
        <v>6</v>
      </c>
      <c r="C35" s="60"/>
      <c r="D35" s="67">
        <f>Assumptions!$D$62</f>
        <v>0</v>
      </c>
    </row>
    <row r="36" spans="1:8" x14ac:dyDescent="0.25">
      <c r="B36" s="21" t="s">
        <v>297</v>
      </c>
      <c r="C36" s="57"/>
      <c r="D36" s="46">
        <f>IFERROR(D34/D35,0)</f>
        <v>0</v>
      </c>
    </row>
    <row r="37" spans="1:8" x14ac:dyDescent="0.25">
      <c r="B37" s="21" t="s">
        <v>298</v>
      </c>
      <c r="C37" s="57"/>
      <c r="D37" s="46">
        <f>D36-D34</f>
        <v>0</v>
      </c>
    </row>
    <row r="38" spans="1:8" x14ac:dyDescent="0.25">
      <c r="B38" s="21" t="s">
        <v>115</v>
      </c>
      <c r="C38" s="57"/>
      <c r="D38" s="68">
        <f>Assumptions!$D$64</f>
        <v>0</v>
      </c>
    </row>
    <row r="39" spans="1:8" x14ac:dyDescent="0.25">
      <c r="B39" s="21" t="s">
        <v>299</v>
      </c>
      <c r="C39" s="57"/>
      <c r="D39" s="48">
        <f>IFERROR(INDEX('Annual Summary'!C14:G14,Assumptions!$D$64),0)</f>
        <v>0</v>
      </c>
    </row>
    <row r="40" spans="1:8" x14ac:dyDescent="0.25">
      <c r="B40" s="21" t="s">
        <v>300</v>
      </c>
      <c r="C40" s="57"/>
      <c r="D40" s="46">
        <f>D39*Assumptions!$D$65</f>
        <v>0</v>
      </c>
    </row>
    <row r="41" spans="1:8" x14ac:dyDescent="0.25">
      <c r="B41" s="21" t="s">
        <v>301</v>
      </c>
      <c r="C41" s="57"/>
      <c r="D41" s="48">
        <f>IFERROR(INDEX(Expenses!M34:BI34,1,Assumptions!$D$64*12-11),0)</f>
        <v>0</v>
      </c>
    </row>
    <row r="42" spans="1:8" x14ac:dyDescent="0.25">
      <c r="B42" s="54" t="s">
        <v>302</v>
      </c>
      <c r="C42" s="58"/>
      <c r="D42" s="49">
        <f>MAX(0,D40-D41)</f>
        <v>0</v>
      </c>
    </row>
    <row r="43" spans="1:8" x14ac:dyDescent="0.25">
      <c r="B43" s="69" t="s">
        <v>303</v>
      </c>
      <c r="C43" s="60"/>
      <c r="D43" s="70">
        <f>D42*D35</f>
        <v>0</v>
      </c>
    </row>
    <row r="44" spans="1:8" x14ac:dyDescent="0.25">
      <c r="B44" s="69" t="s">
        <v>304</v>
      </c>
      <c r="C44" s="60"/>
      <c r="D44" s="71">
        <f>IFERROR(D43/D34,0)</f>
        <v>0</v>
      </c>
    </row>
    <row r="45" spans="1:8" x14ac:dyDescent="0.25">
      <c r="B45" s="69" t="s">
        <v>305</v>
      </c>
      <c r="C45" s="60"/>
      <c r="D45" s="72">
        <f>IFERROR((D44)^(1/Assumptions!$D$64)-1,0)</f>
        <v>0</v>
      </c>
    </row>
  </sheetData>
  <mergeCells count="6">
    <mergeCell ref="A33:H33"/>
    <mergeCell ref="A1:H1"/>
    <mergeCell ref="A2:H2"/>
    <mergeCell ref="A4:H4"/>
    <mergeCell ref="A14:H14"/>
    <mergeCell ref="A22:H2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3294B"/>
  </sheetPr>
  <dimension ref="A1:H57"/>
  <sheetViews>
    <sheetView showGridLines="0" zoomScaleNormal="100" workbookViewId="0">
      <selection sqref="A1:XFD1048576"/>
    </sheetView>
  </sheetViews>
  <sheetFormatPr defaultColWidth="8.7109375" defaultRowHeight="15" x14ac:dyDescent="0.25"/>
  <cols>
    <col min="1" max="1" width="3" customWidth="1"/>
    <col min="2" max="2" width="22" customWidth="1"/>
    <col min="3" max="4" width="14" customWidth="1"/>
    <col min="5" max="5" width="22" customWidth="1"/>
    <col min="6" max="7" width="14" customWidth="1"/>
    <col min="8" max="8" width="3" customWidth="1"/>
  </cols>
  <sheetData>
    <row r="1" spans="1:8" ht="39.75" customHeight="1" x14ac:dyDescent="0.25">
      <c r="A1" s="5" t="str">
        <f>IF(Assumptions!$D$6="","INVESTOR DASHBOARD",Assumptions!$D$6&amp;" — Investor Dashboard")</f>
        <v>INVESTOR DASHBOARD</v>
      </c>
      <c r="B1" s="5"/>
      <c r="C1" s="5"/>
      <c r="D1" s="5"/>
      <c r="E1" s="5"/>
      <c r="F1" s="5"/>
      <c r="G1" s="5"/>
      <c r="H1" s="5"/>
    </row>
    <row r="2" spans="1:8" ht="18" customHeight="1" x14ac:dyDescent="0.25">
      <c r="A2" s="4" t="s">
        <v>306</v>
      </c>
      <c r="B2" s="4"/>
      <c r="C2" s="4"/>
      <c r="D2" s="4"/>
      <c r="E2" s="4"/>
      <c r="F2" s="4"/>
      <c r="G2" s="4"/>
      <c r="H2" s="4"/>
    </row>
    <row r="4" spans="1:8" ht="18" customHeight="1" x14ac:dyDescent="0.25">
      <c r="B4" s="2" t="s">
        <v>307</v>
      </c>
      <c r="C4" s="2"/>
      <c r="E4" s="2" t="s">
        <v>308</v>
      </c>
      <c r="F4" s="2"/>
    </row>
    <row r="5" spans="1:8" ht="30" customHeight="1" x14ac:dyDescent="0.25">
      <c r="B5" s="1">
        <f>'Annual Summary'!H9</f>
        <v>0</v>
      </c>
      <c r="C5" s="1"/>
      <c r="E5" s="1">
        <f>'Annual Summary'!H21</f>
        <v>0</v>
      </c>
      <c r="F5" s="1"/>
    </row>
    <row r="7" spans="1:8" ht="18" customHeight="1" x14ac:dyDescent="0.25">
      <c r="B7" s="2" t="s">
        <v>309</v>
      </c>
      <c r="C7" s="2"/>
      <c r="E7" s="2" t="s">
        <v>9</v>
      </c>
      <c r="F7" s="2"/>
    </row>
    <row r="8" spans="1:8" ht="30" customHeight="1" x14ac:dyDescent="0.25">
      <c r="B8" s="73">
        <f>'Annual Summary'!H15</f>
        <v>0</v>
      </c>
      <c r="C8" s="73"/>
      <c r="E8" s="73">
        <f>'Investment &amp; ROI'!D26</f>
        <v>0</v>
      </c>
      <c r="F8" s="73"/>
    </row>
    <row r="10" spans="1:8" ht="18" customHeight="1" x14ac:dyDescent="0.25">
      <c r="B10" s="2" t="s">
        <v>310</v>
      </c>
      <c r="C10" s="2"/>
      <c r="E10" s="2" t="s">
        <v>10</v>
      </c>
      <c r="F10" s="2"/>
    </row>
    <row r="11" spans="1:8" ht="30" customHeight="1" x14ac:dyDescent="0.25">
      <c r="B11" s="1">
        <f>'Investment &amp; ROI'!D30</f>
        <v>0</v>
      </c>
      <c r="C11" s="1"/>
      <c r="E11" s="73">
        <f>'Investment &amp; ROI'!D31</f>
        <v>0</v>
      </c>
      <c r="F11" s="73"/>
    </row>
    <row r="13" spans="1:8" ht="18" customHeight="1" x14ac:dyDescent="0.25">
      <c r="B13" s="2" t="s">
        <v>311</v>
      </c>
      <c r="C13" s="2"/>
      <c r="E13" s="2" t="s">
        <v>11</v>
      </c>
      <c r="F13" s="2"/>
    </row>
    <row r="14" spans="1:8" ht="30" customHeight="1" x14ac:dyDescent="0.25">
      <c r="B14" s="74">
        <f>'Investment &amp; ROI'!D28</f>
        <v>0</v>
      </c>
      <c r="C14" s="74"/>
      <c r="E14" s="75">
        <f>'Investment &amp; ROI'!D44</f>
        <v>0</v>
      </c>
      <c r="F14" s="75"/>
    </row>
    <row r="16" spans="1:8" x14ac:dyDescent="0.25">
      <c r="B16" s="9" t="s">
        <v>312</v>
      </c>
      <c r="C16" s="9"/>
      <c r="D16" s="9"/>
      <c r="E16" s="9"/>
      <c r="F16" s="9"/>
    </row>
    <row r="17" spans="2:6" x14ac:dyDescent="0.25">
      <c r="B17" s="76" t="s">
        <v>313</v>
      </c>
      <c r="C17" s="76"/>
      <c r="D17" s="76"/>
      <c r="E17" s="76"/>
      <c r="F17" s="53">
        <f>IFERROR(('Annual Summary'!G9/'Annual Summary'!C9)^(1/4)-1,0)</f>
        <v>0</v>
      </c>
    </row>
    <row r="18" spans="2:6" x14ac:dyDescent="0.25">
      <c r="B18" s="76" t="s">
        <v>314</v>
      </c>
      <c r="C18" s="76"/>
      <c r="D18" s="76"/>
      <c r="E18" s="76"/>
      <c r="F18" s="53">
        <f>IFERROR(('Annual Summary'!G7/'Annual Summary'!C7)^(1/4)-1,0)</f>
        <v>0</v>
      </c>
    </row>
    <row r="19" spans="2:6" x14ac:dyDescent="0.25">
      <c r="B19" s="76" t="s">
        <v>315</v>
      </c>
      <c r="C19" s="76"/>
      <c r="D19" s="76"/>
      <c r="E19" s="76"/>
      <c r="F19" s="53">
        <f>IFERROR('Annual Summary'!G5/'Annual Summary'!C5-1,0)</f>
        <v>0</v>
      </c>
    </row>
    <row r="20" spans="2:6" x14ac:dyDescent="0.25">
      <c r="B20" s="76" t="s">
        <v>316</v>
      </c>
      <c r="C20" s="76"/>
      <c r="D20" s="76"/>
      <c r="E20" s="76"/>
      <c r="F20" s="53">
        <f>'Investment &amp; ROI'!D45</f>
        <v>0</v>
      </c>
    </row>
    <row r="52" spans="2:6" x14ac:dyDescent="0.25">
      <c r="B52" s="9" t="s">
        <v>317</v>
      </c>
      <c r="C52" s="9"/>
      <c r="D52" s="9"/>
      <c r="E52" s="9"/>
      <c r="F52" s="9"/>
    </row>
    <row r="53" spans="2:6" ht="30" customHeight="1" x14ac:dyDescent="0.25">
      <c r="B53" s="77" t="s">
        <v>318</v>
      </c>
      <c r="C53" s="77"/>
      <c r="D53" s="77"/>
      <c r="E53" s="77"/>
      <c r="F53" s="77"/>
    </row>
    <row r="54" spans="2:6" ht="30" customHeight="1" x14ac:dyDescent="0.25">
      <c r="B54" s="77" t="s">
        <v>319</v>
      </c>
      <c r="C54" s="77"/>
      <c r="D54" s="77"/>
      <c r="E54" s="77"/>
      <c r="F54" s="77"/>
    </row>
    <row r="55" spans="2:6" ht="30" customHeight="1" x14ac:dyDescent="0.25">
      <c r="B55" s="77" t="s">
        <v>320</v>
      </c>
      <c r="C55" s="77"/>
      <c r="D55" s="77"/>
      <c r="E55" s="77"/>
      <c r="F55" s="77"/>
    </row>
    <row r="56" spans="2:6" ht="30" customHeight="1" x14ac:dyDescent="0.25">
      <c r="B56" s="77" t="s">
        <v>321</v>
      </c>
      <c r="C56" s="77"/>
      <c r="D56" s="77"/>
      <c r="E56" s="77"/>
      <c r="F56" s="77"/>
    </row>
    <row r="57" spans="2:6" ht="30" customHeight="1" x14ac:dyDescent="0.25">
      <c r="B57" s="77" t="s">
        <v>322</v>
      </c>
      <c r="C57" s="77"/>
      <c r="D57" s="77"/>
      <c r="E57" s="77"/>
      <c r="F57" s="77"/>
    </row>
  </sheetData>
  <mergeCells count="29">
    <mergeCell ref="B57:F57"/>
    <mergeCell ref="B52:F52"/>
    <mergeCell ref="B53:F53"/>
    <mergeCell ref="B54:F54"/>
    <mergeCell ref="B55:F55"/>
    <mergeCell ref="B56:F56"/>
    <mergeCell ref="B16:F16"/>
    <mergeCell ref="B17:E17"/>
    <mergeCell ref="B18:E18"/>
    <mergeCell ref="B19:E19"/>
    <mergeCell ref="B20:E20"/>
    <mergeCell ref="B11:C11"/>
    <mergeCell ref="E11:F11"/>
    <mergeCell ref="B13:C13"/>
    <mergeCell ref="E13:F13"/>
    <mergeCell ref="B14:C14"/>
    <mergeCell ref="E14:F14"/>
    <mergeCell ref="B7:C7"/>
    <mergeCell ref="E7:F7"/>
    <mergeCell ref="B8:C8"/>
    <mergeCell ref="E8:F8"/>
    <mergeCell ref="B10:C10"/>
    <mergeCell ref="E10:F10"/>
    <mergeCell ref="A1:H1"/>
    <mergeCell ref="A2:H2"/>
    <mergeCell ref="B4:C4"/>
    <mergeCell ref="E4:F4"/>
    <mergeCell ref="B5:C5"/>
    <mergeCell ref="E5:F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Assumptions</vt:lpstr>
      <vt:lpstr>Production</vt:lpstr>
      <vt:lpstr>Sales</vt:lpstr>
      <vt:lpstr>Expenses</vt:lpstr>
      <vt:lpstr>P&amp;L</vt:lpstr>
      <vt:lpstr>Cash Flow</vt:lpstr>
      <vt:lpstr>Annual Summary</vt:lpstr>
      <vt:lpstr>Investment &amp; ROI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Isha Songara</cp:lastModifiedBy>
  <cp:revision>1</cp:revision>
  <dcterms:created xsi:type="dcterms:W3CDTF">2026-07-08T11:36:35Z</dcterms:created>
  <dcterms:modified xsi:type="dcterms:W3CDTF">2026-07-08T11:57:09Z</dcterms:modified>
  <dc:language>en-US</dc:language>
</cp:coreProperties>
</file>