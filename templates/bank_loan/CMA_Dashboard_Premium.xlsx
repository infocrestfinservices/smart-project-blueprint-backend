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4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roduction" sheetId="3" state="visible" r:id="rId3"/>
    <sheet xmlns:r="http://schemas.openxmlformats.org/officeDocument/2006/relationships" name="Sale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P &amp; L" sheetId="6" state="visible" r:id="rId6"/>
    <sheet xmlns:r="http://schemas.openxmlformats.org/officeDocument/2006/relationships" name="Annual_Summary" sheetId="7" state="visible" r:id="rId7"/>
    <sheet xmlns:r="http://schemas.openxmlformats.org/officeDocument/2006/relationships" name="Form_II_Operating" sheetId="8" state="visible" r:id="rId8"/>
    <sheet xmlns:r="http://schemas.openxmlformats.org/officeDocument/2006/relationships" name="Form_III_BalanceSheet" sheetId="9" state="visible" r:id="rId9"/>
    <sheet xmlns:r="http://schemas.openxmlformats.org/officeDocument/2006/relationships" name="Form_IV_CA_CL" sheetId="10" state="visible" r:id="rId10"/>
    <sheet xmlns:r="http://schemas.openxmlformats.org/officeDocument/2006/relationships" name="Inventory Schedule" sheetId="11" state="visible" r:id="rId11"/>
    <sheet xmlns:r="http://schemas.openxmlformats.org/officeDocument/2006/relationships" name="Form_V_MPBF" sheetId="12" state="visible" r:id="rId12"/>
    <sheet xmlns:r="http://schemas.openxmlformats.org/officeDocument/2006/relationships" name="WC &amp; CC-OD Limit" sheetId="13" state="visible" r:id="rId13"/>
    <sheet xmlns:r="http://schemas.openxmlformats.org/officeDocument/2006/relationships" name="Form_VI_FundFlow" sheetId="14" state="visible" r:id="rId14"/>
    <sheet xmlns:r="http://schemas.openxmlformats.org/officeDocument/2006/relationships" name="Repayment" sheetId="15" state="visible" r:id="rId15"/>
    <sheet xmlns:r="http://schemas.openxmlformats.org/officeDocument/2006/relationships" name="Existing Loan" sheetId="16" state="visible" r:id="rId16"/>
    <sheet xmlns:r="http://schemas.openxmlformats.org/officeDocument/2006/relationships" name="DSCR" sheetId="17" state="visible" r:id="rId17"/>
    <sheet xmlns:r="http://schemas.openxmlformats.org/officeDocument/2006/relationships" name="Ratios" sheetId="18" state="visible" r:id="rId18"/>
    <sheet xmlns:r="http://schemas.openxmlformats.org/officeDocument/2006/relationships" name="Conclusion" sheetId="19" state="visible" r:id="rId19"/>
    <sheet xmlns:r="http://schemas.openxmlformats.org/officeDocument/2006/relationships" name="Dashboard" sheetId="20" state="visible" r:id="rId20"/>
  </sheets>
  <definedNames>
    <definedName name="INDUSTRY_MAP">Assumptions!$S$5:$AB$40</definedName>
    <definedName name="_xlnm.Print_Area" localSheetId="18">'Conclusion'!$A$1:$H$28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#,##0;\(#,##0\);\-"/>
    <numFmt numFmtId="165" formatCode="\₹#,##0"/>
    <numFmt numFmtId="166" formatCode="0.00\x"/>
    <numFmt numFmtId="167" formatCode="0&quot; months&quot;"/>
    <numFmt numFmtId="168" formatCode="0.0%"/>
    <numFmt numFmtId="169" formatCode="#,##0.00;\(#,##0.00\);\-"/>
    <numFmt numFmtId="170" formatCode="₹#,##0;[Red](₹#,##0)"/>
    <numFmt numFmtId="171" formatCode="0.00&quot;x&quot;"/>
    <numFmt numFmtId="172" formatCode="#,##0.0"/>
  </numFmts>
  <fonts count="7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color rgb="FF0563C1"/>
      <sz val="10"/>
      <u val="single"/>
    </font>
    <font>
      <name val="Arial"/>
      <charset val="1"/>
      <family val="0"/>
      <i val="1"/>
      <color rgb="FF808080"/>
      <sz val="8"/>
    </font>
    <font>
      <name val="Cambria"/>
      <charset val="1"/>
      <family val="0"/>
      <b val="1"/>
      <color rgb="FFFFFFFF"/>
      <sz val="22"/>
    </font>
    <font>
      <name val="Cambria"/>
      <charset val="1"/>
      <family val="0"/>
      <i val="1"/>
      <color rgb="FF808080"/>
      <sz val="10"/>
    </font>
    <font>
      <name val="Cambria"/>
      <charset val="1"/>
      <family val="0"/>
      <b val="1"/>
      <color rgb="FF808080"/>
      <sz val="9"/>
    </font>
    <font>
      <name val="Cambria"/>
      <charset val="1"/>
      <family val="0"/>
      <b val="1"/>
      <color rgb="FF1F3864"/>
      <sz val="18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color rgb="FF1F3864"/>
      <sz val="16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FFFFFF"/>
      <sz val="15"/>
    </font>
    <font>
      <name val="Cambria"/>
      <charset val="1"/>
      <family val="0"/>
      <b val="1"/>
      <sz val="9"/>
    </font>
    <font>
      <name val="Arial"/>
      <charset val="1"/>
      <family val="0"/>
      <color rgb="FF0000FF"/>
      <sz val="10"/>
    </font>
    <font>
      <name val="Cambria"/>
      <charset val="1"/>
      <family val="0"/>
      <b val="1"/>
      <sz val="10"/>
    </font>
    <font>
      <name val="Cambria"/>
      <charset val="1"/>
      <family val="0"/>
      <color rgb="FF0000FF"/>
      <sz val="11"/>
    </font>
    <font>
      <name val="Arial"/>
      <charset val="1"/>
      <family val="0"/>
      <b val="1"/>
      <color rgb="FFFFFFFF"/>
      <sz val="10"/>
    </font>
    <font>
      <name val="Calibri"/>
      <b val="1"/>
      <color rgb="00FFFFFF"/>
      <sz val="17"/>
    </font>
    <font>
      <name val="Calibri"/>
      <i val="1"/>
      <color rgb="00829AB1"/>
      <sz val="9"/>
    </font>
    <font>
      <name val="Calibri"/>
      <b val="1"/>
      <color rgb="00829AB1"/>
      <sz val="8.5"/>
    </font>
    <font>
      <name val="Calibri"/>
      <b val="1"/>
      <color rgb="00FFFFFF"/>
      <sz val="11"/>
    </font>
    <font>
      <name val="Calibri"/>
      <i val="1"/>
      <color rgb="00829AB1"/>
      <sz val="8"/>
    </font>
    <font>
      <name val="Calibri"/>
      <b val="1"/>
      <color rgb="00102A43"/>
      <sz val="16"/>
    </font>
    <font>
      <name val="Calibri"/>
      <b val="1"/>
      <color rgb="00334E68"/>
      <sz val="11"/>
    </font>
    <font>
      <name val="Calibri"/>
      <b val="1"/>
      <color rgb="00FFFFFF"/>
      <sz val="9"/>
    </font>
    <font>
      <name val="Calibri"/>
      <color rgb="00102A43"/>
      <sz val="9.5"/>
    </font>
    <font>
      <name val="Arial"/>
      <b val="1"/>
      <color rgb="00FFFFFF"/>
      <sz val="16"/>
    </font>
    <font>
      <name val="Arial"/>
      <i val="1"/>
      <color rgb="005A6A7A"/>
      <sz val="9"/>
    </font>
    <font>
      <name val="Arial"/>
      <b val="1"/>
      <color rgb="00FFFFFF"/>
      <sz val="10"/>
    </font>
    <font>
      <name val="Arial"/>
      <color rgb="005A6A7A"/>
      <sz val="10"/>
    </font>
    <font>
      <name val="Arial"/>
      <b val="1"/>
      <color rgb="001C2833"/>
      <sz val="10"/>
    </font>
    <font>
      <name val="Arial"/>
      <b val="1"/>
      <color rgb="00FFFFFF"/>
      <sz val="9"/>
    </font>
    <font>
      <name val="Arial"/>
      <color rgb="001C2833"/>
      <sz val="10"/>
    </font>
    <font>
      <name val="Arial"/>
      <b val="1"/>
      <color rgb="001F3A5F"/>
      <sz val="12"/>
    </font>
    <font>
      <name val="Arial"/>
      <b val="1"/>
      <color rgb="001A6B52"/>
      <sz val="11"/>
    </font>
    <font>
      <name val="Arial"/>
      <b val="1"/>
      <color rgb="00FFFFFF"/>
      <sz val="11"/>
    </font>
    <font>
      <name val="Arial"/>
      <b val="1"/>
      <color rgb="FFFFFFFF"/>
      <sz val="10"/>
    </font>
    <font>
      <name val="Arial"/>
      <b val="1"/>
      <color rgb="FF555B66"/>
      <sz val="9"/>
    </font>
    <font>
      <name val="Arial"/>
      <sz val="10"/>
    </font>
    <font>
      <name val="Arial"/>
      <color rgb="FF0000FF"/>
      <sz val="10"/>
    </font>
    <font>
      <name val="Arial"/>
      <i val="1"/>
      <color rgb="FF555B66"/>
      <sz val="9"/>
    </font>
    <font>
      <name val="Arial"/>
      <b val="1"/>
      <sz val="9"/>
    </font>
    <font>
      <name val="Arial"/>
      <b val="1"/>
      <sz val="10"/>
    </font>
    <font>
      <name val="Arial"/>
      <sz val="9"/>
    </font>
    <font>
      <name val="Arial"/>
      <b val="1"/>
      <color rgb="FFFFFFFF"/>
      <sz val="11"/>
    </font>
    <font>
      <name val="Arial"/>
      <b val="1"/>
      <color rgb="FF1C2833"/>
      <sz val="9.5"/>
    </font>
    <font>
      <name val="Arial"/>
      <color rgb="FF1C2833"/>
      <sz val="10"/>
    </font>
    <font>
      <name val="Arial"/>
      <b val="1"/>
      <color rgb="FF1C2833"/>
      <sz val="10"/>
    </font>
    <font>
      <name val="Arial"/>
      <b val="1"/>
      <color rgb="FFFFFFFF"/>
      <sz val="9.5"/>
    </font>
    <font>
      <name val="Arial"/>
      <b val="1"/>
      <color rgb="FFFFFFFF"/>
      <sz val="13"/>
    </font>
    <font>
      <name val="Arial"/>
      <color rgb="FFFFFFFF"/>
      <sz val="9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rgb="FF1F3864"/>
      <sz val="10"/>
    </font>
    <font>
      <name val="Arial"/>
      <i val="1"/>
      <color rgb="FF808080"/>
      <sz val="9"/>
    </font>
    <font>
      <name val="Arial"/>
      <b val="1"/>
      <color rgb="FFFFFFFF"/>
      <sz val="14"/>
    </font>
    <font>
      <name val="Arial"/>
      <i val="1"/>
      <color rgb="FFFFFFFF"/>
      <sz val="9"/>
    </font>
    <font>
      <b val="1"/>
    </font>
    <font>
      <b val="1"/>
      <color rgb="FFFFFFFF"/>
      <sz val="15"/>
    </font>
    <font>
      <color rgb="FFFFFFFF"/>
      <sz val="9"/>
    </font>
    <font>
      <b val="1"/>
      <color rgb="FFFFFFFF"/>
      <sz val="10"/>
    </font>
    <font>
      <b val="1"/>
      <color rgb="FF1C2833"/>
      <sz val="9.5"/>
    </font>
    <font>
      <color rgb="FF1C2833"/>
      <sz val="10"/>
    </font>
    <font>
      <b val="1"/>
      <color rgb="FF1C2833"/>
      <sz val="10"/>
    </font>
    <font>
      <b val="1"/>
      <color rgb="FFFFFFFF"/>
      <sz val="9.5"/>
    </font>
    <font>
      <b val="1"/>
      <color rgb="FF1C2833"/>
      <sz val="11"/>
    </font>
    <font>
      <i val="1"/>
      <color rgb="FF1C2833"/>
      <sz val="9"/>
    </font>
  </fonts>
  <fills count="32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EF3FB"/>
      </patternFill>
    </fill>
    <fill>
      <patternFill patternType="solid">
        <fgColor rgb="FFD9E1F2"/>
        <bgColor rgb="FFD9D9D9"/>
      </patternFill>
    </fill>
    <fill>
      <patternFill patternType="solid">
        <fgColor rgb="FFF2F6FC"/>
        <bgColor rgb="FFEEF3FB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2E75B6"/>
      </patternFill>
    </fill>
    <fill>
      <patternFill patternType="solid">
        <fgColor rgb="FFEEF3FB"/>
        <bgColor rgb="FFF2F6FC"/>
      </patternFill>
    </fill>
    <fill>
      <patternFill patternType="solid">
        <fgColor rgb="00102A43"/>
      </patternFill>
    </fill>
    <fill>
      <patternFill patternType="solid">
        <fgColor rgb="002E7DA1"/>
      </patternFill>
    </fill>
    <fill>
      <patternFill patternType="solid">
        <fgColor rgb="00F0F4F8"/>
      </patternFill>
    </fill>
    <fill>
      <patternFill patternType="solid">
        <fgColor rgb="00334E68"/>
      </patternFill>
    </fill>
    <fill>
      <patternFill patternType="solid">
        <fgColor rgb="001F3A5F"/>
      </patternFill>
    </fill>
    <fill>
      <patternFill patternType="solid">
        <fgColor rgb="0033475B"/>
      </patternFill>
    </fill>
    <fill>
      <patternFill patternType="solid">
        <fgColor rgb="00FBFCFD"/>
      </patternFill>
    </fill>
    <fill>
      <patternFill patternType="solid">
        <fgColor rgb="001A6B52"/>
      </patternFill>
    </fill>
    <fill>
      <patternFill patternType="solid">
        <fgColor rgb="009A3B2F"/>
      </patternFill>
    </fill>
    <fill>
      <patternFill patternType="solid">
        <fgColor rgb="00E8F2EC"/>
      </patternFill>
    </fill>
    <fill>
      <patternFill patternType="solid">
        <fgColor rgb="00F7EAE6"/>
      </patternFill>
    </fill>
    <fill>
      <patternFill patternType="solid">
        <fgColor rgb="001F5C8A"/>
      </patternFill>
    </fill>
    <fill>
      <patternFill patternType="solid">
        <fgColor rgb="008A5A12"/>
      </patternFill>
    </fill>
    <fill>
      <patternFill patternType="solid">
        <fgColor rgb="00E6EFF6"/>
      </patternFill>
    </fill>
    <fill>
      <patternFill patternType="solid">
        <fgColor rgb="00F6EEDD"/>
      </patternFill>
    </fill>
    <fill>
      <patternFill patternType="solid">
        <fgColor rgb="00DCE3EC"/>
      </patternFill>
    </fill>
    <fill>
      <patternFill patternType="solid">
        <fgColor rgb="00EEF2F7"/>
      </patternFill>
    </fill>
    <fill>
      <patternFill patternType="solid">
        <fgColor rgb="FF33475B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EEF3FB"/>
      </patternFill>
    </fill>
    <fill>
      <patternFill patternType="solid">
        <fgColor rgb="FFDCE3EC"/>
      </patternFill>
    </fill>
  </fills>
  <borders count="3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2E75B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1CADE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548235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ED7D3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BF8F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bottom style="thin">
        <color rgb="00B7C0CC"/>
      </bottom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left/>
      <right/>
      <top/>
      <bottom style="thin">
        <color rgb="00B7C0CC"/>
      </bottom>
      <diagonal/>
    </border>
    <border>
      <left/>
      <right/>
      <top style="thin">
        <color rgb="00B7C0CC"/>
      </top>
      <bottom/>
      <diagonal/>
    </border>
    <border>
      <left/>
      <right style="thin">
        <color rgb="00B7C0CC"/>
      </right>
      <top style="thin">
        <color rgb="00B7C0CC"/>
      </top>
      <bottom/>
      <diagonal/>
    </border>
    <border>
      <left/>
      <right/>
      <top style="thin">
        <color rgb="00B7C0CC"/>
      </top>
      <bottom style="thin">
        <color rgb="00B7C0CC"/>
      </bottom>
      <diagonal/>
    </border>
    <border>
      <left/>
      <right style="thin">
        <color rgb="00B7C0CC"/>
      </right>
      <top style="thin">
        <color rgb="00B7C0CC"/>
      </top>
      <bottom style="thin">
        <color rgb="00B7C0CC"/>
      </bottom>
      <diagonal/>
    </border>
    <border>
      <right/>
      <bottom style="thin">
        <color rgb="00B7C0CC"/>
      </bottom>
    </border>
    <border/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</border>
    <border>
      <top style="thin">
        <color rgb="FFBFBFBF"/>
      </top>
      <bottom style="thin">
        <color rgb="FFBFBFBF"/>
      </bottom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right style="thin">
        <color rgb="FF8EAADB"/>
      </right>
      <top style="thin">
        <color rgb="FF8EAADB"/>
      </top>
      <bottom style="thin">
        <color rgb="FF8EAADB"/>
      </bottom>
    </border>
    <border>
      <right/>
      <bottom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bottom"/>
    </xf>
    <xf numFmtId="0" fontId="14" fillId="5" borderId="2" applyAlignment="1" pivotButton="0" quotePrefix="0" xfId="0">
      <alignment horizontal="left" vertical="top" wrapText="1" indent="1"/>
    </xf>
    <xf numFmtId="0" fontId="14" fillId="5" borderId="3" applyAlignment="1" pivotButton="0" quotePrefix="0" xfId="0">
      <alignment horizontal="left" vertical="top" wrapText="1" indent="1"/>
    </xf>
    <xf numFmtId="0" fontId="14" fillId="5" borderId="4" applyAlignment="1" pivotButton="0" quotePrefix="0" xfId="0">
      <alignment horizontal="left" vertical="top" wrapText="1" indent="1"/>
    </xf>
    <xf numFmtId="0" fontId="14" fillId="5" borderId="5" applyAlignment="1" pivotButton="0" quotePrefix="0" xfId="0">
      <alignment horizontal="left" vertical="top" wrapText="1" indent="1"/>
    </xf>
    <xf numFmtId="0" fontId="0" fillId="5" borderId="2" applyAlignment="1" pivotButton="0" quotePrefix="0" xfId="0">
      <alignment horizontal="general" vertical="bottom"/>
    </xf>
    <xf numFmtId="0" fontId="0" fillId="5" borderId="6" applyAlignment="1" pivotButton="0" quotePrefix="0" xfId="0">
      <alignment horizontal="general" vertical="bottom"/>
    </xf>
    <xf numFmtId="0" fontId="0" fillId="5" borderId="3" applyAlignment="1" pivotButton="0" quotePrefix="0" xfId="0">
      <alignment horizontal="general" vertical="bottom"/>
    </xf>
    <xf numFmtId="0" fontId="0" fillId="5" borderId="4" applyAlignment="1" pivotButton="0" quotePrefix="0" xfId="0">
      <alignment horizontal="general" vertical="bottom"/>
    </xf>
    <xf numFmtId="0" fontId="0" fillId="5" borderId="5" applyAlignment="1" pivotButton="0" quotePrefix="0" xfId="0">
      <alignment horizontal="general" vertical="bottom"/>
    </xf>
    <xf numFmtId="165" fontId="15" fillId="5" borderId="2" applyAlignment="1" pivotButton="0" quotePrefix="0" xfId="0">
      <alignment horizontal="left" vertical="bottom" indent="1"/>
    </xf>
    <xf numFmtId="165" fontId="15" fillId="5" borderId="3" applyAlignment="1" pivotButton="0" quotePrefix="0" xfId="0">
      <alignment horizontal="left" vertical="bottom" indent="1"/>
    </xf>
    <xf numFmtId="166" fontId="15" fillId="5" borderId="4" applyAlignment="1" pivotButton="0" quotePrefix="0" xfId="0">
      <alignment horizontal="left" vertical="bottom" indent="1"/>
    </xf>
    <xf numFmtId="167" fontId="15" fillId="5" borderId="5" applyAlignment="1" pivotButton="0" quotePrefix="0" xfId="0">
      <alignment horizontal="left" vertical="bottom" indent="1"/>
    </xf>
    <xf numFmtId="0" fontId="14" fillId="5" borderId="7" applyAlignment="1" pivotButton="0" quotePrefix="0" xfId="0">
      <alignment horizontal="left" vertical="top" wrapText="1" indent="1"/>
    </xf>
    <xf numFmtId="0" fontId="0" fillId="5" borderId="7" applyAlignment="1" pivotButton="0" quotePrefix="0" xfId="0">
      <alignment horizontal="general" vertical="bottom"/>
    </xf>
    <xf numFmtId="168" fontId="15" fillId="5" borderId="7" applyAlignment="1" pivotButton="0" quotePrefix="0" xfId="0">
      <alignment horizontal="left" vertical="bottom" indent="1"/>
    </xf>
    <xf numFmtId="168" fontId="15" fillId="5" borderId="2" applyAlignment="1" pivotButton="0" quotePrefix="0" xfId="0">
      <alignment horizontal="left" vertical="bottom" indent="1"/>
    </xf>
    <xf numFmtId="168" fontId="15" fillId="5" borderId="5" applyAlignment="1" pivotButton="0" quotePrefix="0" xfId="0">
      <alignment horizontal="left" vertical="bottom" indent="1"/>
    </xf>
    <xf numFmtId="166" fontId="15" fillId="5" borderId="3" applyAlignment="1" pivotButton="0" quotePrefix="0" xfId="0">
      <alignment horizontal="left" vertical="bottom" indent="1"/>
    </xf>
    <xf numFmtId="0" fontId="16" fillId="0" borderId="0" applyAlignment="1" pivotButton="0" quotePrefix="0" xfId="0">
      <alignment horizontal="general" vertical="bottom"/>
    </xf>
    <xf numFmtId="0" fontId="17" fillId="6" borderId="0" applyAlignment="1" applyProtection="1" pivotButton="0" quotePrefix="0" xfId="0">
      <alignment horizontal="center" vertical="bottom"/>
      <protection locked="0" hidden="0"/>
    </xf>
    <xf numFmtId="165" fontId="18" fillId="5" borderId="2" applyAlignment="1" pivotButton="0" quotePrefix="0" xfId="0">
      <alignment horizontal="left" vertical="bottom" indent="1"/>
    </xf>
    <xf numFmtId="165" fontId="18" fillId="5" borderId="4" applyAlignment="1" pivotButton="0" quotePrefix="0" xfId="0">
      <alignment horizontal="left" vertical="bottom" indent="1"/>
    </xf>
    <xf numFmtId="165" fontId="18" fillId="5" borderId="7" applyAlignment="1" pivotButton="0" quotePrefix="0" xfId="0">
      <alignment horizontal="left" vertical="bottom" indent="1"/>
    </xf>
    <xf numFmtId="166" fontId="18" fillId="5" borderId="5" applyAlignment="1" pivotButton="0" quotePrefix="0" xfId="0">
      <alignment horizontal="left" vertical="bottom" indent="1"/>
    </xf>
    <xf numFmtId="1" fontId="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bottom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28" fillId="10" borderId="0" applyAlignment="1" pivotButton="0" quotePrefix="0" xfId="0">
      <alignment horizontal="left" vertical="center" indent="2"/>
    </xf>
    <xf numFmtId="0" fontId="29" fillId="0" borderId="0" applyAlignment="1" pivotButton="0" quotePrefix="0" xfId="0">
      <alignment vertical="center" indent="2"/>
    </xf>
    <xf numFmtId="0" fontId="30" fillId="0" borderId="0" applyAlignment="1" pivotButton="0" quotePrefix="0" xfId="0">
      <alignment horizontal="left" vertical="center" indent="1"/>
    </xf>
    <xf numFmtId="0" fontId="31" fillId="11" borderId="16" applyAlignment="1" pivotButton="0" quotePrefix="0" xfId="0">
      <alignment horizontal="center" vertical="center"/>
    </xf>
    <xf numFmtId="0" fontId="32" fillId="0" borderId="0" pivotButton="0" quotePrefix="0" xfId="0"/>
    <xf numFmtId="0" fontId="30" fillId="12" borderId="16" applyAlignment="1" pivotButton="0" quotePrefix="0" xfId="0">
      <alignment horizontal="left" vertical="center" indent="1"/>
    </xf>
    <xf numFmtId="0" fontId="0" fillId="0" borderId="16" pivotButton="0" quotePrefix="0" xfId="0"/>
    <xf numFmtId="170" fontId="33" fillId="12" borderId="16" applyAlignment="1" pivotButton="0" quotePrefix="0" xfId="0">
      <alignment horizontal="left" vertical="center" indent="1"/>
    </xf>
    <xf numFmtId="0" fontId="32" fillId="12" borderId="16" applyAlignment="1" pivotButton="0" quotePrefix="0" xfId="0">
      <alignment horizontal="left" vertical="center" indent="1"/>
    </xf>
    <xf numFmtId="171" fontId="33" fillId="12" borderId="16" applyAlignment="1" pivotButton="0" quotePrefix="0" xfId="0">
      <alignment horizontal="left" vertical="center" indent="1"/>
    </xf>
    <xf numFmtId="0" fontId="34" fillId="12" borderId="0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center" vertical="center" indent="1"/>
    </xf>
    <xf numFmtId="0" fontId="0" fillId="0" borderId="19" pivotButton="0" quotePrefix="0" xfId="0"/>
    <xf numFmtId="0" fontId="0" fillId="0" borderId="20" pivotButton="0" quotePrefix="0" xfId="0"/>
    <xf numFmtId="0" fontId="36" fillId="0" borderId="16" applyAlignment="1" pivotButton="0" quotePrefix="0" xfId="0">
      <alignment horizontal="left" vertical="center" indent="1"/>
    </xf>
    <xf numFmtId="2" fontId="36" fillId="0" borderId="16" applyAlignment="1" pivotButton="0" quotePrefix="0" xfId="0">
      <alignment horizontal="center" vertical="center" indent="1"/>
    </xf>
    <xf numFmtId="0" fontId="36" fillId="0" borderId="16" applyAlignment="1" pivotButton="0" quotePrefix="0" xfId="0">
      <alignment horizontal="center" vertical="center" indent="1"/>
    </xf>
    <xf numFmtId="168" fontId="36" fillId="0" borderId="16" applyAlignment="1" pivotButton="0" quotePrefix="0" xfId="0">
      <alignment horizontal="center" vertical="center" indent="1"/>
    </xf>
    <xf numFmtId="3" fontId="36" fillId="0" borderId="16" applyAlignment="1" pivotButton="0" quotePrefix="0" xfId="0">
      <alignment horizontal="center" vertical="center" indent="1"/>
    </xf>
    <xf numFmtId="1" fontId="36" fillId="0" borderId="16" applyAlignment="1" pivotButton="0" quotePrefix="0" xfId="0">
      <alignment horizontal="center" vertical="center" indent="1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31" fillId="11" borderId="16" applyAlignment="1" applyProtection="1" pivotButton="0" quotePrefix="0" xfId="0">
      <alignment horizontal="center" vertical="center"/>
      <protection locked="0" hidden="0"/>
    </xf>
    <xf numFmtId="0" fontId="37" fillId="14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39" fillId="15" borderId="0" applyAlignment="1" pivotButton="0" quotePrefix="0" xfId="0">
      <alignment horizontal="left" vertical="center"/>
    </xf>
    <xf numFmtId="0" fontId="40" fillId="0" borderId="21" applyAlignment="1" pivotButton="0" quotePrefix="0" xfId="0">
      <alignment horizontal="left" vertical="center"/>
    </xf>
    <xf numFmtId="0" fontId="41" fillId="0" borderId="21" applyAlignment="1" pivotButton="0" quotePrefix="0" xfId="0">
      <alignment horizontal="left" vertical="center"/>
    </xf>
    <xf numFmtId="3" fontId="41" fillId="0" borderId="21" applyAlignment="1" pivotButton="0" quotePrefix="0" xfId="0">
      <alignment horizontal="left" vertical="center"/>
    </xf>
    <xf numFmtId="0" fontId="42" fillId="14" borderId="0" applyAlignment="1" pivotButton="0" quotePrefix="0" xfId="0">
      <alignment horizontal="left" vertical="center"/>
    </xf>
    <xf numFmtId="0" fontId="42" fillId="14" borderId="0" applyAlignment="1" pivotButton="0" quotePrefix="0" xfId="0">
      <alignment horizontal="center" vertical="center"/>
    </xf>
    <xf numFmtId="0" fontId="43" fillId="0" borderId="22" applyAlignment="1" pivotButton="0" quotePrefix="0" xfId="0">
      <alignment horizontal="left" vertical="center"/>
    </xf>
    <xf numFmtId="3" fontId="43" fillId="0" borderId="22" applyAlignment="1" pivotButton="0" quotePrefix="0" xfId="0">
      <alignment horizontal="right" vertical="center"/>
    </xf>
    <xf numFmtId="0" fontId="43" fillId="16" borderId="22" applyAlignment="1" pivotButton="0" quotePrefix="0" xfId="0">
      <alignment horizontal="left" vertical="center"/>
    </xf>
    <xf numFmtId="3" fontId="43" fillId="16" borderId="22" applyAlignment="1" pivotButton="0" quotePrefix="0" xfId="0">
      <alignment horizontal="right" vertical="center"/>
    </xf>
    <xf numFmtId="2" fontId="43" fillId="0" borderId="22" applyAlignment="1" pivotButton="0" quotePrefix="0" xfId="0">
      <alignment horizontal="right" vertical="center"/>
    </xf>
    <xf numFmtId="2" fontId="43" fillId="16" borderId="22" applyAlignment="1" pivotButton="0" quotePrefix="0" xfId="0">
      <alignment horizontal="right" vertical="center"/>
    </xf>
    <xf numFmtId="168" fontId="43" fillId="0" borderId="22" applyAlignment="1" pivotButton="0" quotePrefix="0" xfId="0">
      <alignment horizontal="right" vertical="center"/>
    </xf>
    <xf numFmtId="0" fontId="41" fillId="0" borderId="0" applyAlignment="1" pivotButton="0" quotePrefix="0" xfId="0">
      <alignment horizontal="left" vertical="center"/>
    </xf>
    <xf numFmtId="2" fontId="44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left" vertical="center"/>
    </xf>
    <xf numFmtId="0" fontId="43" fillId="0" borderId="22" applyAlignment="1" pivotButton="0" quotePrefix="0" xfId="0">
      <alignment horizontal="left" vertical="top" wrapText="1"/>
    </xf>
    <xf numFmtId="0" fontId="46" fillId="17" borderId="0" applyAlignment="1" pivotButton="0" quotePrefix="0" xfId="0">
      <alignment horizontal="left" vertical="center"/>
    </xf>
    <xf numFmtId="0" fontId="46" fillId="18" borderId="0" applyAlignment="1" pivotButton="0" quotePrefix="0" xfId="0">
      <alignment horizontal="left" vertical="center"/>
    </xf>
    <xf numFmtId="0" fontId="43" fillId="19" borderId="22" applyAlignment="1" pivotButton="0" quotePrefix="0" xfId="0">
      <alignment horizontal="left" vertical="top" wrapText="1"/>
    </xf>
    <xf numFmtId="0" fontId="43" fillId="20" borderId="22" applyAlignment="1" pivotButton="0" quotePrefix="0" xfId="0">
      <alignment horizontal="left" vertical="top" wrapText="1"/>
    </xf>
    <xf numFmtId="0" fontId="46" fillId="21" borderId="0" applyAlignment="1" pivotButton="0" quotePrefix="0" xfId="0">
      <alignment horizontal="left" vertical="center"/>
    </xf>
    <xf numFmtId="0" fontId="46" fillId="22" borderId="0" applyAlignment="1" pivotButton="0" quotePrefix="0" xfId="0">
      <alignment horizontal="left" vertical="center"/>
    </xf>
    <xf numFmtId="0" fontId="43" fillId="23" borderId="22" applyAlignment="1" pivotButton="0" quotePrefix="0" xfId="0">
      <alignment horizontal="left" vertical="top" wrapText="1"/>
    </xf>
    <xf numFmtId="0" fontId="43" fillId="24" borderId="22" applyAlignment="1" pivotButton="0" quotePrefix="0" xfId="0">
      <alignment horizontal="left" vertical="top" wrapText="1"/>
    </xf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41" fillId="0" borderId="28" applyAlignment="1" pivotButton="0" quotePrefix="0" xfId="0">
      <alignment horizontal="left" vertical="center"/>
    </xf>
    <xf numFmtId="3" fontId="41" fillId="0" borderId="28" applyAlignment="1" pivotButton="0" quotePrefix="0" xfId="0">
      <alignment horizontal="left" vertical="center"/>
    </xf>
    <xf numFmtId="0" fontId="47" fillId="14" borderId="0" pivotButton="0" quotePrefix="0" xfId="0"/>
    <xf numFmtId="0" fontId="48" fillId="0" borderId="0" pivotButton="0" quotePrefix="0" xfId="0"/>
    <xf numFmtId="0" fontId="49" fillId="0" borderId="0" pivotButton="0" quotePrefix="0" xfId="0"/>
    <xf numFmtId="49" fontId="50" fillId="0" borderId="0" pivotButton="0" quotePrefix="0" xfId="0"/>
    <xf numFmtId="168" fontId="50" fillId="0" borderId="0" pivotButton="0" quotePrefix="0" xfId="0"/>
    <xf numFmtId="0" fontId="51" fillId="0" borderId="0" pivotButton="0" quotePrefix="0" xfId="0"/>
    <xf numFmtId="168" fontId="52" fillId="0" borderId="0" pivotButton="0" quotePrefix="0" xfId="0"/>
    <xf numFmtId="0" fontId="52" fillId="0" borderId="0" pivotButton="0" quotePrefix="0" xfId="0"/>
    <xf numFmtId="0" fontId="52" fillId="0" borderId="0" applyAlignment="1" pivotButton="0" quotePrefix="0" xfId="0">
      <alignment horizontal="center"/>
    </xf>
    <xf numFmtId="3" fontId="49" fillId="0" borderId="0" pivotButton="0" quotePrefix="0" xfId="0"/>
    <xf numFmtId="0" fontId="53" fillId="0" borderId="0" pivotButton="0" quotePrefix="0" xfId="0"/>
    <xf numFmtId="3" fontId="53" fillId="0" borderId="0" pivotButton="0" quotePrefix="0" xfId="0"/>
    <xf numFmtId="0" fontId="54" fillId="0" borderId="0" pivotButton="0" quotePrefix="0" xfId="0"/>
    <xf numFmtId="0" fontId="55" fillId="14" borderId="29" applyAlignment="1" pivotButton="0" quotePrefix="0" xfId="0">
      <alignment horizontal="left" vertical="center"/>
    </xf>
    <xf numFmtId="0" fontId="27" fillId="0" borderId="29" applyAlignment="1" pivotButton="0" quotePrefix="0" xfId="0">
      <alignment horizontal="center" vertical="center"/>
    </xf>
    <xf numFmtId="0" fontId="27" fillId="0" borderId="29" applyAlignment="1" pivotButton="0" quotePrefix="0" xfId="0">
      <alignment horizontal="center" vertical="center" wrapText="1"/>
    </xf>
    <xf numFmtId="0" fontId="0" fillId="0" borderId="29" pivotButton="0" quotePrefix="0" xfId="0"/>
    <xf numFmtId="0" fontId="56" fillId="25" borderId="30" applyAlignment="1" pivotButton="0" quotePrefix="0" xfId="0">
      <alignment horizontal="left" vertical="bottom" indent="1"/>
    </xf>
    <xf numFmtId="168" fontId="56" fillId="25" borderId="30" applyAlignment="1" pivotButton="0" quotePrefix="0" xfId="0">
      <alignment horizontal="center"/>
    </xf>
    <xf numFmtId="168" fontId="7" fillId="0" borderId="29" applyAlignment="1" pivotButton="0" quotePrefix="0" xfId="0">
      <alignment horizontal="right" vertical="center"/>
    </xf>
    <xf numFmtId="168" fontId="6" fillId="0" borderId="29" applyAlignment="1" pivotButton="0" quotePrefix="0" xfId="0">
      <alignment horizontal="right" vertical="center"/>
    </xf>
    <xf numFmtId="0" fontId="57" fillId="0" borderId="30" applyAlignment="1" pivotButton="0" quotePrefix="0" xfId="0">
      <alignment horizontal="left" vertical="bottom" indent="1"/>
    </xf>
    <xf numFmtId="168" fontId="57" fillId="0" borderId="30" applyAlignment="1" pivotButton="0" quotePrefix="0" xfId="0">
      <alignment horizontal="right" vertical="center"/>
    </xf>
    <xf numFmtId="168" fontId="58" fillId="25" borderId="30" applyAlignment="1" pivotButton="0" quotePrefix="0" xfId="0">
      <alignment horizontal="right" vertical="center"/>
    </xf>
    <xf numFmtId="164" fontId="6" fillId="0" borderId="29" applyAlignment="1" pivotButton="0" quotePrefix="0" xfId="0">
      <alignment horizontal="right" vertical="center"/>
    </xf>
    <xf numFmtId="0" fontId="58" fillId="26" borderId="30" pivotButton="0" quotePrefix="0" xfId="0"/>
    <xf numFmtId="3" fontId="58" fillId="26" borderId="30" pivotButton="0" quotePrefix="0" xfId="0"/>
    <xf numFmtId="0" fontId="56" fillId="25" borderId="30" pivotButton="0" quotePrefix="0" xfId="0"/>
    <xf numFmtId="0" fontId="56" fillId="25" borderId="30" applyAlignment="1" pivotButton="0" quotePrefix="0" xfId="0">
      <alignment horizontal="center"/>
    </xf>
    <xf numFmtId="0" fontId="57" fillId="0" borderId="30" pivotButton="0" quotePrefix="0" xfId="0"/>
    <xf numFmtId="168" fontId="57" fillId="0" borderId="30" pivotButton="0" quotePrefix="0" xfId="0"/>
    <xf numFmtId="168" fontId="58" fillId="25" borderId="30" pivotButton="0" quotePrefix="0" xfId="0"/>
    <xf numFmtId="164" fontId="56" fillId="25" borderId="30" applyAlignment="1" pivotButton="0" quotePrefix="0" xfId="0">
      <alignment horizontal="center"/>
    </xf>
    <xf numFmtId="164" fontId="7" fillId="0" borderId="29" applyAlignment="1" pivotButton="0" quotePrefix="0" xfId="0">
      <alignment horizontal="right" vertical="center"/>
    </xf>
    <xf numFmtId="3" fontId="57" fillId="0" borderId="30" applyAlignment="1" pivotButton="0" quotePrefix="0" xfId="0">
      <alignment horizontal="right" vertical="center"/>
    </xf>
    <xf numFmtId="3" fontId="58" fillId="25" borderId="30" applyAlignment="1" pivotButton="0" quotePrefix="0" xfId="0">
      <alignment horizontal="right" vertical="center"/>
    </xf>
    <xf numFmtId="169" fontId="8" fillId="0" borderId="29" applyAlignment="1" pivotButton="0" quotePrefix="0" xfId="0">
      <alignment horizontal="right" vertical="center"/>
    </xf>
    <xf numFmtId="169" fontId="6" fillId="0" borderId="29" applyAlignment="1" pivotButton="0" quotePrefix="0" xfId="0">
      <alignment horizontal="right" vertical="center"/>
    </xf>
    <xf numFmtId="4" fontId="57" fillId="0" borderId="30" applyAlignment="1" pivotButton="0" quotePrefix="0" xfId="0">
      <alignment horizontal="right" vertical="center"/>
    </xf>
    <xf numFmtId="4" fontId="58" fillId="25" borderId="30" applyAlignment="1" pivotButton="0" quotePrefix="0" xfId="0">
      <alignment horizontal="right" vertical="center"/>
    </xf>
    <xf numFmtId="0" fontId="59" fillId="27" borderId="29" pivotButton="0" quotePrefix="0" xfId="0"/>
    <xf numFmtId="3" fontId="57" fillId="0" borderId="30" pivotButton="0" quotePrefix="0" xfId="0"/>
    <xf numFmtId="3" fontId="58" fillId="25" borderId="30" applyAlignment="1" pivotButton="0" quotePrefix="0" xfId="0">
      <alignment horizontal="center"/>
    </xf>
    <xf numFmtId="0" fontId="52" fillId="0" borderId="29" applyAlignment="1" pivotButton="0" quotePrefix="0" xfId="0">
      <alignment horizontal="center"/>
    </xf>
    <xf numFmtId="3" fontId="58" fillId="25" borderId="30" pivotButton="0" quotePrefix="0" xfId="0"/>
    <xf numFmtId="3" fontId="49" fillId="0" borderId="29" pivotButton="0" quotePrefix="0" xfId="0"/>
    <xf numFmtId="0" fontId="58" fillId="25" borderId="30" pivotButton="0" quotePrefix="0" xfId="0"/>
    <xf numFmtId="3" fontId="53" fillId="0" borderId="29" pivotButton="0" quotePrefix="0" xfId="0"/>
    <xf numFmtId="4" fontId="57" fillId="0" borderId="30" pivotButton="0" quotePrefix="0" xfId="0"/>
    <xf numFmtId="4" fontId="58" fillId="25" borderId="30" pivotButton="0" quotePrefix="0" xfId="0"/>
    <xf numFmtId="0" fontId="60" fillId="28" borderId="0" applyAlignment="1" pivotButton="0" quotePrefix="0" xfId="0">
      <alignment horizontal="left" vertical="center"/>
    </xf>
    <xf numFmtId="0" fontId="61" fillId="28" borderId="0" applyAlignment="1" pivotButton="0" quotePrefix="0" xfId="0">
      <alignment horizontal="left" vertical="center"/>
    </xf>
    <xf numFmtId="0" fontId="62" fillId="0" borderId="31" applyAlignment="1" pivotButton="0" quotePrefix="0" xfId="0">
      <alignment horizontal="left"/>
    </xf>
    <xf numFmtId="164" fontId="62" fillId="0" borderId="31" applyAlignment="1" pivotButton="0" quotePrefix="0" xfId="0">
      <alignment horizontal="right"/>
    </xf>
    <xf numFmtId="10" fontId="62" fillId="0" borderId="31" applyAlignment="1" pivotButton="0" quotePrefix="0" xfId="0">
      <alignment horizontal="right"/>
    </xf>
    <xf numFmtId="3" fontId="62" fillId="0" borderId="31" applyAlignment="1" pivotButton="0" quotePrefix="0" xfId="0">
      <alignment horizontal="right"/>
    </xf>
    <xf numFmtId="0" fontId="47" fillId="28" borderId="0" applyAlignment="1" pivotButton="0" quotePrefix="0" xfId="0">
      <alignment horizontal="left" vertical="center"/>
    </xf>
    <xf numFmtId="0" fontId="47" fillId="28" borderId="31" applyAlignment="1" pivotButton="0" quotePrefix="0" xfId="0">
      <alignment horizontal="left"/>
    </xf>
    <xf numFmtId="0" fontId="47" fillId="29" borderId="0" applyAlignment="1" pivotButton="0" quotePrefix="0" xfId="0">
      <alignment horizontal="center"/>
    </xf>
    <xf numFmtId="0" fontId="47" fillId="28" borderId="0" applyAlignment="1" pivotButton="0" quotePrefix="0" xfId="0">
      <alignment horizontal="center"/>
    </xf>
    <xf numFmtId="0" fontId="63" fillId="30" borderId="31" applyAlignment="1" pivotButton="0" quotePrefix="0" xfId="0">
      <alignment horizontal="left"/>
    </xf>
    <xf numFmtId="164" fontId="63" fillId="30" borderId="31" applyAlignment="1" pivotButton="0" quotePrefix="0" xfId="0">
      <alignment horizontal="right"/>
    </xf>
    <xf numFmtId="0" fontId="64" fillId="30" borderId="32" applyAlignment="1" pivotButton="0" quotePrefix="0" xfId="0">
      <alignment horizontal="left" vertical="center"/>
    </xf>
    <xf numFmtId="164" fontId="64" fillId="30" borderId="33" applyAlignment="1" pivotButton="0" quotePrefix="0" xfId="0">
      <alignment horizontal="right" vertical="center"/>
    </xf>
    <xf numFmtId="0" fontId="65" fillId="0" borderId="0" applyAlignment="1" pivotButton="0" quotePrefix="0" xfId="0">
      <alignment horizontal="left"/>
    </xf>
    <xf numFmtId="0" fontId="66" fillId="28" borderId="0" applyAlignment="1" pivotButton="0" quotePrefix="0" xfId="0">
      <alignment horizontal="left" vertical="center"/>
    </xf>
    <xf numFmtId="0" fontId="67" fillId="28" borderId="0" applyAlignment="1" pivotButton="0" quotePrefix="0" xfId="0">
      <alignment horizontal="left"/>
    </xf>
    <xf numFmtId="0" fontId="49" fillId="0" borderId="31" applyAlignment="1" pivotButton="0" quotePrefix="0" xfId="0">
      <alignment horizontal="left"/>
    </xf>
    <xf numFmtId="164" fontId="50" fillId="0" borderId="31" applyAlignment="1" pivotButton="0" quotePrefix="0" xfId="0">
      <alignment horizontal="right"/>
    </xf>
    <xf numFmtId="0" fontId="53" fillId="30" borderId="31" applyAlignment="1" pivotButton="0" quotePrefix="0" xfId="0">
      <alignment horizontal="left"/>
    </xf>
    <xf numFmtId="10" fontId="50" fillId="0" borderId="31" applyAlignment="1" pivotButton="0" quotePrefix="0" xfId="0">
      <alignment horizontal="right"/>
    </xf>
    <xf numFmtId="0" fontId="68" fillId="0" borderId="0" pivotButton="0" quotePrefix="0" xfId="0"/>
    <xf numFmtId="0" fontId="69" fillId="28" borderId="29" applyAlignment="1" pivotButton="0" quotePrefix="0" xfId="0">
      <alignment horizontal="left" vertical="center" indent="1"/>
    </xf>
    <xf numFmtId="0" fontId="69" fillId="28" borderId="0" pivotButton="0" quotePrefix="0" xfId="0"/>
    <xf numFmtId="0" fontId="70" fillId="28" borderId="29" applyAlignment="1" pivotButton="0" quotePrefix="0" xfId="0">
      <alignment horizontal="left" vertical="center" indent="1"/>
    </xf>
    <xf numFmtId="0" fontId="70" fillId="28" borderId="0" pivotButton="0" quotePrefix="0" xfId="0"/>
    <xf numFmtId="0" fontId="0" fillId="0" borderId="29" applyAlignment="1" pivotButton="0" quotePrefix="0" xfId="0">
      <alignment horizontal="general" vertical="bottom"/>
    </xf>
    <xf numFmtId="0" fontId="71" fillId="29" borderId="29" applyAlignment="1" pivotButton="0" quotePrefix="0" xfId="0">
      <alignment horizontal="center"/>
    </xf>
    <xf numFmtId="0" fontId="0" fillId="29" borderId="0" pivotButton="0" quotePrefix="0" xfId="0"/>
    <xf numFmtId="0" fontId="72" fillId="31" borderId="30" applyAlignment="1" pivotButton="0" quotePrefix="0" xfId="0">
      <alignment horizontal="left" vertical="center"/>
    </xf>
    <xf numFmtId="0" fontId="72" fillId="31" borderId="30" applyAlignment="1" pivotButton="0" quotePrefix="0" xfId="0">
      <alignment horizontal="center"/>
    </xf>
    <xf numFmtId="0" fontId="73" fillId="0" borderId="30" applyAlignment="1" pivotButton="0" quotePrefix="0" xfId="0">
      <alignment horizontal="left" vertical="bottom" indent="1"/>
    </xf>
    <xf numFmtId="3" fontId="73" fillId="0" borderId="30" applyAlignment="1" pivotButton="0" quotePrefix="0" xfId="0">
      <alignment horizontal="center"/>
    </xf>
    <xf numFmtId="3" fontId="73" fillId="0" borderId="30" applyAlignment="1" pivotButton="0" quotePrefix="0" xfId="0">
      <alignment horizontal="right" vertical="center"/>
    </xf>
    <xf numFmtId="168" fontId="73" fillId="0" borderId="30" applyAlignment="1" pivotButton="0" quotePrefix="0" xfId="0">
      <alignment horizontal="right" vertical="center"/>
    </xf>
    <xf numFmtId="0" fontId="74" fillId="30" borderId="30" pivotButton="0" quotePrefix="0" xfId="0"/>
    <xf numFmtId="3" fontId="74" fillId="30" borderId="30" pivotButton="0" quotePrefix="0" xfId="0"/>
    <xf numFmtId="0" fontId="73" fillId="0" borderId="30" pivotButton="0" quotePrefix="0" xfId="0"/>
    <xf numFmtId="3" fontId="73" fillId="0" borderId="30" pivotButton="0" quotePrefix="0" xfId="0"/>
    <xf numFmtId="0" fontId="55" fillId="0" borderId="29" applyAlignment="1" pivotButton="0" quotePrefix="0" xfId="0">
      <alignment horizontal="left" vertical="center"/>
    </xf>
    <xf numFmtId="0" fontId="75" fillId="27" borderId="29" pivotButton="0" quotePrefix="0" xfId="0"/>
    <xf numFmtId="0" fontId="56" fillId="27" borderId="29" applyAlignment="1" pivotButton="0" quotePrefix="0" xfId="0">
      <alignment horizontal="center"/>
    </xf>
    <xf numFmtId="0" fontId="0" fillId="27" borderId="29" pivotButton="0" quotePrefix="0" xfId="0"/>
    <xf numFmtId="0" fontId="73" fillId="0" borderId="30" applyAlignment="1" pivotButton="0" quotePrefix="0" xfId="0">
      <alignment horizontal="left" vertical="center"/>
    </xf>
    <xf numFmtId="0" fontId="56" fillId="0" borderId="29" pivotButton="0" quotePrefix="0" xfId="0"/>
    <xf numFmtId="0" fontId="56" fillId="0" borderId="29" applyAlignment="1" pivotButton="0" quotePrefix="0" xfId="0">
      <alignment horizontal="center"/>
    </xf>
    <xf numFmtId="0" fontId="57" fillId="0" borderId="29" pivotButton="0" quotePrefix="0" xfId="0"/>
    <xf numFmtId="168" fontId="57" fillId="0" borderId="29" pivotButton="0" quotePrefix="0" xfId="0"/>
    <xf numFmtId="168" fontId="58" fillId="0" borderId="29" pivotButton="0" quotePrefix="0" xfId="0"/>
    <xf numFmtId="0" fontId="58" fillId="0" borderId="29" pivotButton="0" quotePrefix="0" xfId="0"/>
    <xf numFmtId="3" fontId="58" fillId="0" borderId="29" pivotButton="0" quotePrefix="0" xfId="0"/>
    <xf numFmtId="168" fontId="73" fillId="0" borderId="30" applyAlignment="1" pivotButton="0" quotePrefix="0" xfId="0">
      <alignment horizontal="center"/>
    </xf>
    <xf numFmtId="4" fontId="73" fillId="0" borderId="30" applyAlignment="1" pivotButton="0" quotePrefix="0" xfId="0">
      <alignment horizontal="right" vertical="center"/>
    </xf>
    <xf numFmtId="0" fontId="59" fillId="0" borderId="29" pivotButton="0" quotePrefix="0" xfId="0"/>
    <xf numFmtId="4" fontId="73" fillId="0" borderId="30" pivotButton="0" quotePrefix="0" xfId="0"/>
    <xf numFmtId="3" fontId="57" fillId="0" borderId="29" pivotButton="0" quotePrefix="0" xfId="0"/>
    <xf numFmtId="0" fontId="74" fillId="30" borderId="30" applyAlignment="1" pivotButton="0" quotePrefix="0" xfId="0">
      <alignment horizontal="left" vertical="center"/>
    </xf>
    <xf numFmtId="0" fontId="76" fillId="31" borderId="30" pivotButton="0" quotePrefix="0" xfId="0"/>
    <xf numFmtId="3" fontId="76" fillId="31" borderId="30" pivotButton="0" quotePrefix="0" xfId="0"/>
    <xf numFmtId="0" fontId="75" fillId="27" borderId="29" applyAlignment="1" pivotButton="0" quotePrefix="0" xfId="0">
      <alignment horizontal="left" vertical="center"/>
    </xf>
    <xf numFmtId="0" fontId="74" fillId="31" borderId="30" pivotButton="0" quotePrefix="0" xfId="0"/>
    <xf numFmtId="3" fontId="74" fillId="31" borderId="30" pivotButton="0" quotePrefix="0" xfId="0"/>
    <xf numFmtId="4" fontId="57" fillId="0" borderId="29" pivotButton="0" quotePrefix="0" xfId="0"/>
    <xf numFmtId="4" fontId="58" fillId="0" borderId="29" pivotButton="0" quotePrefix="0" xfId="0"/>
    <xf numFmtId="0" fontId="69" fillId="28" borderId="34" applyAlignment="1" pivotButton="0" quotePrefix="0" xfId="0">
      <alignment horizontal="left" vertical="center" indent="1"/>
    </xf>
    <xf numFmtId="0" fontId="70" fillId="28" borderId="34" applyAlignment="1" pivotButton="0" quotePrefix="0" xfId="0">
      <alignment horizontal="left" vertical="center" indent="1"/>
    </xf>
    <xf numFmtId="0" fontId="71" fillId="29" borderId="34" applyAlignment="1" pivotButton="0" quotePrefix="0" xfId="0">
      <alignment horizontal="center"/>
    </xf>
    <xf numFmtId="3" fontId="6" fillId="9" borderId="1" applyAlignment="1" pivotButton="0" quotePrefix="0" xfId="0">
      <alignment horizontal="left" vertical="bottom" indent="1"/>
    </xf>
    <xf numFmtId="0" fontId="74" fillId="30" borderId="1" applyAlignment="1" pivotButton="0" quotePrefix="0" xfId="0">
      <alignment horizontal="left" vertical="bottom" indent="1"/>
    </xf>
    <xf numFmtId="3" fontId="74" fillId="30" borderId="1" applyAlignment="1" pivotButton="0" quotePrefix="0" xfId="0">
      <alignment horizontal="left" vertical="bottom" indent="1"/>
    </xf>
    <xf numFmtId="3" fontId="8" fillId="0" borderId="1" applyAlignment="1" pivotButton="0" quotePrefix="0" xfId="0">
      <alignment horizontal="left" vertical="bottom" indent="2"/>
    </xf>
    <xf numFmtId="0" fontId="69" fillId="28" borderId="29" applyAlignment="1" pivotButton="0" quotePrefix="0" xfId="0">
      <alignment horizontal="left" vertical="center"/>
    </xf>
    <xf numFmtId="0" fontId="70" fillId="28" borderId="29" applyAlignment="1" pivotButton="0" quotePrefix="0" xfId="0">
      <alignment horizontal="left"/>
    </xf>
    <xf numFmtId="0" fontId="47" fillId="0" borderId="29" applyAlignment="1" pivotButton="0" quotePrefix="0" xfId="0">
      <alignment horizontal="left" vertical="center"/>
    </xf>
    <xf numFmtId="0" fontId="72" fillId="31" borderId="30" pivotButton="0" quotePrefix="0" xfId="0"/>
    <xf numFmtId="0" fontId="75" fillId="27" borderId="29" applyAlignment="1" pivotButton="0" quotePrefix="0" xfId="0">
      <alignment horizontal="left"/>
    </xf>
    <xf numFmtId="164" fontId="50" fillId="27" borderId="29" applyAlignment="1" pivotButton="0" quotePrefix="0" xfId="0">
      <alignment horizontal="right"/>
    </xf>
    <xf numFmtId="0" fontId="0" fillId="27" borderId="0" pivotButton="0" quotePrefix="0" xfId="0"/>
    <xf numFmtId="0" fontId="73" fillId="0" borderId="30" applyAlignment="1" pivotButton="0" quotePrefix="0" xfId="0">
      <alignment horizontal="left"/>
    </xf>
    <xf numFmtId="3" fontId="73" fillId="0" borderId="30" applyAlignment="1" pivotButton="0" quotePrefix="0" xfId="0">
      <alignment horizontal="right"/>
    </xf>
    <xf numFmtId="0" fontId="74" fillId="30" borderId="30" applyAlignment="1" pivotButton="0" quotePrefix="0" xfId="0">
      <alignment horizontal="left"/>
    </xf>
    <xf numFmtId="3" fontId="74" fillId="30" borderId="30" applyAlignment="1" pivotButton="0" quotePrefix="0" xfId="0">
      <alignment horizontal="right"/>
    </xf>
    <xf numFmtId="168" fontId="73" fillId="0" borderId="30" applyAlignment="1" pivotButton="0" quotePrefix="0" xfId="0">
      <alignment horizontal="right"/>
    </xf>
    <xf numFmtId="168" fontId="73" fillId="0" borderId="30" pivotButton="0" quotePrefix="0" xfId="0"/>
    <xf numFmtId="0" fontId="76" fillId="31" borderId="30" applyAlignment="1" pivotButton="0" quotePrefix="0" xfId="0">
      <alignment horizontal="left"/>
    </xf>
    <xf numFmtId="3" fontId="76" fillId="31" borderId="30" applyAlignment="1" pivotButton="0" quotePrefix="0" xfId="0">
      <alignment horizontal="right"/>
    </xf>
    <xf numFmtId="0" fontId="53" fillId="0" borderId="29" applyAlignment="1" pivotButton="0" quotePrefix="0" xfId="0">
      <alignment horizontal="left"/>
    </xf>
    <xf numFmtId="164" fontId="63" fillId="0" borderId="29" applyAlignment="1" pivotButton="0" quotePrefix="0" xfId="0">
      <alignment horizontal="right"/>
    </xf>
    <xf numFmtId="0" fontId="49" fillId="0" borderId="29" applyAlignment="1" pivotButton="0" quotePrefix="0" xfId="0">
      <alignment horizontal="left"/>
    </xf>
    <xf numFmtId="164" fontId="62" fillId="0" borderId="29" applyAlignment="1" pivotButton="0" quotePrefix="0" xfId="0">
      <alignment horizontal="right"/>
    </xf>
    <xf numFmtId="0" fontId="75" fillId="27" borderId="0" pivotButton="0" quotePrefix="0" xfId="0"/>
    <xf numFmtId="172" fontId="73" fillId="0" borderId="30" pivotButton="0" quotePrefix="0" xfId="0"/>
    <xf numFmtId="0" fontId="69" fillId="28" borderId="34" applyAlignment="1" pivotButton="0" quotePrefix="0" xfId="0">
      <alignment horizontal="left" vertical="center"/>
    </xf>
    <xf numFmtId="0" fontId="70" fillId="28" borderId="34" applyAlignment="1" pivotButton="0" quotePrefix="0" xfId="0">
      <alignment horizontal="left"/>
    </xf>
    <xf numFmtId="0" fontId="77" fillId="0" borderId="0" pivotButton="0" quotePrefix="0" xfId="0"/>
    <xf numFmtId="3" fontId="0" fillId="0" borderId="30" pivotButton="0" quotePrefix="0" xfId="0"/>
    <xf numFmtId="0" fontId="0" fillId="0" borderId="30" pivotButton="0" quotePrefix="0" xfId="0"/>
    <xf numFmtId="10" fontId="0" fillId="0" borderId="3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b val="1"/>
        <color rgb="FFC00000"/>
        <sz val="18"/>
      </font>
    </dxf>
    <dxf>
      <font>
        <b val="1"/>
        <color rgb="FF548235"/>
        <sz val="18"/>
      </font>
    </dxf>
    <dxf>
      <font>
        <name val="Calibri"/>
        <b val="1"/>
        <color rgb="00C0473F"/>
        <sz val="16"/>
      </font>
    </dxf>
    <dxf>
      <font>
        <name val="Calibri"/>
        <b val="1"/>
        <color rgb="002E8B6E"/>
        <sz val="16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FAADC"/>
      <rgbColor rgb="FF993366"/>
      <rgbColor rgb="FFFFF2CC"/>
      <rgbColor rgb="FFEEF3FB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F2F2F2"/>
      <rgbColor rgb="FFD9E1F2"/>
      <rgbColor rgb="FFA9D18E"/>
      <rgbColor rgb="FFFF99CC"/>
      <rgbColor rgb="FFCC99FF"/>
      <rgbColor rgb="FFFFD966"/>
      <rgbColor rgb="FF2E75B6"/>
      <rgbColor rgb="FF1CADE4"/>
      <rgbColor rgb="FF99CC00"/>
      <rgbColor rgb="FFFFCC00"/>
      <rgbColor rgb="FFBF8F00"/>
      <rgbColor rgb="FFED7D31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Revenue, EBITDA &amp; PAT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'Annual_Summary'!B8</f>
            </strRef>
          </tx>
          <spPr>
            <a:ln xmlns:a="http://schemas.openxmlformats.org/drawingml/2006/main" w="22000">
              <a:solidFill>
                <a:srgbClr val="2E7DA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'Annual_Summary'!$C$8:$G$8</f>
            </numRef>
          </val>
          <smooth val="0"/>
        </ser>
        <ser>
          <idx val="1"/>
          <order val="1"/>
          <tx>
            <strRef>
              <f>'Annual_Summary'!B22</f>
            </strRef>
          </tx>
          <spPr>
            <a:ln xmlns:a="http://schemas.openxmlformats.org/drawingml/2006/main" w="22000">
              <a:solidFill>
                <a:srgbClr val="17A2A2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'Annual_Summary'!$C$22:$G$22</f>
            </numRef>
          </val>
          <smooth val="0"/>
        </ser>
        <ser>
          <idx val="2"/>
          <order val="2"/>
          <tx>
            <strRef>
              <f>'Annual_Summary'!B26</f>
            </strRef>
          </tx>
          <spPr>
            <a:ln xmlns:a="http://schemas.openxmlformats.org/drawingml/2006/main" w="22000">
              <a:solidFill>
                <a:srgbClr val="D9A44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'Annual_Summary'!$C$26:$G$26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₹#,##0;[Red](₹#,##0)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DSCR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'DSCR'!B14</f>
            </strRef>
          </tx>
          <spPr>
            <a:ln xmlns:a="http://schemas.openxmlformats.org/drawingml/2006/main" w="25000">
              <a:solidFill>
                <a:srgbClr val="2E8B6E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'DSCR'!$C$4:$G$4</f>
            </numRef>
          </cat>
          <val>
            <numRef>
              <f>'DSCR'!$C$14:$G$14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Structure — Year 1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DA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7A2A2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9A44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A5195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2E8B6E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0473F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BC8034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6B8F3A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cat>
            <numRef>
              <f>'Annual_Summary'!$B$10:$B$17</f>
            </numRef>
          </cat>
          <val>
            <numRef>
              <f>'Annual_Summary'!$C$10:$C$17</f>
            </numRef>
          </val>
        </ser>
        <firstSliceAng val="0"/>
        <holeSize val="55"/>
      </doughnutChart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Liquidity &amp; Leverage (x)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'Dashboard'!C72</f>
            </strRef>
          </tx>
          <spPr>
            <a:solidFill xmlns:a="http://schemas.openxmlformats.org/drawingml/2006/main">
              <a:srgbClr val="2E7DA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'Dashboard'!$C$73:$C$74</f>
            </numRef>
          </val>
        </ser>
        <ser>
          <idx val="1"/>
          <order val="1"/>
          <tx>
            <strRef>
              <f>'Dashboard'!D72</f>
            </strRef>
          </tx>
          <spPr>
            <a:solidFill xmlns:a="http://schemas.openxmlformats.org/drawingml/2006/main">
              <a:srgbClr val="D9A44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'Dashboard'!$D$73:$D$74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Profitability Margins (%)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'Dashboard'!C76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'Dashboard'!$C$77:$C$78</f>
            </numRef>
          </val>
        </ser>
        <ser>
          <idx val="1"/>
          <order val="1"/>
          <tx>
            <strRef>
              <f>'Dashboard'!D76</f>
            </strRef>
          </tx>
          <spPr>
            <a:solidFill xmlns:a="http://schemas.openxmlformats.org/drawingml/2006/main">
              <a:srgbClr val="7A5195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'Dashboard'!$D$77:$D$78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%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Working Capital Cycle (Days)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'Dashboard'!C80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'Dashboard'!$B$81:$B$84</f>
            </numRef>
          </cat>
          <val>
            <numRef>
              <f>'Dashboard'!$C$81:$C$84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5903999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14</row>
      <rowOff>0</rowOff>
    </from>
    <ext cx="4176000" cy="309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32</row>
      <rowOff>0</rowOff>
    </from>
    <ext cx="5903999" cy="309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32</row>
      <rowOff>0</rowOff>
    </from>
    <ext cx="4176000" cy="309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50</row>
      <rowOff>0</rowOff>
    </from>
    <ext cx="5903999" cy="3096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50</row>
      <rowOff>0</rowOff>
    </from>
    <ext cx="4176000" cy="3096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32"/>
  <sheetViews>
    <sheetView showFormulas="0" showGridLines="0" showRowColHeaders="1" showZeros="1" rightToLeft="0" tabSelected="0" showOutlineSymbols="1" defaultGridColor="1" view="normal" topLeftCell="A5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34" customWidth="1" style="81" min="2" max="2"/>
    <col width="60" customWidth="1" style="81" min="3" max="3"/>
  </cols>
  <sheetData>
    <row r="2" ht="33.75" customHeight="1" s="82">
      <c r="B2" s="83" t="inlineStr">
        <is>
          <t>CREDIT MONITORING ARRANGEMENT (CMA) REPORT</t>
        </is>
      </c>
    </row>
    <row r="3" ht="18" customHeight="1" s="82">
      <c r="B3" s="84" t="inlineStr">
        <is>
          <t>Projected Financials for Bank Term-Loan &amp; Working-Capital Appraisal</t>
        </is>
      </c>
    </row>
    <row r="5" ht="15" customHeight="1" s="82">
      <c r="B5" s="85" t="inlineStr">
        <is>
          <t>Name of the Unit</t>
        </is>
      </c>
      <c r="C5" s="86">
        <f>Assumptions!C5</f>
        <v/>
      </c>
    </row>
    <row r="6" ht="15" customHeight="1" s="82">
      <c r="B6" s="85" t="inlineStr">
        <is>
          <t>Constitution</t>
        </is>
      </c>
      <c r="C6" s="86">
        <f>Assumptions!C6</f>
        <v/>
      </c>
    </row>
    <row r="7" ht="15" customHeight="1" s="82">
      <c r="B7" s="85" t="inlineStr">
        <is>
          <t>Line of Activity</t>
        </is>
      </c>
      <c r="C7" s="86">
        <f>Assumptions!C7</f>
        <v/>
      </c>
    </row>
    <row r="8" ht="15" customHeight="1" s="82">
      <c r="B8" s="85" t="inlineStr">
        <is>
          <t>Term Loan applied for (₹)</t>
        </is>
      </c>
      <c r="C8" s="87">
        <f>Assumptions!C8</f>
        <v/>
      </c>
    </row>
    <row r="9" ht="15" customHeight="1" s="82">
      <c r="B9" s="85" t="inlineStr">
        <is>
          <t>Promoters' Capital (₹)</t>
        </is>
      </c>
      <c r="C9" s="87">
        <f>Assumptions!C9</f>
        <v/>
      </c>
    </row>
    <row r="10" ht="15" customHeight="1" s="82">
      <c r="B10" s="85" t="inlineStr">
        <is>
          <t>Projection horizon</t>
        </is>
      </c>
      <c r="C10" s="88" t="inlineStr">
        <is>
          <t>5 years (60 months), monthly</t>
        </is>
      </c>
    </row>
    <row r="12" ht="15" customHeight="1" s="82">
      <c r="B12" s="89" t="inlineStr">
        <is>
          <t>CONTENTS</t>
        </is>
      </c>
    </row>
    <row r="13" ht="15" customHeight="1" s="82">
      <c r="B13" s="90" t="inlineStr">
        <is>
          <t>Assumptions</t>
        </is>
      </c>
      <c r="C13" s="88" t="inlineStr">
        <is>
          <t>All input variables — the only sheet you type into (blue cells)</t>
        </is>
      </c>
    </row>
    <row r="14" ht="15" customHeight="1" s="82">
      <c r="B14" s="90" t="inlineStr">
        <is>
          <t>Production</t>
        </is>
      </c>
      <c r="C14" s="88" t="inlineStr">
        <is>
          <t>60-month production plan: capacity, utilisation, output and by-products</t>
        </is>
      </c>
    </row>
    <row r="15" ht="15" customHeight="1" s="82">
      <c r="B15" s="90" t="inlineStr">
        <is>
          <t>Sales</t>
        </is>
      </c>
      <c r="C15" s="88" t="inlineStr">
        <is>
          <t>Revenue build-up — quantity x price plus every ancillary stream, by segment</t>
        </is>
      </c>
    </row>
    <row r="16" ht="15" customHeight="1" s="82">
      <c r="B16" s="90" t="inlineStr">
        <is>
          <t>Expenses</t>
        </is>
      </c>
      <c r="C16" s="88" t="inlineStr">
        <is>
          <t>60-month operating expenses, variable and period costs</t>
        </is>
      </c>
    </row>
    <row r="17" ht="15" customHeight="1" s="82">
      <c r="B17" s="90" t="inlineStr">
        <is>
          <t>P &amp; L</t>
        </is>
      </c>
      <c r="C17" s="88" t="inlineStr">
        <is>
          <t>60-month P&amp;L: revenue by line, EBITDA -&gt; EBIT -&gt; PBT -&gt; PAT</t>
        </is>
      </c>
    </row>
    <row r="18" ht="15" customHeight="1" s="82">
      <c r="B18" s="90" t="inlineStr">
        <is>
          <t>Annual_Summary</t>
        </is>
      </c>
      <c r="C18" s="88" t="inlineStr">
        <is>
          <t>Consolidated 5-year figures feeding every CMA form</t>
        </is>
      </c>
    </row>
    <row r="19" ht="15" customHeight="1" s="82">
      <c r="B19" s="90" t="inlineStr">
        <is>
          <t>Form_II_Operating</t>
        </is>
      </c>
      <c r="C19" s="88" t="inlineStr">
        <is>
          <t>Form II — Operating statement for credit appraisal</t>
        </is>
      </c>
    </row>
    <row r="20" ht="15" customHeight="1" s="82">
      <c r="B20" s="90" t="inlineStr">
        <is>
          <t>Form_III_BalanceSheet</t>
        </is>
      </c>
      <c r="C20" s="88" t="inlineStr">
        <is>
          <t>Form III — Projected balance sheet</t>
        </is>
      </c>
    </row>
    <row r="21" ht="15" customHeight="1" s="82">
      <c r="B21" s="90" t="inlineStr">
        <is>
          <t>Form_IV_CA_CL</t>
        </is>
      </c>
      <c r="C21" s="88" t="inlineStr">
        <is>
          <t>Form IV — Current assets &amp; current liabilities</t>
        </is>
      </c>
    </row>
    <row r="22" ht="15" customHeight="1" s="82">
      <c r="B22" s="90" t="inlineStr">
        <is>
          <t>Inventory Schedule</t>
        </is>
      </c>
      <c r="C22" s="88" t="inlineStr">
        <is>
          <t>Movement of stock: opening + additions - consumption = closing</t>
        </is>
      </c>
    </row>
    <row r="23" ht="15" customHeight="1" s="82">
      <c r="B23" s="90" t="inlineStr">
        <is>
          <t>Form_V_MPBF</t>
        </is>
      </c>
      <c r="C23" s="88" t="inlineStr">
        <is>
          <t>Form V — Maximum permissible bank finance (Tandon)</t>
        </is>
      </c>
    </row>
    <row r="24" ht="15" customHeight="1" s="82">
      <c r="B24" s="90" t="inlineStr">
        <is>
          <t>WC &amp; CC-OD Limit</t>
        </is>
      </c>
      <c r="C24" s="88" t="inlineStr">
        <is>
          <t>Working capital assessment and the term-loan / WC borrowing split</t>
        </is>
      </c>
    </row>
    <row r="25" ht="15" customHeight="1" s="82">
      <c r="B25" s="90" t="inlineStr">
        <is>
          <t>Form_VI_FundFlow</t>
        </is>
      </c>
      <c r="C25" s="88" t="inlineStr">
        <is>
          <t>Form VI — Fund-flow statement</t>
        </is>
      </c>
    </row>
    <row r="26" ht="15" customHeight="1" s="82">
      <c r="B26" s="90" t="inlineStr">
        <is>
          <t>Repayment</t>
        </is>
      </c>
      <c r="C26" s="88" t="inlineStr">
        <is>
          <t>Term-loan repayment schedule, annual and month by month</t>
        </is>
      </c>
    </row>
    <row r="27">
      <c r="B27" s="90" t="inlineStr">
        <is>
          <t>Existing Loan</t>
        </is>
      </c>
      <c r="C27" s="88" t="inlineStr"/>
    </row>
    <row r="28" ht="15" customHeight="1" s="82">
      <c r="B28" s="88" t="inlineStr">
        <is>
          <t>Debt-service coverage year by year</t>
        </is>
      </c>
      <c r="C28" s="132" t="n"/>
    </row>
    <row r="29">
      <c r="B29" s="90" t="inlineStr">
        <is>
          <t>Ratios</t>
        </is>
      </c>
      <c r="C29" s="88" t="inlineStr">
        <is>
          <t>Key ratios — liquidity, leverage, profitability, coverage</t>
        </is>
      </c>
    </row>
    <row r="30">
      <c r="B30" s="90" t="inlineStr">
        <is>
          <t>Conclusion</t>
        </is>
      </c>
      <c r="C30" s="88" t="inlineStr">
        <is>
          <t>The verdict the figures support</t>
        </is>
      </c>
    </row>
    <row r="31">
      <c r="B31" s="90" t="inlineStr">
        <is>
          <t>Dashboard</t>
        </is>
      </c>
      <c r="C31" s="88" t="inlineStr">
        <is>
          <t>Charts: revenue, EBITDA, PAT, DSCR</t>
        </is>
      </c>
    </row>
    <row r="32">
      <c r="B32" s="90" t="n"/>
      <c r="C32" s="88" t="n"/>
    </row>
  </sheetData>
  <mergeCells count="4">
    <mergeCell ref="B12:C12"/>
    <mergeCell ref="B3:C3"/>
    <mergeCell ref="B2:C2"/>
    <mergeCell ref="B28:C28"/>
  </mergeCells>
  <hyperlinks>
    <hyperlink ref="B13" location="Assumptions!A1" display="Assumptions"/>
    <hyperlink ref="B14" location="Production!A1" display="Production"/>
    <hyperlink ref="B15" location="Sales!A1" display="Sales"/>
    <hyperlink ref="B16" location="Expenses!A1" display="Expenses"/>
    <hyperlink ref="B17" location="Profit!A1" display="Profit"/>
    <hyperlink ref="B18" location="Annual_Summary!A1" display="Annual_Summary"/>
    <hyperlink ref="B19" location="Form_II_Operating!A1" display="Form_II_Operating"/>
    <hyperlink ref="B20" location="Form_III_BalanceSheet!A1" display="Form_III_BalanceSheet"/>
    <hyperlink ref="B21" location="Form_IV_CA_CL!A1" display="Form_IV_CA_CL"/>
    <hyperlink ref="B22" location="Form_V_MPBF!A1" display="Form_V_MPBF"/>
    <hyperlink ref="B23" location="Form_VI_FundFlow!A1" display="Form_VI_FundFlow"/>
    <hyperlink ref="B24" location="Repayment!A1" display="Repayment"/>
    <hyperlink ref="B25" location="DSCR!A1" display="DSCR"/>
    <hyperlink ref="B26" location="Ratios!A1" display="Ratios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B7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1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3" customWidth="1" style="81" min="3" max="7"/>
    <col width="8" customWidth="1" style="81" min="8" max="14"/>
    <col width="2" customWidth="1" style="81" min="15" max="15"/>
    <col width="30" customWidth="1" style="81" min="16" max="16"/>
  </cols>
  <sheetData>
    <row r="1" ht="25.5" customHeight="1" s="82">
      <c r="A1" s="113" t="inlineStr">
        <is>
          <t>ASSUMPTIONS  —  KEY INPUTS</t>
        </is>
      </c>
    </row>
    <row r="2" ht="15" customHeight="1" s="82">
      <c r="A2" s="114" t="inlineStr">
        <is>
          <t>Enter values only in the blue/shaded cells.  Every other sheet updates automatically.</t>
        </is>
      </c>
    </row>
    <row r="3" ht="18" customHeight="1" s="82">
      <c r="B3" s="248" t="inlineStr">
        <is>
          <t>TOTAL COST OF PROJECT</t>
        </is>
      </c>
      <c r="C3" s="249">
        <f>C8+C9</f>
        <v/>
      </c>
      <c r="H3" s="250" t="inlineStr">
        <is>
          <t>₹      =  promoters' capital  +  term loan applied for</t>
        </is>
      </c>
    </row>
    <row r="4" ht="18" customHeight="1" s="82">
      <c r="B4" s="115" t="inlineStr">
        <is>
          <t>A.  COMPANY &amp; LOAN PARTICULARS</t>
        </is>
      </c>
      <c r="S4" s="116" t="inlineStr">
        <is>
          <t>Industry</t>
        </is>
      </c>
      <c r="T4" s="116" t="inlineStr">
        <is>
          <t>CapLabel</t>
        </is>
      </c>
      <c r="U4" s="116" t="inlineStr">
        <is>
          <t>ProdUnitLabel</t>
        </is>
      </c>
      <c r="V4" s="116" t="inlineStr">
        <is>
          <t>Cost1Long</t>
        </is>
      </c>
      <c r="W4" s="116" t="inlineStr">
        <is>
          <t>Cost1Short</t>
        </is>
      </c>
      <c r="X4" s="116" t="inlineStr">
        <is>
          <t>Cost2Long</t>
        </is>
      </c>
      <c r="Y4" s="116" t="inlineStr">
        <is>
          <t>Cost2Short</t>
        </is>
      </c>
      <c r="Z4" s="116" t="inlineStr">
        <is>
          <t>Cost3Short</t>
        </is>
      </c>
      <c r="AA4" s="193" t="inlineStr">
        <is>
          <t>ProdSheetTitle</t>
        </is>
      </c>
      <c r="AB4" s="193" t="inlineStr">
        <is>
          <t>SalesSheetTitle</t>
        </is>
      </c>
    </row>
    <row r="5" ht="15" customHeight="1" s="82">
      <c r="B5" s="88" t="inlineStr">
        <is>
          <t>Name of the Unit</t>
        </is>
      </c>
      <c r="C5" s="117" t="n"/>
      <c r="H5" s="118" t="n"/>
      <c r="I5" s="119" t="inlineStr">
        <is>
          <t>INDUSTRY / BUSINESS TYPE  →</t>
        </is>
      </c>
      <c r="J5" s="120" t="n"/>
      <c r="S5" s="81" t="inlineStr">
        <is>
          <t>Agriculture &amp; Farming</t>
        </is>
      </c>
      <c r="T5" s="81" t="inlineStr">
        <is>
          <t>Installed Capacity (land / livestock / output)</t>
        </is>
      </c>
      <c r="U5" s="81" t="inlineStr">
        <is>
          <t>Production (units)</t>
        </is>
      </c>
      <c r="V5" s="81" t="inlineStr">
        <is>
          <t>Seeds &amp; fertiliser cost per unit (Year 1)</t>
        </is>
      </c>
      <c r="W5" s="81" t="inlineStr">
        <is>
          <t>Seeds &amp; fertiliser</t>
        </is>
      </c>
      <c r="X5" s="81" t="inlineStr">
        <is>
          <t>Irrigation &amp; power cost per unit (Year 1)</t>
        </is>
      </c>
      <c r="Y5" s="81" t="inlineStr">
        <is>
          <t>Irrigation &amp; power</t>
        </is>
      </c>
      <c r="Z5" s="81" t="inlineStr">
        <is>
          <t>Farm overheads</t>
        </is>
      </c>
      <c r="AA5" s="198" t="inlineStr">
        <is>
          <t>Production Plan</t>
        </is>
      </c>
      <c r="AB5" s="198" t="inlineStr">
        <is>
          <t>Sales Plan</t>
        </is>
      </c>
    </row>
    <row r="6" ht="15" customHeight="1" s="82">
      <c r="B6" s="88" t="inlineStr">
        <is>
          <t>Constitution (Proprietor / Partnership / Pvt Ltd)</t>
        </is>
      </c>
      <c r="C6" s="117" t="n"/>
      <c r="H6" s="118" t="n"/>
      <c r="S6" s="81" t="inlineStr">
        <is>
          <t>Technology &amp; Software</t>
        </is>
      </c>
      <c r="T6" s="81" t="inlineStr">
        <is>
          <t>Service Delivery Capacity (billable hours/licenses p.a.)</t>
        </is>
      </c>
      <c r="U6" s="81" t="inlineStr">
        <is>
          <t>Service delivery (units)</t>
        </is>
      </c>
      <c r="V6" s="81" t="inlineStr">
        <is>
          <t>Cloud hosting cost per unit (Year 1)</t>
        </is>
      </c>
      <c r="W6" s="81" t="inlineStr">
        <is>
          <t>Cloud hosting</t>
        </is>
      </c>
      <c r="X6" s="81" t="inlineStr">
        <is>
          <t>API services &amp; software licence cost per unit (Year 1)</t>
        </is>
      </c>
      <c r="Y6" s="81" t="inlineStr">
        <is>
          <t>API services &amp; licences</t>
        </is>
      </c>
      <c r="Z6" s="81" t="inlineStr">
        <is>
          <t>Engineering overheads</t>
        </is>
      </c>
      <c r="AA6" s="198" t="inlineStr">
        <is>
          <t>Service Delivery Plan</t>
        </is>
      </c>
      <c r="AB6" s="198" t="inlineStr">
        <is>
          <t>Revenue Plan</t>
        </is>
      </c>
    </row>
    <row r="7" ht="15" customHeight="1" s="82">
      <c r="B7" s="88" t="inlineStr">
        <is>
          <t>Line of Activity / Product</t>
        </is>
      </c>
      <c r="C7" s="117" t="n"/>
      <c r="H7" s="118" t="n"/>
      <c r="S7" s="81" t="inlineStr">
        <is>
          <t>Retail &amp; E-Commerce</t>
        </is>
      </c>
      <c r="T7" s="81" t="inlineStr">
        <is>
          <t>Annual Purchase Capacity (units for resale)</t>
        </is>
      </c>
      <c r="U7" s="81" t="inlineStr">
        <is>
          <t>Purchase (units)</t>
        </is>
      </c>
      <c r="V7" s="81" t="inlineStr">
        <is>
          <t>Inventory purchase cost per unit (Year 1)</t>
        </is>
      </c>
      <c r="W7" s="81" t="inlineStr">
        <is>
          <t>Inventory purchase</t>
        </is>
      </c>
      <c r="X7" s="81" t="inlineStr">
        <is>
          <t>Packaging &amp; freight cost per unit (Year 1)</t>
        </is>
      </c>
      <c r="Y7" s="81" t="inlineStr">
        <is>
          <t>Packaging &amp; freight</t>
        </is>
      </c>
      <c r="Z7" s="81" t="inlineStr">
        <is>
          <t>Store overheads</t>
        </is>
      </c>
      <c r="AA7" s="198" t="inlineStr">
        <is>
          <t>Purchase / Inventory Plan</t>
        </is>
      </c>
      <c r="AB7" s="198" t="inlineStr">
        <is>
          <t>Sales Plan</t>
        </is>
      </c>
    </row>
    <row r="8" ht="15" customHeight="1" s="82">
      <c r="B8" s="88" t="inlineStr">
        <is>
          <t>Term Loan applied for</t>
        </is>
      </c>
      <c r="C8" s="121" t="n"/>
      <c r="H8" s="118" t="inlineStr">
        <is>
          <t>₹</t>
        </is>
      </c>
      <c r="S8" s="81" t="inlineStr">
        <is>
          <t>Manufacturing</t>
        </is>
      </c>
      <c r="T8" s="81" t="inlineStr">
        <is>
          <t>Installed Capacity</t>
        </is>
      </c>
      <c r="U8" s="81" t="inlineStr">
        <is>
          <t>Production (units)</t>
        </is>
      </c>
      <c r="V8" s="81" t="inlineStr">
        <is>
          <t>Raw material cost per unit (Year 1)</t>
        </is>
      </c>
      <c r="W8" s="81" t="inlineStr">
        <is>
          <t>Raw materials</t>
        </is>
      </c>
      <c r="X8" s="81" t="inlineStr">
        <is>
          <t>Power &amp; fuel cost per unit (Year 1)</t>
        </is>
      </c>
      <c r="Y8" s="81" t="inlineStr">
        <is>
          <t>Power &amp; fuel</t>
        </is>
      </c>
      <c r="Z8" s="81" t="inlineStr">
        <is>
          <t>Factory overheads</t>
        </is>
      </c>
      <c r="AA8" s="198" t="inlineStr">
        <is>
          <t>Production Plan</t>
        </is>
      </c>
      <c r="AB8" s="198" t="inlineStr">
        <is>
          <t>Sales Plan</t>
        </is>
      </c>
    </row>
    <row r="9" ht="15" customHeight="1" s="82">
      <c r="B9" s="88" t="inlineStr">
        <is>
          <t>Promoters' Capital / Equity brought in</t>
        </is>
      </c>
      <c r="C9" s="121" t="n"/>
      <c r="H9" s="118" t="inlineStr">
        <is>
          <t>₹</t>
        </is>
      </c>
      <c r="S9" s="81" t="inlineStr">
        <is>
          <t>Tourism &amp; Hospitality</t>
        </is>
      </c>
      <c r="T9" s="81" t="inlineStr">
        <is>
          <t>Room / Cover Capacity (room-nights or covers p.a.)</t>
        </is>
      </c>
      <c r="U9" s="81" t="inlineStr">
        <is>
          <t>Rooms sold / covers served (units)</t>
        </is>
      </c>
      <c r="V9" s="81" t="inlineStr">
        <is>
          <t>F&amp;B &amp; housekeeping cost per room-night (Year 1)</t>
        </is>
      </c>
      <c r="W9" s="81" t="inlineStr">
        <is>
          <t>F&amp;B &amp; housekeeping</t>
        </is>
      </c>
      <c r="X9" s="81" t="inlineStr">
        <is>
          <t>Power &amp; fuel cost per room-night (Year 1)</t>
        </is>
      </c>
      <c r="Y9" s="81" t="inlineStr">
        <is>
          <t>Power &amp; fuel</t>
        </is>
      </c>
      <c r="Z9" s="81" t="inlineStr">
        <is>
          <t>Property overheads</t>
        </is>
      </c>
      <c r="AA9" s="198" t="inlineStr">
        <is>
          <t>Operations Plan</t>
        </is>
      </c>
      <c r="AB9" s="198" t="inlineStr">
        <is>
          <t>Revenue Plan</t>
        </is>
      </c>
    </row>
    <row r="10" ht="15" customHeight="1" s="82">
      <c r="B10" s="88" t="inlineStr">
        <is>
          <t>Interest rate on Term Loan</t>
        </is>
      </c>
      <c r="C10" s="122" t="n"/>
      <c r="H10" s="118" t="inlineStr">
        <is>
          <t>% p.a.</t>
        </is>
      </c>
      <c r="S10" s="81" t="inlineStr">
        <is>
          <t>Renewable Energy</t>
        </is>
      </c>
      <c r="T10" s="81" t="inlineStr">
        <is>
          <t>Installed Generation Capacity (units of energy p.a.)</t>
        </is>
      </c>
      <c r="U10" s="81" t="inlineStr">
        <is>
          <t>Energy generated (units)</t>
        </is>
      </c>
      <c r="V10" s="81" t="inlineStr">
        <is>
          <t>O&amp;M cost per unit generated (Year 1)</t>
        </is>
      </c>
      <c r="W10" s="81" t="inlineStr">
        <is>
          <t>O&amp;M cost</t>
        </is>
      </c>
      <c r="X10" s="81" t="inlineStr">
        <is>
          <t>Grid charges &amp; evacuation cost per unit (Year 1)</t>
        </is>
      </c>
      <c r="Y10" s="81" t="inlineStr">
        <is>
          <t>Grid charges</t>
        </is>
      </c>
      <c r="Z10" s="81" t="inlineStr">
        <is>
          <t>Plant overheads</t>
        </is>
      </c>
      <c r="AA10" s="198" t="inlineStr">
        <is>
          <t>Generation Plan</t>
        </is>
      </c>
      <c r="AB10" s="198" t="inlineStr">
        <is>
          <t>Revenue Plan</t>
        </is>
      </c>
    </row>
    <row r="11" ht="15" customHeight="1" s="82">
      <c r="B11" s="88" t="inlineStr">
        <is>
          <t>Term Loan tenure (in MONTHS, e.g. 60 for 5 years)</t>
        </is>
      </c>
      <c r="C11" s="123" t="n"/>
      <c r="H11" s="118" t="inlineStr">
        <is>
          <t>years</t>
        </is>
      </c>
      <c r="S11" s="81" t="inlineStr">
        <is>
          <t>Healthcare &amp; Pharma</t>
        </is>
      </c>
      <c r="T11" s="81" t="inlineStr">
        <is>
          <t>Service / Production Capacity (patients or units p.a.)</t>
        </is>
      </c>
      <c r="U11" s="81" t="inlineStr">
        <is>
          <t>Patients served / units produced</t>
        </is>
      </c>
      <c r="V11" s="81" t="inlineStr">
        <is>
          <t>Medicines &amp; medical consumables per unit (Year 1)</t>
        </is>
      </c>
      <c r="W11" s="81" t="inlineStr">
        <is>
          <t>Medicines &amp; consumables</t>
        </is>
      </c>
      <c r="X11" s="81" t="inlineStr">
        <is>
          <t>Diagnostic equipment &amp; power cost per unit (Year 1)</t>
        </is>
      </c>
      <c r="Y11" s="81" t="inlineStr">
        <is>
          <t>Diagnostic equipment</t>
        </is>
      </c>
      <c r="Z11" s="81" t="inlineStr">
        <is>
          <t>Facility overheads</t>
        </is>
      </c>
      <c r="AA11" s="198" t="inlineStr">
        <is>
          <t>Service Delivery Plan</t>
        </is>
      </c>
      <c r="AB11" s="198" t="inlineStr">
        <is>
          <t>Revenue Plan</t>
        </is>
      </c>
    </row>
    <row r="12" ht="15" customHeight="1" s="82">
      <c r="B12" s="88" t="inlineStr">
        <is>
          <t>Moratorium / holiday period (in MONTHS)</t>
        </is>
      </c>
      <c r="C12" s="123" t="n"/>
      <c r="H12" s="118" t="inlineStr">
        <is>
          <t>months</t>
        </is>
      </c>
      <c r="S12" s="81" t="inlineStr">
        <is>
          <t>Education &amp; Training</t>
        </is>
      </c>
      <c r="T12" s="81" t="inlineStr">
        <is>
          <t>Service Capacity (student seats / batches p.a.)</t>
        </is>
      </c>
      <c r="U12" s="81" t="inlineStr">
        <is>
          <t>Students / batches served</t>
        </is>
      </c>
      <c r="V12" s="81" t="inlineStr">
        <is>
          <t>Faculty &amp; courseware cost per student (Year 1)</t>
        </is>
      </c>
      <c r="W12" s="81" t="inlineStr">
        <is>
          <t>Faculty cost</t>
        </is>
      </c>
      <c r="X12" s="81" t="inlineStr">
        <is>
          <t>Campus infrastructure cost per student (Year 1)</t>
        </is>
      </c>
      <c r="Y12" s="81" t="inlineStr">
        <is>
          <t>Campus infrastructure</t>
        </is>
      </c>
      <c r="Z12" s="81" t="inlineStr">
        <is>
          <t>Institute overheads</t>
        </is>
      </c>
      <c r="AA12" s="198" t="inlineStr">
        <is>
          <t>Academic Operations Plan</t>
        </is>
      </c>
      <c r="AB12" s="198" t="inlineStr">
        <is>
          <t>Revenue Plan</t>
        </is>
      </c>
    </row>
    <row r="13" ht="15" customHeight="1" s="82">
      <c r="B13" s="88" t="inlineStr">
        <is>
          <t>Interest rate on Working Capital</t>
        </is>
      </c>
      <c r="C13" s="122" t="n"/>
      <c r="H13" s="118" t="inlineStr">
        <is>
          <t>% p.a.</t>
        </is>
      </c>
      <c r="S13" s="81" t="inlineStr">
        <is>
          <t>General Business</t>
        </is>
      </c>
      <c r="T13" s="81" t="inlineStr">
        <is>
          <t>Capacity (units / customers / hours p.a.)</t>
        </is>
      </c>
      <c r="U13" s="81" t="inlineStr">
        <is>
          <t>Output (units)</t>
        </is>
      </c>
      <c r="V13" s="81" t="inlineStr">
        <is>
          <t>Direct cost per unit (Year 1)</t>
        </is>
      </c>
      <c r="W13" s="81" t="inlineStr">
        <is>
          <t>Direct cost</t>
        </is>
      </c>
      <c r="X13" s="81" t="inlineStr">
        <is>
          <t>Other direct cost per unit (Year 1)</t>
        </is>
      </c>
      <c r="Y13" s="81" t="inlineStr">
        <is>
          <t>Other direct cost</t>
        </is>
      </c>
      <c r="Z13" s="81" t="inlineStr">
        <is>
          <t>Operating overheads</t>
        </is>
      </c>
      <c r="AA13" s="198" t="inlineStr">
        <is>
          <t>Operations Plan</t>
        </is>
      </c>
      <c r="AB13" s="198" t="inlineStr">
        <is>
          <t>Revenue Plan</t>
        </is>
      </c>
    </row>
    <row r="14" ht="15" customHeight="1" s="82">
      <c r="B14" s="88" t="inlineStr">
        <is>
          <t>Income Tax rate</t>
        </is>
      </c>
      <c r="C14" s="122" t="n"/>
      <c r="H14" s="118" t="inlineStr">
        <is>
          <t>%</t>
        </is>
      </c>
      <c r="S14" s="81" t="inlineStr">
        <is>
          <t>Construction &amp; Real Estate</t>
        </is>
      </c>
      <c r="T14" s="81" t="inlineStr">
        <is>
          <t>Project Execution Capacity (sq.ft / units p.a.)</t>
        </is>
      </c>
      <c r="U14" s="81" t="inlineStr">
        <is>
          <t>Construction / units completed</t>
        </is>
      </c>
      <c r="V14" s="81" t="inlineStr">
        <is>
          <t>Construction material cost per unit (Year 1)</t>
        </is>
      </c>
      <c r="W14" s="81" t="inlineStr">
        <is>
          <t>Construction materials</t>
        </is>
      </c>
      <c r="X14" s="81" t="inlineStr">
        <is>
          <t>Site machinery &amp; power cost per unit (Year 1)</t>
        </is>
      </c>
      <c r="Y14" s="81" t="inlineStr">
        <is>
          <t>Site machinery</t>
        </is>
      </c>
      <c r="Z14" s="81" t="inlineStr">
        <is>
          <t>Project overheads</t>
        </is>
      </c>
      <c r="AA14" s="198" t="inlineStr">
        <is>
          <t>Project Execution Plan</t>
        </is>
      </c>
      <c r="AB14" s="198" t="inlineStr">
        <is>
          <t>Revenue Plan</t>
        </is>
      </c>
    </row>
    <row r="15" ht="18" customHeight="1" s="82">
      <c r="B15" s="115" t="inlineStr">
        <is>
          <t>B.  CAPACITY &amp; PRODUCTION</t>
        </is>
      </c>
      <c r="S15" s="81" t="inlineStr">
        <is>
          <t>Food &amp; Beverage / Restaurant</t>
        </is>
      </c>
      <c r="T15" s="81" t="inlineStr">
        <is>
          <t>Seating / Covers Capacity (covers p.a.)</t>
        </is>
      </c>
      <c r="U15" s="81" t="inlineStr">
        <is>
          <t>Covers served (units)</t>
        </is>
      </c>
      <c r="V15" s="81" t="inlineStr">
        <is>
          <t>Food &amp; beverage cost per cover (Year 1)</t>
        </is>
      </c>
      <c r="W15" s="81" t="inlineStr">
        <is>
          <t>Food cost</t>
        </is>
      </c>
      <c r="X15" s="81" t="inlineStr">
        <is>
          <t>Kitchen fuel &amp; gas cost per cover (Year 1)</t>
        </is>
      </c>
      <c r="Y15" s="81" t="inlineStr">
        <is>
          <t>Kitchen fuel</t>
        </is>
      </c>
      <c r="Z15" s="81" t="inlineStr">
        <is>
          <t>Restaurant overheads</t>
        </is>
      </c>
      <c r="AA15" s="198" t="inlineStr">
        <is>
          <t>Operations Plan</t>
        </is>
      </c>
      <c r="AB15" s="198" t="inlineStr">
        <is>
          <t>Revenue Plan</t>
        </is>
      </c>
    </row>
    <row r="16" ht="15" customHeight="1" s="82">
      <c r="B16" s="88">
        <f>IFERROR(VLOOKUP($J$5,INDUSTRY_MAP,2,FALSE()),"Installed Capacity")</f>
        <v/>
      </c>
      <c r="C16" s="121" t="n"/>
      <c r="H16" s="118" t="inlineStr">
        <is>
          <t>units p.a.</t>
        </is>
      </c>
      <c r="S16" s="81" t="inlineStr">
        <is>
          <t>Transportation &amp; Logistics</t>
        </is>
      </c>
      <c r="T16" s="81" t="inlineStr">
        <is>
          <t>Fleet / Route Capacity (trips or tonnage p.a.)</t>
        </is>
      </c>
      <c r="U16" s="81" t="inlineStr">
        <is>
          <t>Trips / tonnage handled (units)</t>
        </is>
      </c>
      <c r="V16" s="81" t="inlineStr">
        <is>
          <t>Fuel &amp; running cost per trip (Year 1)</t>
        </is>
      </c>
      <c r="W16" s="81" t="inlineStr">
        <is>
          <t>Fuel</t>
        </is>
      </c>
      <c r="X16" s="81" t="inlineStr">
        <is>
          <t>Vehicle maintenance cost per trip (Year 1)</t>
        </is>
      </c>
      <c r="Y16" s="81" t="inlineStr">
        <is>
          <t>Vehicle maintenance</t>
        </is>
      </c>
      <c r="Z16" s="81" t="inlineStr">
        <is>
          <t>Fleet overheads</t>
        </is>
      </c>
      <c r="AA16" s="198" t="inlineStr">
        <is>
          <t>Fleet Operations Plan</t>
        </is>
      </c>
      <c r="AB16" s="198" t="inlineStr">
        <is>
          <t>Revenue Plan</t>
        </is>
      </c>
    </row>
    <row r="17" ht="15" customHeight="1" s="82">
      <c r="B17" s="88" t="inlineStr">
        <is>
          <t>Capacity Utilisation</t>
        </is>
      </c>
      <c r="C17" s="124" t="inlineStr">
        <is>
          <t>Yr 1</t>
        </is>
      </c>
      <c r="D17" s="124" t="inlineStr">
        <is>
          <t>Yr 2</t>
        </is>
      </c>
      <c r="E17" s="124" t="inlineStr">
        <is>
          <t>Yr 3</t>
        </is>
      </c>
      <c r="F17" s="124" t="inlineStr">
        <is>
          <t>Yr 4</t>
        </is>
      </c>
      <c r="G17" s="124" t="inlineStr">
        <is>
          <t>Yr 5</t>
        </is>
      </c>
      <c r="S17" s="81" t="inlineStr">
        <is>
          <t>Textile &amp; Garments</t>
        </is>
      </c>
      <c r="T17" s="81" t="inlineStr">
        <is>
          <t>Installed Capacity (garments/fabric units p.a.)</t>
        </is>
      </c>
      <c r="U17" s="81" t="inlineStr">
        <is>
          <t>Production (units)</t>
        </is>
      </c>
      <c r="V17" s="81" t="inlineStr">
        <is>
          <t>Yarn &amp; fabric cost per unit (Year 1)</t>
        </is>
      </c>
      <c r="W17" s="81" t="inlineStr">
        <is>
          <t>Yarn &amp; fabric</t>
        </is>
      </c>
      <c r="X17" s="81" t="inlineStr">
        <is>
          <t>Power &amp; fuel cost per unit (Year 1)</t>
        </is>
      </c>
      <c r="Y17" s="81" t="inlineStr">
        <is>
          <t>Power &amp; fuel</t>
        </is>
      </c>
      <c r="Z17" s="81" t="inlineStr">
        <is>
          <t>Factory overheads</t>
        </is>
      </c>
      <c r="AA17" s="198" t="inlineStr">
        <is>
          <t>Production Plan</t>
        </is>
      </c>
      <c r="AB17" s="198" t="inlineStr">
        <is>
          <t>Sales Plan</t>
        </is>
      </c>
    </row>
    <row r="18" ht="15" customHeight="1" s="82">
      <c r="B18" s="88" t="inlineStr">
        <is>
          <t xml:space="preserve">   → enter % for Year 1 … 5</t>
        </is>
      </c>
      <c r="C18" s="125" t="n"/>
      <c r="D18" s="125" t="n"/>
      <c r="E18" s="125" t="n"/>
      <c r="F18" s="125" t="n"/>
      <c r="G18" s="125" t="n"/>
      <c r="H18" s="118" t="inlineStr">
        <is>
          <t>%</t>
        </is>
      </c>
      <c r="S18" s="81" t="inlineStr">
        <is>
          <t>Automobile / Auto Ancillary</t>
        </is>
      </c>
      <c r="T18" s="81" t="inlineStr">
        <is>
          <t>Installed Capacity (components/vehicles p.a.)</t>
        </is>
      </c>
      <c r="U18" s="81" t="inlineStr">
        <is>
          <t>Production (units)</t>
        </is>
      </c>
      <c r="V18" s="81" t="inlineStr">
        <is>
          <t>Component &amp; raw material cost per unit (Year 1)</t>
        </is>
      </c>
      <c r="W18" s="81" t="inlineStr">
        <is>
          <t>Components &amp; raw materials</t>
        </is>
      </c>
      <c r="X18" s="81" t="inlineStr">
        <is>
          <t>Power &amp; fuel cost per unit (Year 1)</t>
        </is>
      </c>
      <c r="Y18" s="81" t="inlineStr">
        <is>
          <t>Power &amp; fuel</t>
        </is>
      </c>
      <c r="Z18" s="81" t="inlineStr">
        <is>
          <t>Factory overheads</t>
        </is>
      </c>
      <c r="AA18" s="198" t="inlineStr">
        <is>
          <t>Production Plan</t>
        </is>
      </c>
      <c r="AB18" s="198" t="inlineStr">
        <is>
          <t>Sales Plan</t>
        </is>
      </c>
    </row>
    <row r="19" ht="18" customHeight="1" s="82">
      <c r="B19" s="115" t="inlineStr">
        <is>
          <t>C.  MONTHLY PHASING FACTOR  (optional — blank = equal spread)</t>
        </is>
      </c>
      <c r="S19" s="81" t="inlineStr">
        <is>
          <t>Import / Export Trading</t>
        </is>
      </c>
      <c r="T19" s="81" t="inlineStr">
        <is>
          <t>Annual Trading Capacity (units for import/export)</t>
        </is>
      </c>
      <c r="U19" s="81" t="inlineStr">
        <is>
          <t>Trading volume (units)</t>
        </is>
      </c>
      <c r="V19" s="81" t="inlineStr">
        <is>
          <t>Purchase / import cost per unit (Year 1)</t>
        </is>
      </c>
      <c r="W19" s="81" t="inlineStr">
        <is>
          <t>Purchase &amp; import cost</t>
        </is>
      </c>
      <c r="X19" s="81" t="inlineStr">
        <is>
          <t>Freight, customs &amp; logistics cost per unit (Year 1)</t>
        </is>
      </c>
      <c r="Y19" s="81" t="inlineStr">
        <is>
          <t>Freight &amp; customs</t>
        </is>
      </c>
      <c r="Z19" s="81" t="inlineStr">
        <is>
          <t>Trading overheads</t>
        </is>
      </c>
      <c r="AA19" s="198" t="inlineStr">
        <is>
          <t>Trading Plan</t>
        </is>
      </c>
      <c r="AB19" s="198" t="inlineStr">
        <is>
          <t>Revenue Plan</t>
        </is>
      </c>
    </row>
    <row r="20" ht="15" customHeight="1" s="82">
      <c r="B20" s="88" t="inlineStr">
        <is>
          <t>Relative weight per month (M1…M12)</t>
        </is>
      </c>
      <c r="C20" s="124" t="inlineStr">
        <is>
          <t>M1</t>
        </is>
      </c>
      <c r="D20" s="124" t="inlineStr">
        <is>
          <t>M2</t>
        </is>
      </c>
      <c r="E20" s="124" t="inlineStr">
        <is>
          <t>M3</t>
        </is>
      </c>
      <c r="F20" s="124" t="inlineStr">
        <is>
          <t>M4</t>
        </is>
      </c>
      <c r="G20" s="124" t="inlineStr">
        <is>
          <t>M5</t>
        </is>
      </c>
      <c r="H20" s="124" t="inlineStr">
        <is>
          <t>M6</t>
        </is>
      </c>
      <c r="I20" s="124" t="inlineStr">
        <is>
          <t>M7</t>
        </is>
      </c>
      <c r="J20" s="124" t="inlineStr">
        <is>
          <t>M8</t>
        </is>
      </c>
      <c r="K20" s="124" t="inlineStr">
        <is>
          <t>M9</t>
        </is>
      </c>
      <c r="L20" s="124" t="inlineStr">
        <is>
          <t>M10</t>
        </is>
      </c>
      <c r="M20" s="124" t="inlineStr">
        <is>
          <t>M11</t>
        </is>
      </c>
      <c r="N20" s="124" t="inlineStr">
        <is>
          <t>M12</t>
        </is>
      </c>
      <c r="S20" s="81" t="inlineStr">
        <is>
          <t>Media &amp; Entertainment</t>
        </is>
      </c>
      <c r="T20" s="81" t="inlineStr">
        <is>
          <t>Content / Production Capacity (units/hours p.a.)</t>
        </is>
      </c>
      <c r="U20" s="81" t="inlineStr">
        <is>
          <t>Content produced (units)</t>
        </is>
      </c>
      <c r="V20" s="81" t="inlineStr">
        <is>
          <t>Content production cost per unit (Year 1)</t>
        </is>
      </c>
      <c r="W20" s="81" t="inlineStr">
        <is>
          <t>Content production</t>
        </is>
      </c>
      <c r="X20" s="81" t="inlineStr">
        <is>
          <t>Equipment &amp; studio hire cost per unit (Year 1)</t>
        </is>
      </c>
      <c r="Y20" s="81" t="inlineStr">
        <is>
          <t>Equipment &amp; studio hire</t>
        </is>
      </c>
      <c r="Z20" s="81" t="inlineStr">
        <is>
          <t>Studio overheads</t>
        </is>
      </c>
      <c r="AA20" s="198" t="inlineStr">
        <is>
          <t>Operations Plan</t>
        </is>
      </c>
      <c r="AB20" s="198" t="inlineStr">
        <is>
          <t>Revenue Plan</t>
        </is>
      </c>
    </row>
    <row r="21" ht="15" customHeight="1" s="82">
      <c r="B21" s="88" t="inlineStr">
        <is>
          <t xml:space="preserve">   → weights (e.g. 1.0 each, or seasonal)</t>
        </is>
      </c>
      <c r="C21" s="126" t="n"/>
      <c r="D21" s="126" t="n"/>
      <c r="E21" s="126" t="n"/>
      <c r="F21" s="126" t="n"/>
      <c r="G21" s="126" t="n"/>
      <c r="H21" s="126" t="n"/>
      <c r="I21" s="126" t="n"/>
      <c r="J21" s="126" t="n"/>
      <c r="K21" s="126" t="n"/>
      <c r="L21" s="126" t="n"/>
      <c r="M21" s="126" t="n"/>
      <c r="N21" s="126" t="n"/>
      <c r="S21" s="81" t="inlineStr">
        <is>
          <t>Mining &amp; Minerals</t>
        </is>
      </c>
      <c r="T21" s="81" t="inlineStr">
        <is>
          <t>Installed Extraction Capacity (tonnes p.a.)</t>
        </is>
      </c>
      <c r="U21" s="81" t="inlineStr">
        <is>
          <t>Extraction (units)</t>
        </is>
      </c>
      <c r="V21" s="81" t="inlineStr">
        <is>
          <t>Extraction &amp; blasting cost per tonne (Year 1)</t>
        </is>
      </c>
      <c r="W21" s="81" t="inlineStr">
        <is>
          <t>Extraction &amp; blasting</t>
        </is>
      </c>
      <c r="X21" s="81" t="inlineStr">
        <is>
          <t>Power &amp; fuel cost per tonne (Year 1)</t>
        </is>
      </c>
      <c r="Y21" s="81" t="inlineStr">
        <is>
          <t>Power &amp; fuel</t>
        </is>
      </c>
      <c r="Z21" s="81" t="inlineStr">
        <is>
          <t>Mine overheads</t>
        </is>
      </c>
      <c r="AA21" s="198" t="inlineStr">
        <is>
          <t>Extraction Plan</t>
        </is>
      </c>
      <c r="AB21" s="198" t="inlineStr">
        <is>
          <t>Sales Plan</t>
        </is>
      </c>
    </row>
    <row r="22" ht="18" customHeight="1" s="82">
      <c r="B22" s="115" t="inlineStr">
        <is>
          <t>D.  PRICE &amp; VARIABLE COSTS  (Year-1 base, escalated by the % below)</t>
        </is>
      </c>
    </row>
    <row r="23" ht="15" customHeight="1" s="82">
      <c r="B23" s="88" t="inlineStr">
        <is>
          <t>Selling price per unit (Year 1)</t>
        </is>
      </c>
      <c r="C23" s="127" t="n"/>
      <c r="H23" s="118" t="inlineStr">
        <is>
          <t>₹/unit</t>
        </is>
      </c>
    </row>
    <row r="24" ht="15" customHeight="1" s="82">
      <c r="B24" s="88" t="inlineStr">
        <is>
          <t xml:space="preserve">   annual price escalation</t>
        </is>
      </c>
      <c r="C24" s="125" t="n"/>
      <c r="H24" s="118" t="inlineStr">
        <is>
          <t>%</t>
        </is>
      </c>
    </row>
    <row r="25" ht="15" customHeight="1" s="82">
      <c r="B25" s="88">
        <f>IFERROR(VLOOKUP($J$5,INDUSTRY_MAP,4,FALSE()),"Raw material cost per unit (Year 1)")</f>
        <v/>
      </c>
      <c r="C25" s="127" t="n"/>
      <c r="H25" s="118" t="inlineStr">
        <is>
          <t>₹/unit</t>
        </is>
      </c>
    </row>
    <row r="26" ht="15" customHeight="1" s="82">
      <c r="B26" s="88" t="inlineStr">
        <is>
          <t xml:space="preserve">   annual RM cost escalation</t>
        </is>
      </c>
      <c r="C26" s="125" t="n"/>
      <c r="H26" s="118" t="inlineStr">
        <is>
          <t>%</t>
        </is>
      </c>
    </row>
    <row r="27" ht="15" customHeight="1" s="82">
      <c r="B27" s="88">
        <f>IFERROR(VLOOKUP($J$5,INDUSTRY_MAP,6,FALSE()),"Power &amp; fuel cost per unit (Year 1)")</f>
        <v/>
      </c>
      <c r="C27" s="127" t="n"/>
      <c r="H27" s="118" t="inlineStr">
        <is>
          <t>₹/unit</t>
        </is>
      </c>
    </row>
    <row r="28" ht="15" customHeight="1" s="82">
      <c r="B28" s="88" t="inlineStr">
        <is>
          <t xml:space="preserve">   annual power cost escalation</t>
        </is>
      </c>
      <c r="C28" s="125" t="n"/>
      <c r="H28" s="118" t="inlineStr">
        <is>
          <t>%</t>
        </is>
      </c>
    </row>
    <row r="29" ht="15" customHeight="1" s="82">
      <c r="B29" s="88" t="inlineStr">
        <is>
          <t>Other variable cost per unit (Year 1)</t>
        </is>
      </c>
      <c r="C29" s="127" t="n"/>
      <c r="H29" s="118" t="inlineStr">
        <is>
          <t>₹/unit</t>
        </is>
      </c>
    </row>
    <row r="30" ht="15" customHeight="1" s="82">
      <c r="B30" s="88" t="inlineStr">
        <is>
          <t xml:space="preserve">   annual other-variable escalation</t>
        </is>
      </c>
      <c r="C30" s="125" t="n"/>
      <c r="H30" s="118" t="inlineStr">
        <is>
          <t>%</t>
        </is>
      </c>
    </row>
    <row r="31" ht="18" customHeight="1" s="82">
      <c r="B31" s="115" t="inlineStr">
        <is>
          <t>E.  FIXED / PERIOD COSTS  (per month, Year-1 base, escalated below)</t>
        </is>
      </c>
    </row>
    <row r="32" ht="15" customHeight="1" s="82">
      <c r="B32" s="88" t="inlineStr">
        <is>
          <t>Direct wages &amp; salaries / month (Year 1)</t>
        </is>
      </c>
      <c r="C32" s="121" t="n"/>
      <c r="H32" s="118" t="inlineStr">
        <is>
          <t>₹/month</t>
        </is>
      </c>
    </row>
    <row r="33" ht="15" customHeight="1" s="82">
      <c r="B33" s="88" t="inlineStr">
        <is>
          <t xml:space="preserve">   annual wages escalation</t>
        </is>
      </c>
      <c r="C33" s="125" t="n"/>
      <c r="H33" s="118" t="inlineStr">
        <is>
          <t>%</t>
        </is>
      </c>
    </row>
    <row r="34" ht="15" customHeight="1" s="82">
      <c r="B34" s="88" t="inlineStr">
        <is>
          <t>Factory overheads / month (Year 1)</t>
        </is>
      </c>
      <c r="C34" s="121" t="n"/>
      <c r="H34" s="118" t="inlineStr">
        <is>
          <t>₹/month</t>
        </is>
      </c>
    </row>
    <row r="35" ht="15" customHeight="1" s="82">
      <c r="B35" s="88" t="inlineStr">
        <is>
          <t xml:space="preserve">   annual factory-OH escalation</t>
        </is>
      </c>
      <c r="C35" s="125" t="n"/>
      <c r="H35" s="118" t="inlineStr">
        <is>
          <t>%</t>
        </is>
      </c>
    </row>
    <row r="36" ht="15" customHeight="1" s="82">
      <c r="B36" s="88" t="inlineStr">
        <is>
          <t>Repairs &amp; maintenance / month (Year 1)</t>
        </is>
      </c>
      <c r="C36" s="121" t="n"/>
      <c r="H36" s="118" t="inlineStr">
        <is>
          <t>₹/month</t>
        </is>
      </c>
    </row>
    <row r="37" ht="15" customHeight="1" s="82">
      <c r="B37" s="88" t="inlineStr">
        <is>
          <t xml:space="preserve">   annual R&amp;M escalation</t>
        </is>
      </c>
      <c r="C37" s="125" t="n"/>
      <c r="H37" s="118" t="inlineStr">
        <is>
          <t>%</t>
        </is>
      </c>
    </row>
    <row r="38" ht="15" customHeight="1" s="82">
      <c r="B38" s="88" t="inlineStr">
        <is>
          <t>Administrative expenses / month (Year 1)</t>
        </is>
      </c>
      <c r="C38" s="121" t="n"/>
      <c r="H38" s="118" t="inlineStr">
        <is>
          <t>₹/month</t>
        </is>
      </c>
    </row>
    <row r="39" ht="15" customHeight="1" s="82">
      <c r="B39" s="88" t="inlineStr">
        <is>
          <t xml:space="preserve">   annual admin escalation</t>
        </is>
      </c>
      <c r="C39" s="125" t="n"/>
      <c r="H39" s="118" t="inlineStr">
        <is>
          <t>%</t>
        </is>
      </c>
    </row>
    <row r="40" ht="15" customHeight="1" s="82">
      <c r="B40" s="88" t="inlineStr">
        <is>
          <t>Selling &amp; distribution</t>
        </is>
      </c>
      <c r="C40" s="125" t="n"/>
      <c r="H40" s="118" t="inlineStr">
        <is>
          <t>% of sales</t>
        </is>
      </c>
    </row>
    <row r="41" ht="18" customHeight="1" s="82">
      <c r="B41" s="115" t="inlineStr">
        <is>
          <t>F.  FIXED ASSETS &amp; DEPRECIATION  (straight-line on cost)</t>
        </is>
      </c>
    </row>
    <row r="42" ht="15" customHeight="1" s="82">
      <c r="B42" s="88" t="inlineStr">
        <is>
          <t>Land (no depreciation)</t>
        </is>
      </c>
      <c r="C42" s="121" t="n"/>
      <c r="H42" s="118" t="inlineStr">
        <is>
          <t>₹</t>
        </is>
      </c>
    </row>
    <row r="43" ht="15" customHeight="1" s="82">
      <c r="B43" s="88" t="inlineStr">
        <is>
          <t>Building — cost</t>
        </is>
      </c>
      <c r="C43" s="121" t="n"/>
      <c r="H43" s="118" t="inlineStr">
        <is>
          <t>₹</t>
        </is>
      </c>
    </row>
    <row r="44" ht="15" customHeight="1" s="82">
      <c r="B44" s="88" t="inlineStr">
        <is>
          <t>Building — depreciation rate</t>
        </is>
      </c>
      <c r="C44" s="125" t="n"/>
      <c r="H44" s="118" t="inlineStr">
        <is>
          <t>%</t>
        </is>
      </c>
    </row>
    <row r="45" ht="15" customHeight="1" s="82">
      <c r="B45" s="88" t="inlineStr">
        <is>
          <t>Plant &amp; Machinery — cost</t>
        </is>
      </c>
      <c r="C45" s="121" t="n"/>
      <c r="H45" s="118" t="inlineStr">
        <is>
          <t>₹</t>
        </is>
      </c>
    </row>
    <row r="46" ht="15" customHeight="1" s="82">
      <c r="B46" s="88" t="inlineStr">
        <is>
          <t>Plant &amp; Machinery — depreciation rate</t>
        </is>
      </c>
      <c r="C46" s="125" t="n"/>
      <c r="H46" s="118" t="inlineStr">
        <is>
          <t>%</t>
        </is>
      </c>
    </row>
    <row r="47" ht="15" customHeight="1" s="82">
      <c r="B47" s="88" t="inlineStr">
        <is>
          <t>Furniture / other — cost</t>
        </is>
      </c>
      <c r="C47" s="121" t="n"/>
      <c r="H47" s="118" t="inlineStr">
        <is>
          <t>₹</t>
        </is>
      </c>
    </row>
    <row r="48" ht="15" customHeight="1" s="82">
      <c r="B48" s="88" t="inlineStr">
        <is>
          <t>Furniture / other — depreciation rate</t>
        </is>
      </c>
      <c r="C48" s="125" t="n"/>
      <c r="H48" s="118" t="inlineStr">
        <is>
          <t>%</t>
        </is>
      </c>
    </row>
    <row r="49" ht="18" customHeight="1" s="82">
      <c r="B49" s="115" t="inlineStr">
        <is>
          <t>G.  WORKING CAPITAL CYCLE</t>
        </is>
      </c>
    </row>
    <row r="50" ht="15" customHeight="1" s="82">
      <c r="B50" s="88" t="inlineStr">
        <is>
          <t>Raw material holding</t>
        </is>
      </c>
      <c r="C50" s="123" t="n"/>
      <c r="H50" s="118" t="inlineStr">
        <is>
          <t>days</t>
        </is>
      </c>
    </row>
    <row r="51" ht="15" customHeight="1" s="82">
      <c r="B51" s="88" t="inlineStr">
        <is>
          <t>Finished goods holding</t>
        </is>
      </c>
      <c r="C51" s="123" t="n"/>
      <c r="H51" s="118" t="inlineStr">
        <is>
          <t>days</t>
        </is>
      </c>
    </row>
    <row r="52" ht="15" customHeight="1" s="82">
      <c r="B52" s="88" t="inlineStr">
        <is>
          <t>Receivables / debtors</t>
        </is>
      </c>
      <c r="C52" s="123" t="n"/>
      <c r="H52" s="118" t="inlineStr">
        <is>
          <t>days</t>
        </is>
      </c>
    </row>
    <row r="53" ht="15" customHeight="1" s="82">
      <c r="B53" s="88" t="inlineStr">
        <is>
          <t>Creditors / payables</t>
        </is>
      </c>
      <c r="C53" s="123" t="n"/>
      <c r="H53" s="118" t="inlineStr">
        <is>
          <t>days</t>
        </is>
      </c>
    </row>
    <row r="54" ht="15" customHeight="1" s="82">
      <c r="B54" s="88" t="inlineStr">
        <is>
          <t>Minimum cash &amp; bank balance</t>
        </is>
      </c>
      <c r="C54" s="121" t="n"/>
      <c r="H54" s="118" t="inlineStr">
        <is>
          <t>₹</t>
        </is>
      </c>
    </row>
    <row r="55" ht="15" customHeight="1" s="82">
      <c r="B55" s="88" t="inlineStr">
        <is>
          <t>Bank's WC margin (borrower's stake)</t>
        </is>
      </c>
      <c r="C55" s="125" t="n"/>
      <c r="H55" s="118" t="inlineStr">
        <is>
          <t>%</t>
        </is>
      </c>
      <c r="P55" s="128" t="inlineStr">
        <is>
          <t>Tandon Method-II uses 25%</t>
        </is>
      </c>
    </row>
    <row r="57">
      <c r="B57" s="186" t="inlineStr">
        <is>
          <t>H.  TARGET MARKET SEGMENTS  (who the revenue actually comes from)</t>
        </is>
      </c>
      <c r="C57" s="187" t="inlineStr">
        <is>
          <t>Segment name</t>
        </is>
      </c>
      <c r="D57" s="187" t="inlineStr">
        <is>
          <t>Share of revenue</t>
        </is>
      </c>
    </row>
    <row r="58">
      <c r="B58" s="188" t="inlineStr">
        <is>
          <t>Segment 1</t>
        </is>
      </c>
      <c r="C58" s="189" t="n"/>
      <c r="D58" s="190" t="n"/>
    </row>
    <row r="59">
      <c r="B59" s="188" t="inlineStr">
        <is>
          <t>Segment 2</t>
        </is>
      </c>
      <c r="C59" s="189" t="n"/>
      <c r="D59" s="190" t="n"/>
    </row>
    <row r="60">
      <c r="B60" s="188" t="inlineStr">
        <is>
          <t>Segment 3</t>
        </is>
      </c>
      <c r="C60" s="189" t="n"/>
      <c r="D60" s="190" t="n"/>
    </row>
    <row r="61">
      <c r="B61" s="188" t="inlineStr">
        <is>
          <t>Segment 4</t>
        </is>
      </c>
      <c r="C61" s="189" t="n"/>
      <c r="D61" s="190" t="n"/>
    </row>
    <row r="62">
      <c r="B62" s="188" t="inlineStr">
        <is>
          <t>Segment 5</t>
        </is>
      </c>
      <c r="C62" s="189" t="n"/>
      <c r="D62" s="190" t="n"/>
    </row>
    <row r="63">
      <c r="B63" s="191" t="inlineStr">
        <is>
          <t xml:space="preserve">   → shares must total 100%</t>
        </is>
      </c>
      <c r="D63" s="192">
        <f>SUM(D58:D62)</f>
        <v/>
      </c>
    </row>
    <row r="65">
      <c r="B65" s="257" t="inlineStr">
        <is>
          <t>I.  ANCILLARY OUTPUT &amp; OTHER OPERATING INCOME  (Year 1 — volume × price)</t>
        </is>
      </c>
      <c r="C65" s="257" t="inlineStr">
        <is>
          <t>Volume / units (Yr 1)</t>
        </is>
      </c>
      <c r="D65" s="257" t="inlineStr">
        <is>
          <t>Price (₹ / unit)</t>
        </is>
      </c>
    </row>
    <row r="66">
      <c r="B66" s="81" t="inlineStr">
        <is>
          <t>By-product / scrap sales</t>
        </is>
      </c>
      <c r="C66" s="189" t="n">
        <v>0</v>
      </c>
      <c r="D66" s="189" t="n">
        <v>0</v>
      </c>
    </row>
    <row r="67">
      <c r="B67" s="81" t="inlineStr">
        <is>
          <t>Job work / contract manufacturing</t>
        </is>
      </c>
      <c r="C67" s="189" t="n">
        <v>0</v>
      </c>
      <c r="D67" s="189" t="n">
        <v>0</v>
      </c>
    </row>
    <row r="68">
      <c r="B68" s="81" t="inlineStr">
        <is>
          <t>Trading of bought-out items</t>
        </is>
      </c>
      <c r="C68" s="189" t="n">
        <v>0</v>
      </c>
      <c r="D68" s="189" t="n">
        <v>0</v>
      </c>
    </row>
    <row r="69">
      <c r="B69" s="81" t="inlineStr">
        <is>
          <t>Other operating income</t>
        </is>
      </c>
      <c r="C69" s="189" t="n">
        <v>0</v>
      </c>
      <c r="D69" s="189" t="n">
        <v>0</v>
      </c>
    </row>
    <row r="71">
      <c r="B71" s="257" t="inlineStr">
        <is>
          <t>J.  EXISTING LOAN  (leave blank if the borrower has none)</t>
        </is>
      </c>
    </row>
    <row r="72">
      <c r="B72" s="81" t="inlineStr">
        <is>
          <t>Treatment:  1 = Take-over by new loan,  2 = Additional (keeps running)</t>
        </is>
      </c>
      <c r="C72" s="189" t="n">
        <v>0</v>
      </c>
      <c r="D72" s="330" t="inlineStr">
        <is>
          <t>1 or 2</t>
        </is>
      </c>
    </row>
    <row r="73">
      <c r="B73" s="81" t="inlineStr">
        <is>
          <t>Existing loan — outstanding today</t>
        </is>
      </c>
      <c r="C73" s="189" t="n">
        <v>0</v>
      </c>
      <c r="D73" s="330" t="inlineStr">
        <is>
          <t>₹</t>
        </is>
      </c>
    </row>
    <row r="74">
      <c r="B74" s="81" t="inlineStr">
        <is>
          <t>Existing loan — interest rate</t>
        </is>
      </c>
      <c r="C74" s="189" t="n">
        <v>0</v>
      </c>
      <c r="D74" s="330" t="inlineStr">
        <is>
          <t>% p.a.</t>
        </is>
      </c>
    </row>
    <row r="75">
      <c r="B75" s="81" t="inlineStr">
        <is>
          <t>Existing loan — remaining tenure</t>
        </is>
      </c>
      <c r="C75" s="189" t="n">
        <v>0</v>
      </c>
      <c r="D75" s="330" t="inlineStr">
        <is>
          <t>months</t>
        </is>
      </c>
    </row>
  </sheetData>
  <mergeCells count="9">
    <mergeCell ref="B41:O41"/>
    <mergeCell ref="B49:O49"/>
    <mergeCell ref="B4:O4"/>
    <mergeCell ref="A2:O2"/>
    <mergeCell ref="B15:O15"/>
    <mergeCell ref="A1:O1"/>
    <mergeCell ref="B19:O19"/>
    <mergeCell ref="B31:O31"/>
    <mergeCell ref="B22:O22"/>
  </mergeCells>
  <dataValidations count="1">
    <dataValidation sqref="J5" showDropDown="0" showInputMessage="0" showErrorMessage="0" allowBlank="0" type="list">
      <formula1>=$S$5:$S$40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R8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40" customWidth="1" style="81" min="1" max="1"/>
    <col width="12" customWidth="1" style="81" min="2" max="13"/>
    <col width="12" customWidth="1" style="82" min="3" max="3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4" customWidth="1" style="81" min="14" max="14"/>
    <col hidden="1" width="12" customWidth="1" style="81" min="15" max="26"/>
    <col hidden="1" width="12" customWidth="1" style="82" min="16" max="16"/>
    <col hidden="1" width="12" customWidth="1" style="82" min="17" max="17"/>
    <col hidden="1" width="12" customWidth="1" style="82" min="18" max="18"/>
    <col hidden="1" width="12" customWidth="1" style="82" min="19" max="19"/>
    <col hidden="1" width="12" customWidth="1" style="82" min="20" max="20"/>
    <col hidden="1" width="12" customWidth="1" style="82" min="21" max="21"/>
    <col hidden="1" width="12" customWidth="1" style="82" min="22" max="22"/>
    <col hidden="1" width="12" customWidth="1" style="82" min="23" max="23"/>
    <col hidden="1" width="12" customWidth="1" style="82" min="24" max="24"/>
    <col hidden="1" width="12" customWidth="1" style="82" min="25" max="25"/>
    <col hidden="1" width="12" customWidth="1" style="82" min="26" max="26"/>
    <col hidden="1" width="14" customWidth="1" style="81" min="27" max="27"/>
    <col hidden="1" width="12" customWidth="1" style="81" min="28" max="39"/>
    <col hidden="1" width="12" customWidth="1" style="82" min="29" max="29"/>
    <col hidden="1" width="12" customWidth="1" style="82" min="30" max="30"/>
    <col hidden="1" width="12" customWidth="1" style="82" min="31" max="31"/>
    <col hidden="1" width="12" customWidth="1" style="82" min="32" max="32"/>
    <col hidden="1" width="12" customWidth="1" style="82" min="33" max="33"/>
    <col hidden="1" width="12" customWidth="1" style="82" min="34" max="34"/>
    <col hidden="1" width="12" customWidth="1" style="82" min="35" max="35"/>
    <col hidden="1" width="12" customWidth="1" style="82" min="36" max="36"/>
    <col hidden="1" width="12" customWidth="1" style="82" min="37" max="37"/>
    <col hidden="1" width="12" customWidth="1" style="82" min="38" max="38"/>
    <col hidden="1" width="12" customWidth="1" style="82" min="39" max="39"/>
    <col hidden="1" width="14" customWidth="1" style="81" min="40" max="40"/>
    <col hidden="1" width="12" customWidth="1" style="81" min="41" max="52"/>
    <col hidden="1" width="12" customWidth="1" style="82" min="42" max="42"/>
    <col hidden="1" width="12" customWidth="1" style="82" min="43" max="43"/>
    <col hidden="1" width="12" customWidth="1" style="82" min="44" max="44"/>
    <col hidden="1" width="12" customWidth="1" style="82" min="45" max="45"/>
    <col hidden="1" width="12" customWidth="1" style="82" min="46" max="46"/>
    <col hidden="1" width="12" customWidth="1" style="82" min="47" max="47"/>
    <col hidden="1" width="12" customWidth="1" style="82" min="48" max="48"/>
    <col hidden="1" width="12" customWidth="1" style="82" min="49" max="49"/>
    <col hidden="1" width="12" customWidth="1" style="82" min="50" max="50"/>
    <col hidden="1" width="12" customWidth="1" style="82" min="51" max="51"/>
    <col hidden="1" width="12" customWidth="1" style="82" min="52" max="52"/>
    <col hidden="1" width="14" customWidth="1" style="81" min="53" max="53"/>
    <col hidden="1" width="12" customWidth="1" style="81" min="54" max="65"/>
    <col hidden="1" width="12" customWidth="1" style="82" min="55" max="55"/>
    <col hidden="1" width="12" customWidth="1" style="82" min="56" max="56"/>
    <col hidden="1" width="12" customWidth="1" style="82" min="57" max="57"/>
    <col hidden="1" width="12" customWidth="1" style="82" min="58" max="58"/>
    <col hidden="1" width="12" customWidth="1" style="82" min="59" max="59"/>
    <col hidden="1" width="12" customWidth="1" style="82" min="60" max="60"/>
    <col hidden="1" width="12" customWidth="1" style="82" min="61" max="61"/>
    <col hidden="1" width="12" customWidth="1" style="82" min="62" max="62"/>
    <col hidden="1" width="12" customWidth="1" style="82" min="63" max="63"/>
    <col hidden="1" width="12" customWidth="1" style="82" min="64" max="64"/>
    <col hidden="1" width="12" customWidth="1" style="82" min="65" max="65"/>
    <col hidden="1" width="14" customWidth="1" style="81" min="66" max="66"/>
    <col hidden="1" width="13" customWidth="1" style="82" min="67" max="67"/>
    <col hidden="1" width="13" customWidth="1" style="82" min="68" max="68"/>
    <col hidden="1" width="13" customWidth="1" style="82" min="69" max="69"/>
  </cols>
  <sheetData>
    <row r="1" ht="25.5" customHeight="1" s="82">
      <c r="A1" s="300" t="inlineStr">
        <is>
          <t>PRODUCTION PLAN  —  capacity, utilisation and output</t>
        </is>
      </c>
      <c r="BO1" s="202" t="n"/>
      <c r="BP1" s="202" t="n"/>
      <c r="BQ1" s="202" t="n"/>
      <c r="BR1" s="202" t="n"/>
    </row>
    <row r="2" ht="15" customHeight="1" s="82">
      <c r="A2" s="301" t="inlineStr">
        <is>
          <t>Installed capacity x utilisation = production. Idle capacity and every ancillary output stream are shown so the source of each unit is traceable.</t>
        </is>
      </c>
      <c r="BO2" s="202" t="n"/>
      <c r="BP2" s="202" t="n"/>
      <c r="BQ2" s="202" t="n"/>
      <c r="BR2" s="202" t="n"/>
    </row>
    <row r="3" ht="15.75" customHeight="1" s="82">
      <c r="A3" s="262" t="n"/>
      <c r="B3" s="302" t="inlineStr">
        <is>
          <t>YEAR 1</t>
        </is>
      </c>
      <c r="O3" s="302" t="inlineStr">
        <is>
          <t>YEAR 2</t>
        </is>
      </c>
      <c r="AB3" s="302" t="inlineStr">
        <is>
          <t>YEAR 3</t>
        </is>
      </c>
      <c r="AO3" s="302" t="inlineStr">
        <is>
          <t>YEAR 4</t>
        </is>
      </c>
      <c r="BB3" s="302" t="inlineStr">
        <is>
          <t>YEAR 5</t>
        </is>
      </c>
      <c r="BO3" s="202" t="n"/>
      <c r="BP3" s="202" t="n"/>
      <c r="BQ3" s="202" t="n"/>
      <c r="BR3" s="202" t="n"/>
    </row>
    <row r="4" ht="18" customHeight="1" s="82">
      <c r="A4" s="265" t="inlineStr">
        <is>
          <t>Particulars</t>
        </is>
      </c>
      <c r="B4" s="266" t="inlineStr">
        <is>
          <t>M1</t>
        </is>
      </c>
      <c r="C4" s="266" t="inlineStr">
        <is>
          <t>M2</t>
        </is>
      </c>
      <c r="D4" s="266" t="inlineStr">
        <is>
          <t>M3</t>
        </is>
      </c>
      <c r="E4" s="266" t="inlineStr">
        <is>
          <t>M4</t>
        </is>
      </c>
      <c r="F4" s="266" t="inlineStr">
        <is>
          <t>M5</t>
        </is>
      </c>
      <c r="G4" s="266" t="inlineStr">
        <is>
          <t>M6</t>
        </is>
      </c>
      <c r="H4" s="266" t="inlineStr">
        <is>
          <t>M7</t>
        </is>
      </c>
      <c r="I4" s="266" t="inlineStr">
        <is>
          <t>M8</t>
        </is>
      </c>
      <c r="J4" s="266" t="inlineStr">
        <is>
          <t>M9</t>
        </is>
      </c>
      <c r="K4" s="266" t="inlineStr">
        <is>
          <t>M10</t>
        </is>
      </c>
      <c r="L4" s="266" t="inlineStr">
        <is>
          <t>M11</t>
        </is>
      </c>
      <c r="M4" s="266" t="inlineStr">
        <is>
          <t>M12</t>
        </is>
      </c>
      <c r="N4" s="266" t="inlineStr">
        <is>
          <t>Yr 1 Total</t>
        </is>
      </c>
      <c r="O4" s="266" t="inlineStr">
        <is>
          <t>M1</t>
        </is>
      </c>
      <c r="P4" s="266" t="inlineStr">
        <is>
          <t>M2</t>
        </is>
      </c>
      <c r="Q4" s="266" t="inlineStr">
        <is>
          <t>M3</t>
        </is>
      </c>
      <c r="R4" s="266" t="inlineStr">
        <is>
          <t>M4</t>
        </is>
      </c>
      <c r="S4" s="266" t="inlineStr">
        <is>
          <t>M5</t>
        </is>
      </c>
      <c r="T4" s="266" t="inlineStr">
        <is>
          <t>M6</t>
        </is>
      </c>
      <c r="U4" s="266" t="inlineStr">
        <is>
          <t>M7</t>
        </is>
      </c>
      <c r="V4" s="266" t="inlineStr">
        <is>
          <t>M8</t>
        </is>
      </c>
      <c r="W4" s="266" t="inlineStr">
        <is>
          <t>M9</t>
        </is>
      </c>
      <c r="X4" s="266" t="inlineStr">
        <is>
          <t>M10</t>
        </is>
      </c>
      <c r="Y4" s="266" t="inlineStr">
        <is>
          <t>M11</t>
        </is>
      </c>
      <c r="Z4" s="266" t="inlineStr">
        <is>
          <t>M12</t>
        </is>
      </c>
      <c r="AA4" s="266" t="inlineStr">
        <is>
          <t>Yr 2 Total</t>
        </is>
      </c>
      <c r="AB4" s="266" t="inlineStr">
        <is>
          <t>M1</t>
        </is>
      </c>
      <c r="AC4" s="266" t="inlineStr">
        <is>
          <t>M2</t>
        </is>
      </c>
      <c r="AD4" s="266" t="inlineStr">
        <is>
          <t>M3</t>
        </is>
      </c>
      <c r="AE4" s="266" t="inlineStr">
        <is>
          <t>M4</t>
        </is>
      </c>
      <c r="AF4" s="266" t="inlineStr">
        <is>
          <t>M5</t>
        </is>
      </c>
      <c r="AG4" s="266" t="inlineStr">
        <is>
          <t>M6</t>
        </is>
      </c>
      <c r="AH4" s="266" t="inlineStr">
        <is>
          <t>M7</t>
        </is>
      </c>
      <c r="AI4" s="266" t="inlineStr">
        <is>
          <t>M8</t>
        </is>
      </c>
      <c r="AJ4" s="266" t="inlineStr">
        <is>
          <t>M9</t>
        </is>
      </c>
      <c r="AK4" s="266" t="inlineStr">
        <is>
          <t>M10</t>
        </is>
      </c>
      <c r="AL4" s="266" t="inlineStr">
        <is>
          <t>M11</t>
        </is>
      </c>
      <c r="AM4" s="266" t="inlineStr">
        <is>
          <t>M12</t>
        </is>
      </c>
      <c r="AN4" s="266" t="inlineStr">
        <is>
          <t>Yr 3 Total</t>
        </is>
      </c>
      <c r="AO4" s="266" t="inlineStr">
        <is>
          <t>M1</t>
        </is>
      </c>
      <c r="AP4" s="266" t="inlineStr">
        <is>
          <t>M2</t>
        </is>
      </c>
      <c r="AQ4" s="266" t="inlineStr">
        <is>
          <t>M3</t>
        </is>
      </c>
      <c r="AR4" s="266" t="inlineStr">
        <is>
          <t>M4</t>
        </is>
      </c>
      <c r="AS4" s="266" t="inlineStr">
        <is>
          <t>M5</t>
        </is>
      </c>
      <c r="AT4" s="266" t="inlineStr">
        <is>
          <t>M6</t>
        </is>
      </c>
      <c r="AU4" s="266" t="inlineStr">
        <is>
          <t>M7</t>
        </is>
      </c>
      <c r="AV4" s="266" t="inlineStr">
        <is>
          <t>M8</t>
        </is>
      </c>
      <c r="AW4" s="266" t="inlineStr">
        <is>
          <t>M9</t>
        </is>
      </c>
      <c r="AX4" s="266" t="inlineStr">
        <is>
          <t>M10</t>
        </is>
      </c>
      <c r="AY4" s="266" t="inlineStr">
        <is>
          <t>M11</t>
        </is>
      </c>
      <c r="AZ4" s="266" t="inlineStr">
        <is>
          <t>M12</t>
        </is>
      </c>
      <c r="BA4" s="266" t="inlineStr">
        <is>
          <t>Yr 4 Total</t>
        </is>
      </c>
      <c r="BB4" s="266" t="inlineStr">
        <is>
          <t>M1</t>
        </is>
      </c>
      <c r="BC4" s="266" t="inlineStr">
        <is>
          <t>M2</t>
        </is>
      </c>
      <c r="BD4" s="266" t="inlineStr">
        <is>
          <t>M3</t>
        </is>
      </c>
      <c r="BE4" s="266" t="inlineStr">
        <is>
          <t>M4</t>
        </is>
      </c>
      <c r="BF4" s="266" t="inlineStr">
        <is>
          <t>M5</t>
        </is>
      </c>
      <c r="BG4" s="266" t="inlineStr">
        <is>
          <t>M6</t>
        </is>
      </c>
      <c r="BH4" s="266" t="inlineStr">
        <is>
          <t>M7</t>
        </is>
      </c>
      <c r="BI4" s="266" t="inlineStr">
        <is>
          <t>M8</t>
        </is>
      </c>
      <c r="BJ4" s="266" t="inlineStr">
        <is>
          <t>M9</t>
        </is>
      </c>
      <c r="BK4" s="266" t="inlineStr">
        <is>
          <t>M10</t>
        </is>
      </c>
      <c r="BL4" s="266" t="inlineStr">
        <is>
          <t>M11</t>
        </is>
      </c>
      <c r="BM4" s="266" t="inlineStr">
        <is>
          <t>M12</t>
        </is>
      </c>
      <c r="BN4" s="266" t="inlineStr">
        <is>
          <t>Yr 5 Total</t>
        </is>
      </c>
      <c r="BO4" s="202" t="n"/>
      <c r="BP4" s="202" t="n"/>
      <c r="BQ4" s="202" t="n"/>
      <c r="BR4" s="202" t="n"/>
    </row>
    <row r="5" ht="15" customHeight="1" s="82">
      <c r="A5" s="267" t="inlineStr">
        <is>
          <t>Installed capacity (units / month)</t>
        </is>
      </c>
      <c r="B5" s="268">
        <f>Assumptions!$C$16/12</f>
        <v/>
      </c>
      <c r="C5" s="268">
        <f>Assumptions!$C$16/12</f>
        <v/>
      </c>
      <c r="D5" s="268">
        <f>Assumptions!$C$16/12</f>
        <v/>
      </c>
      <c r="E5" s="268">
        <f>Assumptions!$C$16/12</f>
        <v/>
      </c>
      <c r="F5" s="268">
        <f>Assumptions!$C$16/12</f>
        <v/>
      </c>
      <c r="G5" s="268">
        <f>Assumptions!$C$16/12</f>
        <v/>
      </c>
      <c r="H5" s="268">
        <f>Assumptions!$C$16/12</f>
        <v/>
      </c>
      <c r="I5" s="268">
        <f>Assumptions!$C$16/12</f>
        <v/>
      </c>
      <c r="J5" s="268">
        <f>Assumptions!$C$16/12</f>
        <v/>
      </c>
      <c r="K5" s="268">
        <f>Assumptions!$C$16/12</f>
        <v/>
      </c>
      <c r="L5" s="268">
        <f>Assumptions!$C$16/12</f>
        <v/>
      </c>
      <c r="M5" s="268">
        <f>Assumptions!$C$16/12</f>
        <v/>
      </c>
      <c r="N5" s="268">
        <f>SUM(B5:M5)</f>
        <v/>
      </c>
      <c r="O5" s="269">
        <f>Assumptions!$C$16/12</f>
        <v/>
      </c>
      <c r="P5" s="269">
        <f>Assumptions!$C$16/12</f>
        <v/>
      </c>
      <c r="Q5" s="269">
        <f>Assumptions!$C$16/12</f>
        <v/>
      </c>
      <c r="R5" s="269">
        <f>Assumptions!$C$16/12</f>
        <v/>
      </c>
      <c r="S5" s="269">
        <f>Assumptions!$C$16/12</f>
        <v/>
      </c>
      <c r="T5" s="269">
        <f>Assumptions!$C$16/12</f>
        <v/>
      </c>
      <c r="U5" s="269">
        <f>Assumptions!$C$16/12</f>
        <v/>
      </c>
      <c r="V5" s="269">
        <f>Assumptions!$C$16/12</f>
        <v/>
      </c>
      <c r="W5" s="269">
        <f>Assumptions!$C$16/12</f>
        <v/>
      </c>
      <c r="X5" s="269">
        <f>Assumptions!$C$16/12</f>
        <v/>
      </c>
      <c r="Y5" s="269">
        <f>Assumptions!$C$16/12</f>
        <v/>
      </c>
      <c r="Z5" s="269">
        <f>Assumptions!$C$16/12</f>
        <v/>
      </c>
      <c r="AA5" s="269">
        <f>SUM(O5:Z5)</f>
        <v/>
      </c>
      <c r="AB5" s="269">
        <f>Assumptions!$C$16/12</f>
        <v/>
      </c>
      <c r="AC5" s="269">
        <f>Assumptions!$C$16/12</f>
        <v/>
      </c>
      <c r="AD5" s="269">
        <f>Assumptions!$C$16/12</f>
        <v/>
      </c>
      <c r="AE5" s="269">
        <f>Assumptions!$C$16/12</f>
        <v/>
      </c>
      <c r="AF5" s="269">
        <f>Assumptions!$C$16/12</f>
        <v/>
      </c>
      <c r="AG5" s="269">
        <f>Assumptions!$C$16/12</f>
        <v/>
      </c>
      <c r="AH5" s="269">
        <f>Assumptions!$C$16/12</f>
        <v/>
      </c>
      <c r="AI5" s="269">
        <f>Assumptions!$C$16/12</f>
        <v/>
      </c>
      <c r="AJ5" s="269">
        <f>Assumptions!$C$16/12</f>
        <v/>
      </c>
      <c r="AK5" s="269">
        <f>Assumptions!$C$16/12</f>
        <v/>
      </c>
      <c r="AL5" s="269">
        <f>Assumptions!$C$16/12</f>
        <v/>
      </c>
      <c r="AM5" s="269">
        <f>Assumptions!$C$16/12</f>
        <v/>
      </c>
      <c r="AN5" s="269">
        <f>SUM(AB5:AM5)</f>
        <v/>
      </c>
      <c r="AO5" s="269">
        <f>Assumptions!$C$16/12</f>
        <v/>
      </c>
      <c r="AP5" s="269">
        <f>Assumptions!$C$16/12</f>
        <v/>
      </c>
      <c r="AQ5" s="269">
        <f>Assumptions!$C$16/12</f>
        <v/>
      </c>
      <c r="AR5" s="269">
        <f>Assumptions!$C$16/12</f>
        <v/>
      </c>
      <c r="AS5" s="269">
        <f>Assumptions!$C$16/12</f>
        <v/>
      </c>
      <c r="AT5" s="269">
        <f>Assumptions!$C$16/12</f>
        <v/>
      </c>
      <c r="AU5" s="269">
        <f>Assumptions!$C$16/12</f>
        <v/>
      </c>
      <c r="AV5" s="269">
        <f>Assumptions!$C$16/12</f>
        <v/>
      </c>
      <c r="AW5" s="269">
        <f>Assumptions!$C$16/12</f>
        <v/>
      </c>
      <c r="AX5" s="269">
        <f>Assumptions!$C$16/12</f>
        <v/>
      </c>
      <c r="AY5" s="269">
        <f>Assumptions!$C$16/12</f>
        <v/>
      </c>
      <c r="AZ5" s="269">
        <f>Assumptions!$C$16/12</f>
        <v/>
      </c>
      <c r="BA5" s="269">
        <f>SUM(AO5:AZ5)</f>
        <v/>
      </c>
      <c r="BB5" s="269">
        <f>Assumptions!$C$16/12</f>
        <v/>
      </c>
      <c r="BC5" s="269">
        <f>Assumptions!$C$16/12</f>
        <v/>
      </c>
      <c r="BD5" s="269">
        <f>Assumptions!$C$16/12</f>
        <v/>
      </c>
      <c r="BE5" s="269">
        <f>Assumptions!$C$16/12</f>
        <v/>
      </c>
      <c r="BF5" s="269">
        <f>Assumptions!$C$16/12</f>
        <v/>
      </c>
      <c r="BG5" s="269">
        <f>Assumptions!$C$16/12</f>
        <v/>
      </c>
      <c r="BH5" s="269">
        <f>Assumptions!$C$16/12</f>
        <v/>
      </c>
      <c r="BI5" s="269">
        <f>Assumptions!$C$16/12</f>
        <v/>
      </c>
      <c r="BJ5" s="269">
        <f>Assumptions!$C$16/12</f>
        <v/>
      </c>
      <c r="BK5" s="269">
        <f>Assumptions!$C$16/12</f>
        <v/>
      </c>
      <c r="BL5" s="269">
        <f>Assumptions!$C$16/12</f>
        <v/>
      </c>
      <c r="BM5" s="269">
        <f>Assumptions!$C$16/12</f>
        <v/>
      </c>
      <c r="BN5" s="269">
        <f>SUM(BB5:BM5)</f>
        <v/>
      </c>
      <c r="BO5" s="202" t="n"/>
      <c r="BP5" s="202" t="n"/>
      <c r="BQ5" s="202" t="n"/>
      <c r="BR5" s="202" t="n"/>
    </row>
    <row r="6" ht="15" customHeight="1" s="82">
      <c r="A6" s="267" t="inlineStr">
        <is>
          <t>Capacity utilisation (%)</t>
        </is>
      </c>
      <c r="B6" s="270">
        <f>Assumptions!$C$18</f>
        <v/>
      </c>
      <c r="C6" s="270">
        <f>Assumptions!$C$18</f>
        <v/>
      </c>
      <c r="D6" s="270">
        <f>Assumptions!$C$18</f>
        <v/>
      </c>
      <c r="E6" s="270">
        <f>Assumptions!$C$18</f>
        <v/>
      </c>
      <c r="F6" s="270">
        <f>Assumptions!$C$18</f>
        <v/>
      </c>
      <c r="G6" s="270">
        <f>Assumptions!$C$18</f>
        <v/>
      </c>
      <c r="H6" s="270">
        <f>Assumptions!$C$18</f>
        <v/>
      </c>
      <c r="I6" s="270">
        <f>Assumptions!$C$18</f>
        <v/>
      </c>
      <c r="J6" s="270">
        <f>Assumptions!$C$18</f>
        <v/>
      </c>
      <c r="K6" s="270">
        <f>Assumptions!$C$18</f>
        <v/>
      </c>
      <c r="L6" s="270">
        <f>Assumptions!$C$18</f>
        <v/>
      </c>
      <c r="M6" s="270">
        <f>Assumptions!$C$18</f>
        <v/>
      </c>
      <c r="N6" s="270">
        <f>B6</f>
        <v/>
      </c>
      <c r="O6" s="270">
        <f>Assumptions!$D$18</f>
        <v/>
      </c>
      <c r="P6" s="270">
        <f>Assumptions!$D$18</f>
        <v/>
      </c>
      <c r="Q6" s="270">
        <f>Assumptions!$D$18</f>
        <v/>
      </c>
      <c r="R6" s="270">
        <f>Assumptions!$D$18</f>
        <v/>
      </c>
      <c r="S6" s="270">
        <f>Assumptions!$D$18</f>
        <v/>
      </c>
      <c r="T6" s="270">
        <f>Assumptions!$D$18</f>
        <v/>
      </c>
      <c r="U6" s="270">
        <f>Assumptions!$D$18</f>
        <v/>
      </c>
      <c r="V6" s="270">
        <f>Assumptions!$D$18</f>
        <v/>
      </c>
      <c r="W6" s="270">
        <f>Assumptions!$D$18</f>
        <v/>
      </c>
      <c r="X6" s="270">
        <f>Assumptions!$D$18</f>
        <v/>
      </c>
      <c r="Y6" s="270">
        <f>Assumptions!$D$18</f>
        <v/>
      </c>
      <c r="Z6" s="270">
        <f>Assumptions!$D$18</f>
        <v/>
      </c>
      <c r="AA6" s="270">
        <f>O6</f>
        <v/>
      </c>
      <c r="AB6" s="270">
        <f>Assumptions!$E$18</f>
        <v/>
      </c>
      <c r="AC6" s="270">
        <f>Assumptions!$E$18</f>
        <v/>
      </c>
      <c r="AD6" s="270">
        <f>Assumptions!$E$18</f>
        <v/>
      </c>
      <c r="AE6" s="270">
        <f>Assumptions!$E$18</f>
        <v/>
      </c>
      <c r="AF6" s="270">
        <f>Assumptions!$E$18</f>
        <v/>
      </c>
      <c r="AG6" s="270">
        <f>Assumptions!$E$18</f>
        <v/>
      </c>
      <c r="AH6" s="270">
        <f>Assumptions!$E$18</f>
        <v/>
      </c>
      <c r="AI6" s="270">
        <f>Assumptions!$E$18</f>
        <v/>
      </c>
      <c r="AJ6" s="270">
        <f>Assumptions!$E$18</f>
        <v/>
      </c>
      <c r="AK6" s="270">
        <f>Assumptions!$E$18</f>
        <v/>
      </c>
      <c r="AL6" s="270">
        <f>Assumptions!$E$18</f>
        <v/>
      </c>
      <c r="AM6" s="270">
        <f>Assumptions!$E$18</f>
        <v/>
      </c>
      <c r="AN6" s="270">
        <f>AB6</f>
        <v/>
      </c>
      <c r="AO6" s="270">
        <f>Assumptions!$F$18</f>
        <v/>
      </c>
      <c r="AP6" s="270">
        <f>Assumptions!$F$18</f>
        <v/>
      </c>
      <c r="AQ6" s="270">
        <f>Assumptions!$F$18</f>
        <v/>
      </c>
      <c r="AR6" s="270">
        <f>Assumptions!$F$18</f>
        <v/>
      </c>
      <c r="AS6" s="270">
        <f>Assumptions!$F$18</f>
        <v/>
      </c>
      <c r="AT6" s="270">
        <f>Assumptions!$F$18</f>
        <v/>
      </c>
      <c r="AU6" s="270">
        <f>Assumptions!$F$18</f>
        <v/>
      </c>
      <c r="AV6" s="270">
        <f>Assumptions!$F$18</f>
        <v/>
      </c>
      <c r="AW6" s="270">
        <f>Assumptions!$F$18</f>
        <v/>
      </c>
      <c r="AX6" s="270">
        <f>Assumptions!$F$18</f>
        <v/>
      </c>
      <c r="AY6" s="270">
        <f>Assumptions!$F$18</f>
        <v/>
      </c>
      <c r="AZ6" s="270">
        <f>Assumptions!$F$18</f>
        <v/>
      </c>
      <c r="BA6" s="270">
        <f>AO6</f>
        <v/>
      </c>
      <c r="BB6" s="270">
        <f>Assumptions!$G$18</f>
        <v/>
      </c>
      <c r="BC6" s="270">
        <f>Assumptions!$G$18</f>
        <v/>
      </c>
      <c r="BD6" s="270">
        <f>Assumptions!$G$18</f>
        <v/>
      </c>
      <c r="BE6" s="270">
        <f>Assumptions!$G$18</f>
        <v/>
      </c>
      <c r="BF6" s="270">
        <f>Assumptions!$G$18</f>
        <v/>
      </c>
      <c r="BG6" s="270">
        <f>Assumptions!$G$18</f>
        <v/>
      </c>
      <c r="BH6" s="270">
        <f>Assumptions!$G$18</f>
        <v/>
      </c>
      <c r="BI6" s="270">
        <f>Assumptions!$G$18</f>
        <v/>
      </c>
      <c r="BJ6" s="270">
        <f>Assumptions!$G$18</f>
        <v/>
      </c>
      <c r="BK6" s="270">
        <f>Assumptions!$G$18</f>
        <v/>
      </c>
      <c r="BL6" s="270">
        <f>Assumptions!$G$18</f>
        <v/>
      </c>
      <c r="BM6" s="270">
        <f>Assumptions!$G$18</f>
        <v/>
      </c>
      <c r="BN6" s="270">
        <f>BB6</f>
        <v/>
      </c>
      <c r="BO6" s="202" t="n"/>
      <c r="BP6" s="202" t="n"/>
      <c r="BQ6" s="202" t="n"/>
      <c r="BR6" s="202" t="n"/>
    </row>
    <row r="7">
      <c r="A7" s="271" t="inlineStr">
        <is>
          <t>Production (units)</t>
        </is>
      </c>
      <c r="B7" s="272">
        <f>(Assumptions!$C$16*Assumptions!$C$18/12)*IF(SUM(Assumptions!$C$21:$N$21)=0,1,12*Assumptions!C$21/SUM(Assumptions!$C$21:$N$21))</f>
        <v/>
      </c>
      <c r="C7" s="272">
        <f>(Assumptions!$C$16*Assumptions!$C$18/12)*IF(SUM(Assumptions!$C$21:$N$21)=0,1,12*Assumptions!D$21/SUM(Assumptions!$C$21:$N$21))</f>
        <v/>
      </c>
      <c r="D7" s="272">
        <f>(Assumptions!$C$16*Assumptions!$C$18/12)*IF(SUM(Assumptions!$C$21:$N$21)=0,1,12*Assumptions!E$21/SUM(Assumptions!$C$21:$N$21))</f>
        <v/>
      </c>
      <c r="E7" s="272">
        <f>(Assumptions!$C$16*Assumptions!$C$18/12)*IF(SUM(Assumptions!$C$21:$N$21)=0,1,12*Assumptions!F$21/SUM(Assumptions!$C$21:$N$21))</f>
        <v/>
      </c>
      <c r="F7" s="272">
        <f>(Assumptions!$C$16*Assumptions!$C$18/12)*IF(SUM(Assumptions!$C$21:$N$21)=0,1,12*Assumptions!G$21/SUM(Assumptions!$C$21:$N$21))</f>
        <v/>
      </c>
      <c r="G7" s="272">
        <f>(Assumptions!$C$16*Assumptions!$C$18/12)*IF(SUM(Assumptions!$C$21:$N$21)=0,1,12*Assumptions!H$21/SUM(Assumptions!$C$21:$N$21))</f>
        <v/>
      </c>
      <c r="H7" s="272">
        <f>(Assumptions!$C$16*Assumptions!$C$18/12)*IF(SUM(Assumptions!$C$21:$N$21)=0,1,12*Assumptions!I$21/SUM(Assumptions!$C$21:$N$21))</f>
        <v/>
      </c>
      <c r="I7" s="272">
        <f>(Assumptions!$C$16*Assumptions!$C$18/12)*IF(SUM(Assumptions!$C$21:$N$21)=0,1,12*Assumptions!J$21/SUM(Assumptions!$C$21:$N$21))</f>
        <v/>
      </c>
      <c r="J7" s="272">
        <f>(Assumptions!$C$16*Assumptions!$C$18/12)*IF(SUM(Assumptions!$C$21:$N$21)=0,1,12*Assumptions!K$21/SUM(Assumptions!$C$21:$N$21))</f>
        <v/>
      </c>
      <c r="K7" s="272">
        <f>(Assumptions!$C$16*Assumptions!$C$18/12)*IF(SUM(Assumptions!$C$21:$N$21)=0,1,12*Assumptions!L$21/SUM(Assumptions!$C$21:$N$21))</f>
        <v/>
      </c>
      <c r="L7" s="272">
        <f>(Assumptions!$C$16*Assumptions!$C$18/12)*IF(SUM(Assumptions!$C$21:$N$21)=0,1,12*Assumptions!M$21/SUM(Assumptions!$C$21:$N$21))</f>
        <v/>
      </c>
      <c r="M7" s="272">
        <f>(Assumptions!$C$16*Assumptions!$C$18/12)*IF(SUM(Assumptions!$C$21:$N$21)=0,1,12*Assumptions!N$21/SUM(Assumptions!$C$21:$N$21))</f>
        <v/>
      </c>
      <c r="N7" s="272">
        <f>SUM(B7:M7)</f>
        <v/>
      </c>
      <c r="O7" s="272">
        <f>(Assumptions!$C$16*Assumptions!$D$18/12)*IF(SUM(Assumptions!$C$21:$N$21)=0,1,12*Assumptions!C$21/SUM(Assumptions!$C$21:$N$21))</f>
        <v/>
      </c>
      <c r="P7" s="272">
        <f>(Assumptions!$C$16*Assumptions!$D$18/12)*IF(SUM(Assumptions!$C$21:$N$21)=0,1,12*Assumptions!D$21/SUM(Assumptions!$C$21:$N$21))</f>
        <v/>
      </c>
      <c r="Q7" s="272">
        <f>(Assumptions!$C$16*Assumptions!$D$18/12)*IF(SUM(Assumptions!$C$21:$N$21)=0,1,12*Assumptions!E$21/SUM(Assumptions!$C$21:$N$21))</f>
        <v/>
      </c>
      <c r="R7" s="272">
        <f>(Assumptions!$C$16*Assumptions!$D$18/12)*IF(SUM(Assumptions!$C$21:$N$21)=0,1,12*Assumptions!F$21/SUM(Assumptions!$C$21:$N$21))</f>
        <v/>
      </c>
      <c r="S7" s="272">
        <f>(Assumptions!$C$16*Assumptions!$D$18/12)*IF(SUM(Assumptions!$C$21:$N$21)=0,1,12*Assumptions!G$21/SUM(Assumptions!$C$21:$N$21))</f>
        <v/>
      </c>
      <c r="T7" s="272">
        <f>(Assumptions!$C$16*Assumptions!$D$18/12)*IF(SUM(Assumptions!$C$21:$N$21)=0,1,12*Assumptions!H$21/SUM(Assumptions!$C$21:$N$21))</f>
        <v/>
      </c>
      <c r="U7" s="272">
        <f>(Assumptions!$C$16*Assumptions!$D$18/12)*IF(SUM(Assumptions!$C$21:$N$21)=0,1,12*Assumptions!I$21/SUM(Assumptions!$C$21:$N$21))</f>
        <v/>
      </c>
      <c r="V7" s="272">
        <f>(Assumptions!$C$16*Assumptions!$D$18/12)*IF(SUM(Assumptions!$C$21:$N$21)=0,1,12*Assumptions!J$21/SUM(Assumptions!$C$21:$N$21))</f>
        <v/>
      </c>
      <c r="W7" s="272">
        <f>(Assumptions!$C$16*Assumptions!$D$18/12)*IF(SUM(Assumptions!$C$21:$N$21)=0,1,12*Assumptions!K$21/SUM(Assumptions!$C$21:$N$21))</f>
        <v/>
      </c>
      <c r="X7" s="272">
        <f>(Assumptions!$C$16*Assumptions!$D$18/12)*IF(SUM(Assumptions!$C$21:$N$21)=0,1,12*Assumptions!L$21/SUM(Assumptions!$C$21:$N$21))</f>
        <v/>
      </c>
      <c r="Y7" s="272">
        <f>(Assumptions!$C$16*Assumptions!$D$18/12)*IF(SUM(Assumptions!$C$21:$N$21)=0,1,12*Assumptions!M$21/SUM(Assumptions!$C$21:$N$21))</f>
        <v/>
      </c>
      <c r="Z7" s="272">
        <f>(Assumptions!$C$16*Assumptions!$D$18/12)*IF(SUM(Assumptions!$C$21:$N$21)=0,1,12*Assumptions!N$21/SUM(Assumptions!$C$21:$N$21))</f>
        <v/>
      </c>
      <c r="AA7" s="272">
        <f>SUM(O7:Z7)</f>
        <v/>
      </c>
      <c r="AB7" s="272">
        <f>(Assumptions!$C$16*Assumptions!$E$18/12)*IF(SUM(Assumptions!$C$21:$N$21)=0,1,12*Assumptions!C$21/SUM(Assumptions!$C$21:$N$21))</f>
        <v/>
      </c>
      <c r="AC7" s="272">
        <f>(Assumptions!$C$16*Assumptions!$E$18/12)*IF(SUM(Assumptions!$C$21:$N$21)=0,1,12*Assumptions!D$21/SUM(Assumptions!$C$21:$N$21))</f>
        <v/>
      </c>
      <c r="AD7" s="272">
        <f>(Assumptions!$C$16*Assumptions!$E$18/12)*IF(SUM(Assumptions!$C$21:$N$21)=0,1,12*Assumptions!E$21/SUM(Assumptions!$C$21:$N$21))</f>
        <v/>
      </c>
      <c r="AE7" s="272">
        <f>(Assumptions!$C$16*Assumptions!$E$18/12)*IF(SUM(Assumptions!$C$21:$N$21)=0,1,12*Assumptions!F$21/SUM(Assumptions!$C$21:$N$21))</f>
        <v/>
      </c>
      <c r="AF7" s="272">
        <f>(Assumptions!$C$16*Assumptions!$E$18/12)*IF(SUM(Assumptions!$C$21:$N$21)=0,1,12*Assumptions!G$21/SUM(Assumptions!$C$21:$N$21))</f>
        <v/>
      </c>
      <c r="AG7" s="272">
        <f>(Assumptions!$C$16*Assumptions!$E$18/12)*IF(SUM(Assumptions!$C$21:$N$21)=0,1,12*Assumptions!H$21/SUM(Assumptions!$C$21:$N$21))</f>
        <v/>
      </c>
      <c r="AH7" s="272">
        <f>(Assumptions!$C$16*Assumptions!$E$18/12)*IF(SUM(Assumptions!$C$21:$N$21)=0,1,12*Assumptions!I$21/SUM(Assumptions!$C$21:$N$21))</f>
        <v/>
      </c>
      <c r="AI7" s="272">
        <f>(Assumptions!$C$16*Assumptions!$E$18/12)*IF(SUM(Assumptions!$C$21:$N$21)=0,1,12*Assumptions!J$21/SUM(Assumptions!$C$21:$N$21))</f>
        <v/>
      </c>
      <c r="AJ7" s="272">
        <f>(Assumptions!$C$16*Assumptions!$E$18/12)*IF(SUM(Assumptions!$C$21:$N$21)=0,1,12*Assumptions!K$21/SUM(Assumptions!$C$21:$N$21))</f>
        <v/>
      </c>
      <c r="AK7" s="272">
        <f>(Assumptions!$C$16*Assumptions!$E$18/12)*IF(SUM(Assumptions!$C$21:$N$21)=0,1,12*Assumptions!L$21/SUM(Assumptions!$C$21:$N$21))</f>
        <v/>
      </c>
      <c r="AL7" s="272">
        <f>(Assumptions!$C$16*Assumptions!$E$18/12)*IF(SUM(Assumptions!$C$21:$N$21)=0,1,12*Assumptions!M$21/SUM(Assumptions!$C$21:$N$21))</f>
        <v/>
      </c>
      <c r="AM7" s="272">
        <f>(Assumptions!$C$16*Assumptions!$E$18/12)*IF(SUM(Assumptions!$C$21:$N$21)=0,1,12*Assumptions!N$21/SUM(Assumptions!$C$21:$N$21))</f>
        <v/>
      </c>
      <c r="AN7" s="272">
        <f>SUM(AB7:AM7)</f>
        <v/>
      </c>
      <c r="AO7" s="272">
        <f>(Assumptions!$C$16*Assumptions!$F$18/12)*IF(SUM(Assumptions!$C$21:$N$21)=0,1,12*Assumptions!C$21/SUM(Assumptions!$C$21:$N$21))</f>
        <v/>
      </c>
      <c r="AP7" s="272">
        <f>(Assumptions!$C$16*Assumptions!$F$18/12)*IF(SUM(Assumptions!$C$21:$N$21)=0,1,12*Assumptions!D$21/SUM(Assumptions!$C$21:$N$21))</f>
        <v/>
      </c>
      <c r="AQ7" s="272">
        <f>(Assumptions!$C$16*Assumptions!$F$18/12)*IF(SUM(Assumptions!$C$21:$N$21)=0,1,12*Assumptions!E$21/SUM(Assumptions!$C$21:$N$21))</f>
        <v/>
      </c>
      <c r="AR7" s="272">
        <f>(Assumptions!$C$16*Assumptions!$F$18/12)*IF(SUM(Assumptions!$C$21:$N$21)=0,1,12*Assumptions!F$21/SUM(Assumptions!$C$21:$N$21))</f>
        <v/>
      </c>
      <c r="AS7" s="272">
        <f>(Assumptions!$C$16*Assumptions!$F$18/12)*IF(SUM(Assumptions!$C$21:$N$21)=0,1,12*Assumptions!G$21/SUM(Assumptions!$C$21:$N$21))</f>
        <v/>
      </c>
      <c r="AT7" s="272">
        <f>(Assumptions!$C$16*Assumptions!$F$18/12)*IF(SUM(Assumptions!$C$21:$N$21)=0,1,12*Assumptions!H$21/SUM(Assumptions!$C$21:$N$21))</f>
        <v/>
      </c>
      <c r="AU7" s="272">
        <f>(Assumptions!$C$16*Assumptions!$F$18/12)*IF(SUM(Assumptions!$C$21:$N$21)=0,1,12*Assumptions!I$21/SUM(Assumptions!$C$21:$N$21))</f>
        <v/>
      </c>
      <c r="AV7" s="272">
        <f>(Assumptions!$C$16*Assumptions!$F$18/12)*IF(SUM(Assumptions!$C$21:$N$21)=0,1,12*Assumptions!J$21/SUM(Assumptions!$C$21:$N$21))</f>
        <v/>
      </c>
      <c r="AW7" s="272">
        <f>(Assumptions!$C$16*Assumptions!$F$18/12)*IF(SUM(Assumptions!$C$21:$N$21)=0,1,12*Assumptions!K$21/SUM(Assumptions!$C$21:$N$21))</f>
        <v/>
      </c>
      <c r="AX7" s="272">
        <f>(Assumptions!$C$16*Assumptions!$F$18/12)*IF(SUM(Assumptions!$C$21:$N$21)=0,1,12*Assumptions!L$21/SUM(Assumptions!$C$21:$N$21))</f>
        <v/>
      </c>
      <c r="AY7" s="272">
        <f>(Assumptions!$C$16*Assumptions!$F$18/12)*IF(SUM(Assumptions!$C$21:$N$21)=0,1,12*Assumptions!M$21/SUM(Assumptions!$C$21:$N$21))</f>
        <v/>
      </c>
      <c r="AZ7" s="272">
        <f>(Assumptions!$C$16*Assumptions!$F$18/12)*IF(SUM(Assumptions!$C$21:$N$21)=0,1,12*Assumptions!N$21/SUM(Assumptions!$C$21:$N$21))</f>
        <v/>
      </c>
      <c r="BA7" s="272">
        <f>SUM(AO7:AZ7)</f>
        <v/>
      </c>
      <c r="BB7" s="272">
        <f>(Assumptions!$C$16*Assumptions!$G$18/12)*IF(SUM(Assumptions!$C$21:$N$21)=0,1,12*Assumptions!C$21/SUM(Assumptions!$C$21:$N$21))</f>
        <v/>
      </c>
      <c r="BC7" s="272">
        <f>(Assumptions!$C$16*Assumptions!$G$18/12)*IF(SUM(Assumptions!$C$21:$N$21)=0,1,12*Assumptions!D$21/SUM(Assumptions!$C$21:$N$21))</f>
        <v/>
      </c>
      <c r="BD7" s="272">
        <f>(Assumptions!$C$16*Assumptions!$G$18/12)*IF(SUM(Assumptions!$C$21:$N$21)=0,1,12*Assumptions!E$21/SUM(Assumptions!$C$21:$N$21))</f>
        <v/>
      </c>
      <c r="BE7" s="272">
        <f>(Assumptions!$C$16*Assumptions!$G$18/12)*IF(SUM(Assumptions!$C$21:$N$21)=0,1,12*Assumptions!F$21/SUM(Assumptions!$C$21:$N$21))</f>
        <v/>
      </c>
      <c r="BF7" s="272">
        <f>(Assumptions!$C$16*Assumptions!$G$18/12)*IF(SUM(Assumptions!$C$21:$N$21)=0,1,12*Assumptions!G$21/SUM(Assumptions!$C$21:$N$21))</f>
        <v/>
      </c>
      <c r="BG7" s="272">
        <f>(Assumptions!$C$16*Assumptions!$G$18/12)*IF(SUM(Assumptions!$C$21:$N$21)=0,1,12*Assumptions!H$21/SUM(Assumptions!$C$21:$N$21))</f>
        <v/>
      </c>
      <c r="BH7" s="272">
        <f>(Assumptions!$C$16*Assumptions!$G$18/12)*IF(SUM(Assumptions!$C$21:$N$21)=0,1,12*Assumptions!I$21/SUM(Assumptions!$C$21:$N$21))</f>
        <v/>
      </c>
      <c r="BI7" s="272">
        <f>(Assumptions!$C$16*Assumptions!$G$18/12)*IF(SUM(Assumptions!$C$21:$N$21)=0,1,12*Assumptions!J$21/SUM(Assumptions!$C$21:$N$21))</f>
        <v/>
      </c>
      <c r="BJ7" s="272">
        <f>(Assumptions!$C$16*Assumptions!$G$18/12)*IF(SUM(Assumptions!$C$21:$N$21)=0,1,12*Assumptions!K$21/SUM(Assumptions!$C$21:$N$21))</f>
        <v/>
      </c>
      <c r="BK7" s="272">
        <f>(Assumptions!$C$16*Assumptions!$G$18/12)*IF(SUM(Assumptions!$C$21:$N$21)=0,1,12*Assumptions!L$21/SUM(Assumptions!$C$21:$N$21))</f>
        <v/>
      </c>
      <c r="BL7" s="272">
        <f>(Assumptions!$C$16*Assumptions!$G$18/12)*IF(SUM(Assumptions!$C$21:$N$21)=0,1,12*Assumptions!M$21/SUM(Assumptions!$C$21:$N$21))</f>
        <v/>
      </c>
      <c r="BM7" s="272">
        <f>(Assumptions!$C$16*Assumptions!$G$18/12)*IF(SUM(Assumptions!$C$21:$N$21)=0,1,12*Assumptions!N$21/SUM(Assumptions!$C$21:$N$21))</f>
        <v/>
      </c>
      <c r="BN7" s="272">
        <f>SUM(BB7:BM7)</f>
        <v/>
      </c>
      <c r="BO7" s="202" t="n"/>
      <c r="BP7" s="202" t="n"/>
      <c r="BQ7" s="202" t="n"/>
      <c r="BR7" s="202" t="n"/>
    </row>
    <row r="8">
      <c r="A8" s="273" t="inlineStr">
        <is>
          <t>Idle / unutilised capacity (units)</t>
        </is>
      </c>
      <c r="B8" s="274">
        <f>MAX(0,B5-B7)</f>
        <v/>
      </c>
      <c r="C8" s="274">
        <f>MAX(0,C5-C7)</f>
        <v/>
      </c>
      <c r="D8" s="274">
        <f>MAX(0,D5-D7)</f>
        <v/>
      </c>
      <c r="E8" s="274">
        <f>MAX(0,E5-E7)</f>
        <v/>
      </c>
      <c r="F8" s="274">
        <f>MAX(0,F5-F7)</f>
        <v/>
      </c>
      <c r="G8" s="274">
        <f>MAX(0,G5-G7)</f>
        <v/>
      </c>
      <c r="H8" s="274">
        <f>MAX(0,H5-H7)</f>
        <v/>
      </c>
      <c r="I8" s="274">
        <f>MAX(0,I5-I7)</f>
        <v/>
      </c>
      <c r="J8" s="274">
        <f>MAX(0,J5-J7)</f>
        <v/>
      </c>
      <c r="K8" s="274">
        <f>MAX(0,K5-K7)</f>
        <v/>
      </c>
      <c r="L8" s="274">
        <f>MAX(0,L5-L7)</f>
        <v/>
      </c>
      <c r="M8" s="274">
        <f>MAX(0,M5-M7)</f>
        <v/>
      </c>
      <c r="N8" s="274">
        <f>SUM(B8:M8)</f>
        <v/>
      </c>
      <c r="O8" s="274">
        <f>MAX(0,O5-O7)</f>
        <v/>
      </c>
      <c r="P8" s="274">
        <f>MAX(0,P5-P7)</f>
        <v/>
      </c>
      <c r="Q8" s="274">
        <f>MAX(0,Q5-Q7)</f>
        <v/>
      </c>
      <c r="R8" s="274">
        <f>MAX(0,R5-R7)</f>
        <v/>
      </c>
      <c r="S8" s="274">
        <f>MAX(0,S5-S7)</f>
        <v/>
      </c>
      <c r="T8" s="274">
        <f>MAX(0,T5-T7)</f>
        <v/>
      </c>
      <c r="U8" s="274">
        <f>MAX(0,U5-U7)</f>
        <v/>
      </c>
      <c r="V8" s="274">
        <f>MAX(0,V5-V7)</f>
        <v/>
      </c>
      <c r="W8" s="274">
        <f>MAX(0,W5-W7)</f>
        <v/>
      </c>
      <c r="X8" s="274">
        <f>MAX(0,X5-X7)</f>
        <v/>
      </c>
      <c r="Y8" s="274">
        <f>MAX(0,Y5-Y7)</f>
        <v/>
      </c>
      <c r="Z8" s="274">
        <f>MAX(0,Z5-Z7)</f>
        <v/>
      </c>
      <c r="AA8" s="274">
        <f>SUM(O8:Z8)</f>
        <v/>
      </c>
      <c r="AB8" s="274">
        <f>MAX(0,AB5-AB7)</f>
        <v/>
      </c>
      <c r="AC8" s="274">
        <f>MAX(0,AC5-AC7)</f>
        <v/>
      </c>
      <c r="AD8" s="274">
        <f>MAX(0,AD5-AD7)</f>
        <v/>
      </c>
      <c r="AE8" s="274">
        <f>MAX(0,AE5-AE7)</f>
        <v/>
      </c>
      <c r="AF8" s="274">
        <f>MAX(0,AF5-AF7)</f>
        <v/>
      </c>
      <c r="AG8" s="274">
        <f>MAX(0,AG5-AG7)</f>
        <v/>
      </c>
      <c r="AH8" s="274">
        <f>MAX(0,AH5-AH7)</f>
        <v/>
      </c>
      <c r="AI8" s="274">
        <f>MAX(0,AI5-AI7)</f>
        <v/>
      </c>
      <c r="AJ8" s="274">
        <f>MAX(0,AJ5-AJ7)</f>
        <v/>
      </c>
      <c r="AK8" s="274">
        <f>MAX(0,AK5-AK7)</f>
        <v/>
      </c>
      <c r="AL8" s="274">
        <f>MAX(0,AL5-AL7)</f>
        <v/>
      </c>
      <c r="AM8" s="274">
        <f>MAX(0,AM5-AM7)</f>
        <v/>
      </c>
      <c r="AN8" s="274">
        <f>SUM(AB8:AM8)</f>
        <v/>
      </c>
      <c r="AO8" s="274">
        <f>MAX(0,AO5-AO7)</f>
        <v/>
      </c>
      <c r="AP8" s="274">
        <f>MAX(0,AP5-AP7)</f>
        <v/>
      </c>
      <c r="AQ8" s="274">
        <f>MAX(0,AQ5-AQ7)</f>
        <v/>
      </c>
      <c r="AR8" s="274">
        <f>MAX(0,AR5-AR7)</f>
        <v/>
      </c>
      <c r="AS8" s="274">
        <f>MAX(0,AS5-AS7)</f>
        <v/>
      </c>
      <c r="AT8" s="274">
        <f>MAX(0,AT5-AT7)</f>
        <v/>
      </c>
      <c r="AU8" s="274">
        <f>MAX(0,AU5-AU7)</f>
        <v/>
      </c>
      <c r="AV8" s="274">
        <f>MAX(0,AV5-AV7)</f>
        <v/>
      </c>
      <c r="AW8" s="274">
        <f>MAX(0,AW5-AW7)</f>
        <v/>
      </c>
      <c r="AX8" s="274">
        <f>MAX(0,AX5-AX7)</f>
        <v/>
      </c>
      <c r="AY8" s="274">
        <f>MAX(0,AY5-AY7)</f>
        <v/>
      </c>
      <c r="AZ8" s="274">
        <f>MAX(0,AZ5-AZ7)</f>
        <v/>
      </c>
      <c r="BA8" s="274">
        <f>SUM(AO8:AZ8)</f>
        <v/>
      </c>
      <c r="BB8" s="274">
        <f>MAX(0,BB5-BB7)</f>
        <v/>
      </c>
      <c r="BC8" s="274">
        <f>MAX(0,BC5-BC7)</f>
        <v/>
      </c>
      <c r="BD8" s="274">
        <f>MAX(0,BD5-BD7)</f>
        <v/>
      </c>
      <c r="BE8" s="274">
        <f>MAX(0,BE5-BE7)</f>
        <v/>
      </c>
      <c r="BF8" s="274">
        <f>MAX(0,BF5-BF7)</f>
        <v/>
      </c>
      <c r="BG8" s="274">
        <f>MAX(0,BG5-BG7)</f>
        <v/>
      </c>
      <c r="BH8" s="274">
        <f>MAX(0,BH5-BH7)</f>
        <v/>
      </c>
      <c r="BI8" s="274">
        <f>MAX(0,BI5-BI7)</f>
        <v/>
      </c>
      <c r="BJ8" s="274">
        <f>MAX(0,BJ5-BJ7)</f>
        <v/>
      </c>
      <c r="BK8" s="274">
        <f>MAX(0,BK5-BK7)</f>
        <v/>
      </c>
      <c r="BL8" s="274">
        <f>MAX(0,BL5-BL7)</f>
        <v/>
      </c>
      <c r="BM8" s="274">
        <f>MAX(0,BM5-BM7)</f>
        <v/>
      </c>
      <c r="BN8" s="274">
        <f>SUM(BB8:BM8)</f>
        <v/>
      </c>
      <c r="BO8" s="202" t="n"/>
      <c r="BP8" s="202" t="n"/>
      <c r="BQ8" s="202" t="n"/>
      <c r="BR8" s="202" t="n"/>
    </row>
    <row r="9" ht="18" customHeight="1" s="82">
      <c r="A9" s="275" t="n"/>
      <c r="B9" s="202" t="n"/>
      <c r="C9" s="202" t="n"/>
      <c r="D9" s="202" t="n"/>
      <c r="E9" s="202" t="n"/>
      <c r="F9" s="202" t="n"/>
      <c r="G9" s="202" t="n"/>
      <c r="H9" s="202" t="n"/>
      <c r="I9" s="202" t="n"/>
      <c r="J9" s="202" t="n"/>
      <c r="K9" s="202" t="n"/>
      <c r="L9" s="202" t="n"/>
      <c r="M9" s="202" t="n"/>
      <c r="N9" s="202" t="n"/>
      <c r="O9" s="202" t="n"/>
      <c r="P9" s="202" t="n"/>
      <c r="Q9" s="202" t="n"/>
      <c r="R9" s="202" t="n"/>
      <c r="S9" s="202" t="n"/>
      <c r="T9" s="202" t="n"/>
      <c r="U9" s="202" t="n"/>
      <c r="V9" s="202" t="n"/>
      <c r="W9" s="202" t="n"/>
      <c r="X9" s="202" t="n"/>
      <c r="Y9" s="202" t="n"/>
      <c r="Z9" s="202" t="n"/>
      <c r="AA9" s="202" t="n"/>
      <c r="AB9" s="202" t="n"/>
      <c r="AC9" s="202" t="n"/>
      <c r="AD9" s="202" t="n"/>
      <c r="AE9" s="202" t="n"/>
      <c r="AF9" s="202" t="n"/>
      <c r="AG9" s="202" t="n"/>
      <c r="AH9" s="202" t="n"/>
      <c r="AI9" s="202" t="n"/>
      <c r="AJ9" s="202" t="n"/>
      <c r="AK9" s="202" t="n"/>
      <c r="AL9" s="202" t="n"/>
      <c r="AM9" s="202" t="n"/>
      <c r="AN9" s="202" t="n"/>
      <c r="AO9" s="202" t="n"/>
      <c r="AP9" s="202" t="n"/>
      <c r="AQ9" s="202" t="n"/>
      <c r="AR9" s="202" t="n"/>
      <c r="AS9" s="202" t="n"/>
      <c r="AT9" s="202" t="n"/>
      <c r="AU9" s="202" t="n"/>
      <c r="AV9" s="202" t="n"/>
      <c r="AW9" s="202" t="n"/>
      <c r="AX9" s="202" t="n"/>
      <c r="AY9" s="202" t="n"/>
      <c r="AZ9" s="202" t="n"/>
      <c r="BA9" s="202" t="n"/>
      <c r="BB9" s="202" t="n"/>
      <c r="BC9" s="202" t="n"/>
      <c r="BD9" s="202" t="n"/>
      <c r="BE9" s="202" t="n"/>
      <c r="BF9" s="202" t="n"/>
      <c r="BG9" s="202" t="n"/>
      <c r="BH9" s="202" t="n"/>
      <c r="BI9" s="202" t="n"/>
      <c r="BJ9" s="202" t="n"/>
      <c r="BK9" s="202" t="n"/>
      <c r="BL9" s="202" t="n"/>
      <c r="BM9" s="202" t="n"/>
      <c r="BN9" s="202" t="n"/>
      <c r="BO9" s="202" t="n"/>
      <c r="BP9" s="202" t="n"/>
      <c r="BQ9" s="202" t="n"/>
      <c r="BR9" s="202" t="n"/>
    </row>
    <row r="10">
      <c r="A10" s="276" t="inlineStr">
        <is>
          <t>ANCILLARY / BY-PRODUCT OUTPUT  (units)</t>
        </is>
      </c>
      <c r="B10" s="277" t="n"/>
      <c r="C10" s="277" t="n"/>
      <c r="D10" s="277" t="n"/>
      <c r="E10" s="277" t="n"/>
      <c r="F10" s="277" t="n"/>
      <c r="G10" s="277" t="n"/>
      <c r="H10" s="277" t="n"/>
      <c r="I10" s="277" t="n"/>
      <c r="J10" s="277" t="n"/>
      <c r="K10" s="277" t="n"/>
      <c r="L10" s="277" t="n"/>
      <c r="M10" s="277" t="n"/>
      <c r="N10" s="277" t="n"/>
      <c r="O10" s="278" t="n"/>
      <c r="P10" s="278" t="n"/>
      <c r="Q10" s="278" t="n"/>
      <c r="R10" s="278" t="n"/>
      <c r="S10" s="278" t="n"/>
      <c r="T10" s="278" t="n"/>
      <c r="U10" s="278" t="n"/>
      <c r="V10" s="278" t="n"/>
      <c r="W10" s="278" t="n"/>
      <c r="X10" s="278" t="n"/>
      <c r="Y10" s="278" t="n"/>
      <c r="Z10" s="278" t="n"/>
      <c r="AA10" s="278" t="n"/>
      <c r="AB10" s="278" t="n"/>
      <c r="AC10" s="278" t="n"/>
      <c r="AD10" s="278" t="n"/>
      <c r="AE10" s="278" t="n"/>
      <c r="AF10" s="278" t="n"/>
      <c r="AG10" s="278" t="n"/>
      <c r="AH10" s="278" t="n"/>
      <c r="AI10" s="278" t="n"/>
      <c r="AJ10" s="278" t="n"/>
      <c r="AK10" s="278" t="n"/>
      <c r="AL10" s="278" t="n"/>
      <c r="AM10" s="278" t="n"/>
      <c r="AN10" s="278" t="n"/>
      <c r="AO10" s="278" t="n"/>
      <c r="AP10" s="278" t="n"/>
      <c r="AQ10" s="278" t="n"/>
      <c r="AR10" s="278" t="n"/>
      <c r="AS10" s="278" t="n"/>
      <c r="AT10" s="278" t="n"/>
      <c r="AU10" s="278" t="n"/>
      <c r="AV10" s="278" t="n"/>
      <c r="AW10" s="278" t="n"/>
      <c r="AX10" s="278" t="n"/>
      <c r="AY10" s="278" t="n"/>
      <c r="AZ10" s="278" t="n"/>
      <c r="BA10" s="278" t="n"/>
      <c r="BB10" s="278" t="n"/>
      <c r="BC10" s="278" t="n"/>
      <c r="BD10" s="278" t="n"/>
      <c r="BE10" s="278" t="n"/>
      <c r="BF10" s="278" t="n"/>
      <c r="BG10" s="278" t="n"/>
      <c r="BH10" s="278" t="n"/>
      <c r="BI10" s="278" t="n"/>
      <c r="BJ10" s="278" t="n"/>
      <c r="BK10" s="278" t="n"/>
      <c r="BL10" s="278" t="n"/>
      <c r="BM10" s="278" t="n"/>
      <c r="BN10" s="278" t="n"/>
      <c r="BO10" s="202" t="n"/>
      <c r="BP10" s="202" t="n"/>
      <c r="BQ10" s="202" t="n"/>
      <c r="BR10" s="202" t="n"/>
    </row>
    <row r="11">
      <c r="A11" s="273" t="inlineStr">
        <is>
          <t>By-product / scrap sales — units</t>
        </is>
      </c>
      <c r="B11" s="274">
        <f>Assumptions!$C$66*Assumptions!$C$18/12</f>
        <v/>
      </c>
      <c r="C11" s="274">
        <f>Assumptions!$C$66*Assumptions!$C$18/12</f>
        <v/>
      </c>
      <c r="D11" s="274">
        <f>Assumptions!$C$66*Assumptions!$C$18/12</f>
        <v/>
      </c>
      <c r="E11" s="274">
        <f>Assumptions!$C$66*Assumptions!$C$18/12</f>
        <v/>
      </c>
      <c r="F11" s="274">
        <f>Assumptions!$C$66*Assumptions!$C$18/12</f>
        <v/>
      </c>
      <c r="G11" s="274">
        <f>Assumptions!$C$66*Assumptions!$C$18/12</f>
        <v/>
      </c>
      <c r="H11" s="274">
        <f>Assumptions!$C$66*Assumptions!$C$18/12</f>
        <v/>
      </c>
      <c r="I11" s="274">
        <f>Assumptions!$C$66*Assumptions!$C$18/12</f>
        <v/>
      </c>
      <c r="J11" s="274">
        <f>Assumptions!$C$66*Assumptions!$C$18/12</f>
        <v/>
      </c>
      <c r="K11" s="274">
        <f>Assumptions!$C$66*Assumptions!$C$18/12</f>
        <v/>
      </c>
      <c r="L11" s="274">
        <f>Assumptions!$C$66*Assumptions!$C$18/12</f>
        <v/>
      </c>
      <c r="M11" s="274">
        <f>Assumptions!$C$66*Assumptions!$C$18/12</f>
        <v/>
      </c>
      <c r="N11" s="274">
        <f>SUM(B11:M11)</f>
        <v/>
      </c>
      <c r="O11" s="274">
        <f>Assumptions!$C$66*Assumptions!$D$18/12</f>
        <v/>
      </c>
      <c r="P11" s="274">
        <f>Assumptions!$C$66*Assumptions!$D$18/12</f>
        <v/>
      </c>
      <c r="Q11" s="274">
        <f>Assumptions!$C$66*Assumptions!$D$18/12</f>
        <v/>
      </c>
      <c r="R11" s="274">
        <f>Assumptions!$C$66*Assumptions!$D$18/12</f>
        <v/>
      </c>
      <c r="S11" s="274">
        <f>Assumptions!$C$66*Assumptions!$D$18/12</f>
        <v/>
      </c>
      <c r="T11" s="274">
        <f>Assumptions!$C$66*Assumptions!$D$18/12</f>
        <v/>
      </c>
      <c r="U11" s="274">
        <f>Assumptions!$C$66*Assumptions!$D$18/12</f>
        <v/>
      </c>
      <c r="V11" s="274">
        <f>Assumptions!$C$66*Assumptions!$D$18/12</f>
        <v/>
      </c>
      <c r="W11" s="274">
        <f>Assumptions!$C$66*Assumptions!$D$18/12</f>
        <v/>
      </c>
      <c r="X11" s="274">
        <f>Assumptions!$C$66*Assumptions!$D$18/12</f>
        <v/>
      </c>
      <c r="Y11" s="274">
        <f>Assumptions!$C$66*Assumptions!$D$18/12</f>
        <v/>
      </c>
      <c r="Z11" s="274">
        <f>Assumptions!$C$66*Assumptions!$D$18/12</f>
        <v/>
      </c>
      <c r="AA11" s="274">
        <f>SUM(O11:Z11)</f>
        <v/>
      </c>
      <c r="AB11" s="274">
        <f>Assumptions!$C$66*Assumptions!$E$18/12</f>
        <v/>
      </c>
      <c r="AC11" s="274">
        <f>Assumptions!$C$66*Assumptions!$E$18/12</f>
        <v/>
      </c>
      <c r="AD11" s="274">
        <f>Assumptions!$C$66*Assumptions!$E$18/12</f>
        <v/>
      </c>
      <c r="AE11" s="274">
        <f>Assumptions!$C$66*Assumptions!$E$18/12</f>
        <v/>
      </c>
      <c r="AF11" s="274">
        <f>Assumptions!$C$66*Assumptions!$E$18/12</f>
        <v/>
      </c>
      <c r="AG11" s="274">
        <f>Assumptions!$C$66*Assumptions!$E$18/12</f>
        <v/>
      </c>
      <c r="AH11" s="274">
        <f>Assumptions!$C$66*Assumptions!$E$18/12</f>
        <v/>
      </c>
      <c r="AI11" s="274">
        <f>Assumptions!$C$66*Assumptions!$E$18/12</f>
        <v/>
      </c>
      <c r="AJ11" s="274">
        <f>Assumptions!$C$66*Assumptions!$E$18/12</f>
        <v/>
      </c>
      <c r="AK11" s="274">
        <f>Assumptions!$C$66*Assumptions!$E$18/12</f>
        <v/>
      </c>
      <c r="AL11" s="274">
        <f>Assumptions!$C$66*Assumptions!$E$18/12</f>
        <v/>
      </c>
      <c r="AM11" s="274">
        <f>Assumptions!$C$66*Assumptions!$E$18/12</f>
        <v/>
      </c>
      <c r="AN11" s="274">
        <f>SUM(AB11:AM11)</f>
        <v/>
      </c>
      <c r="AO11" s="274">
        <f>Assumptions!$C$66*Assumptions!$F$18/12</f>
        <v/>
      </c>
      <c r="AP11" s="274">
        <f>Assumptions!$C$66*Assumptions!$F$18/12</f>
        <v/>
      </c>
      <c r="AQ11" s="274">
        <f>Assumptions!$C$66*Assumptions!$F$18/12</f>
        <v/>
      </c>
      <c r="AR11" s="274">
        <f>Assumptions!$C$66*Assumptions!$F$18/12</f>
        <v/>
      </c>
      <c r="AS11" s="274">
        <f>Assumptions!$C$66*Assumptions!$F$18/12</f>
        <v/>
      </c>
      <c r="AT11" s="274">
        <f>Assumptions!$C$66*Assumptions!$F$18/12</f>
        <v/>
      </c>
      <c r="AU11" s="274">
        <f>Assumptions!$C$66*Assumptions!$F$18/12</f>
        <v/>
      </c>
      <c r="AV11" s="274">
        <f>Assumptions!$C$66*Assumptions!$F$18/12</f>
        <v/>
      </c>
      <c r="AW11" s="274">
        <f>Assumptions!$C$66*Assumptions!$F$18/12</f>
        <v/>
      </c>
      <c r="AX11" s="274">
        <f>Assumptions!$C$66*Assumptions!$F$18/12</f>
        <v/>
      </c>
      <c r="AY11" s="274">
        <f>Assumptions!$C$66*Assumptions!$F$18/12</f>
        <v/>
      </c>
      <c r="AZ11" s="274">
        <f>Assumptions!$C$66*Assumptions!$F$18/12</f>
        <v/>
      </c>
      <c r="BA11" s="274">
        <f>SUM(AO11:AZ11)</f>
        <v/>
      </c>
      <c r="BB11" s="274">
        <f>Assumptions!$C$66*Assumptions!$G$18/12</f>
        <v/>
      </c>
      <c r="BC11" s="274">
        <f>Assumptions!$C$66*Assumptions!$G$18/12</f>
        <v/>
      </c>
      <c r="BD11" s="274">
        <f>Assumptions!$C$66*Assumptions!$G$18/12</f>
        <v/>
      </c>
      <c r="BE11" s="274">
        <f>Assumptions!$C$66*Assumptions!$G$18/12</f>
        <v/>
      </c>
      <c r="BF11" s="274">
        <f>Assumptions!$C$66*Assumptions!$G$18/12</f>
        <v/>
      </c>
      <c r="BG11" s="274">
        <f>Assumptions!$C$66*Assumptions!$G$18/12</f>
        <v/>
      </c>
      <c r="BH11" s="274">
        <f>Assumptions!$C$66*Assumptions!$G$18/12</f>
        <v/>
      </c>
      <c r="BI11" s="274">
        <f>Assumptions!$C$66*Assumptions!$G$18/12</f>
        <v/>
      </c>
      <c r="BJ11" s="274">
        <f>Assumptions!$C$66*Assumptions!$G$18/12</f>
        <v/>
      </c>
      <c r="BK11" s="274">
        <f>Assumptions!$C$66*Assumptions!$G$18/12</f>
        <v/>
      </c>
      <c r="BL11" s="274">
        <f>Assumptions!$C$66*Assumptions!$G$18/12</f>
        <v/>
      </c>
      <c r="BM11" s="274">
        <f>Assumptions!$C$66*Assumptions!$G$18/12</f>
        <v/>
      </c>
      <c r="BN11" s="274">
        <f>SUM(BB11:BM11)</f>
        <v/>
      </c>
      <c r="BO11" s="202" t="n"/>
      <c r="BP11" s="202" t="n"/>
      <c r="BQ11" s="202" t="n"/>
      <c r="BR11" s="202" t="n"/>
    </row>
    <row r="12">
      <c r="A12" s="273" t="inlineStr">
        <is>
          <t>Job work / contract manufacturing — units</t>
        </is>
      </c>
      <c r="B12" s="274">
        <f>Assumptions!$C$67*Assumptions!$C$18/12</f>
        <v/>
      </c>
      <c r="C12" s="274">
        <f>Assumptions!$C$67*Assumptions!$C$18/12</f>
        <v/>
      </c>
      <c r="D12" s="274">
        <f>Assumptions!$C$67*Assumptions!$C$18/12</f>
        <v/>
      </c>
      <c r="E12" s="274">
        <f>Assumptions!$C$67*Assumptions!$C$18/12</f>
        <v/>
      </c>
      <c r="F12" s="274">
        <f>Assumptions!$C$67*Assumptions!$C$18/12</f>
        <v/>
      </c>
      <c r="G12" s="274">
        <f>Assumptions!$C$67*Assumptions!$C$18/12</f>
        <v/>
      </c>
      <c r="H12" s="274">
        <f>Assumptions!$C$67*Assumptions!$C$18/12</f>
        <v/>
      </c>
      <c r="I12" s="274">
        <f>Assumptions!$C$67*Assumptions!$C$18/12</f>
        <v/>
      </c>
      <c r="J12" s="274">
        <f>Assumptions!$C$67*Assumptions!$C$18/12</f>
        <v/>
      </c>
      <c r="K12" s="274">
        <f>Assumptions!$C$67*Assumptions!$C$18/12</f>
        <v/>
      </c>
      <c r="L12" s="274">
        <f>Assumptions!$C$67*Assumptions!$C$18/12</f>
        <v/>
      </c>
      <c r="M12" s="274">
        <f>Assumptions!$C$67*Assumptions!$C$18/12</f>
        <v/>
      </c>
      <c r="N12" s="274">
        <f>SUM(B12:M12)</f>
        <v/>
      </c>
      <c r="O12" s="274">
        <f>Assumptions!$C$67*Assumptions!$D$18/12</f>
        <v/>
      </c>
      <c r="P12" s="274">
        <f>Assumptions!$C$67*Assumptions!$D$18/12</f>
        <v/>
      </c>
      <c r="Q12" s="274">
        <f>Assumptions!$C$67*Assumptions!$D$18/12</f>
        <v/>
      </c>
      <c r="R12" s="274">
        <f>Assumptions!$C$67*Assumptions!$D$18/12</f>
        <v/>
      </c>
      <c r="S12" s="274">
        <f>Assumptions!$C$67*Assumptions!$D$18/12</f>
        <v/>
      </c>
      <c r="T12" s="274">
        <f>Assumptions!$C$67*Assumptions!$D$18/12</f>
        <v/>
      </c>
      <c r="U12" s="274">
        <f>Assumptions!$C$67*Assumptions!$D$18/12</f>
        <v/>
      </c>
      <c r="V12" s="274">
        <f>Assumptions!$C$67*Assumptions!$D$18/12</f>
        <v/>
      </c>
      <c r="W12" s="274">
        <f>Assumptions!$C$67*Assumptions!$D$18/12</f>
        <v/>
      </c>
      <c r="X12" s="274">
        <f>Assumptions!$C$67*Assumptions!$D$18/12</f>
        <v/>
      </c>
      <c r="Y12" s="274">
        <f>Assumptions!$C$67*Assumptions!$D$18/12</f>
        <v/>
      </c>
      <c r="Z12" s="274">
        <f>Assumptions!$C$67*Assumptions!$D$18/12</f>
        <v/>
      </c>
      <c r="AA12" s="274">
        <f>SUM(O12:Z12)</f>
        <v/>
      </c>
      <c r="AB12" s="274">
        <f>Assumptions!$C$67*Assumptions!$E$18/12</f>
        <v/>
      </c>
      <c r="AC12" s="274">
        <f>Assumptions!$C$67*Assumptions!$E$18/12</f>
        <v/>
      </c>
      <c r="AD12" s="274">
        <f>Assumptions!$C$67*Assumptions!$E$18/12</f>
        <v/>
      </c>
      <c r="AE12" s="274">
        <f>Assumptions!$C$67*Assumptions!$E$18/12</f>
        <v/>
      </c>
      <c r="AF12" s="274">
        <f>Assumptions!$C$67*Assumptions!$E$18/12</f>
        <v/>
      </c>
      <c r="AG12" s="274">
        <f>Assumptions!$C$67*Assumptions!$E$18/12</f>
        <v/>
      </c>
      <c r="AH12" s="274">
        <f>Assumptions!$C$67*Assumptions!$E$18/12</f>
        <v/>
      </c>
      <c r="AI12" s="274">
        <f>Assumptions!$C$67*Assumptions!$E$18/12</f>
        <v/>
      </c>
      <c r="AJ12" s="274">
        <f>Assumptions!$C$67*Assumptions!$E$18/12</f>
        <v/>
      </c>
      <c r="AK12" s="274">
        <f>Assumptions!$C$67*Assumptions!$E$18/12</f>
        <v/>
      </c>
      <c r="AL12" s="274">
        <f>Assumptions!$C$67*Assumptions!$E$18/12</f>
        <v/>
      </c>
      <c r="AM12" s="274">
        <f>Assumptions!$C$67*Assumptions!$E$18/12</f>
        <v/>
      </c>
      <c r="AN12" s="274">
        <f>SUM(AB12:AM12)</f>
        <v/>
      </c>
      <c r="AO12" s="274">
        <f>Assumptions!$C$67*Assumptions!$F$18/12</f>
        <v/>
      </c>
      <c r="AP12" s="274">
        <f>Assumptions!$C$67*Assumptions!$F$18/12</f>
        <v/>
      </c>
      <c r="AQ12" s="274">
        <f>Assumptions!$C$67*Assumptions!$F$18/12</f>
        <v/>
      </c>
      <c r="AR12" s="274">
        <f>Assumptions!$C$67*Assumptions!$F$18/12</f>
        <v/>
      </c>
      <c r="AS12" s="274">
        <f>Assumptions!$C$67*Assumptions!$F$18/12</f>
        <v/>
      </c>
      <c r="AT12" s="274">
        <f>Assumptions!$C$67*Assumptions!$F$18/12</f>
        <v/>
      </c>
      <c r="AU12" s="274">
        <f>Assumptions!$C$67*Assumptions!$F$18/12</f>
        <v/>
      </c>
      <c r="AV12" s="274">
        <f>Assumptions!$C$67*Assumptions!$F$18/12</f>
        <v/>
      </c>
      <c r="AW12" s="274">
        <f>Assumptions!$C$67*Assumptions!$F$18/12</f>
        <v/>
      </c>
      <c r="AX12" s="274">
        <f>Assumptions!$C$67*Assumptions!$F$18/12</f>
        <v/>
      </c>
      <c r="AY12" s="274">
        <f>Assumptions!$C$67*Assumptions!$F$18/12</f>
        <v/>
      </c>
      <c r="AZ12" s="274">
        <f>Assumptions!$C$67*Assumptions!$F$18/12</f>
        <v/>
      </c>
      <c r="BA12" s="274">
        <f>SUM(AO12:AZ12)</f>
        <v/>
      </c>
      <c r="BB12" s="274">
        <f>Assumptions!$C$67*Assumptions!$G$18/12</f>
        <v/>
      </c>
      <c r="BC12" s="274">
        <f>Assumptions!$C$67*Assumptions!$G$18/12</f>
        <v/>
      </c>
      <c r="BD12" s="274">
        <f>Assumptions!$C$67*Assumptions!$G$18/12</f>
        <v/>
      </c>
      <c r="BE12" s="274">
        <f>Assumptions!$C$67*Assumptions!$G$18/12</f>
        <v/>
      </c>
      <c r="BF12" s="274">
        <f>Assumptions!$C$67*Assumptions!$G$18/12</f>
        <v/>
      </c>
      <c r="BG12" s="274">
        <f>Assumptions!$C$67*Assumptions!$G$18/12</f>
        <v/>
      </c>
      <c r="BH12" s="274">
        <f>Assumptions!$C$67*Assumptions!$G$18/12</f>
        <v/>
      </c>
      <c r="BI12" s="274">
        <f>Assumptions!$C$67*Assumptions!$G$18/12</f>
        <v/>
      </c>
      <c r="BJ12" s="274">
        <f>Assumptions!$C$67*Assumptions!$G$18/12</f>
        <v/>
      </c>
      <c r="BK12" s="274">
        <f>Assumptions!$C$67*Assumptions!$G$18/12</f>
        <v/>
      </c>
      <c r="BL12" s="274">
        <f>Assumptions!$C$67*Assumptions!$G$18/12</f>
        <v/>
      </c>
      <c r="BM12" s="274">
        <f>Assumptions!$C$67*Assumptions!$G$18/12</f>
        <v/>
      </c>
      <c r="BN12" s="274">
        <f>SUM(BB12:BM12)</f>
        <v/>
      </c>
      <c r="BO12" s="202" t="n"/>
      <c r="BP12" s="202" t="n"/>
      <c r="BQ12" s="202" t="n"/>
      <c r="BR12" s="202" t="n"/>
    </row>
    <row r="13">
      <c r="A13" s="273" t="inlineStr">
        <is>
          <t>Trading of bought-out items — units</t>
        </is>
      </c>
      <c r="B13" s="274">
        <f>Assumptions!$C$68*Assumptions!$C$18/12</f>
        <v/>
      </c>
      <c r="C13" s="274">
        <f>Assumptions!$C$68*Assumptions!$C$18/12</f>
        <v/>
      </c>
      <c r="D13" s="274">
        <f>Assumptions!$C$68*Assumptions!$C$18/12</f>
        <v/>
      </c>
      <c r="E13" s="274">
        <f>Assumptions!$C$68*Assumptions!$C$18/12</f>
        <v/>
      </c>
      <c r="F13" s="274">
        <f>Assumptions!$C$68*Assumptions!$C$18/12</f>
        <v/>
      </c>
      <c r="G13" s="274">
        <f>Assumptions!$C$68*Assumptions!$C$18/12</f>
        <v/>
      </c>
      <c r="H13" s="274">
        <f>Assumptions!$C$68*Assumptions!$C$18/12</f>
        <v/>
      </c>
      <c r="I13" s="274">
        <f>Assumptions!$C$68*Assumptions!$C$18/12</f>
        <v/>
      </c>
      <c r="J13" s="274">
        <f>Assumptions!$C$68*Assumptions!$C$18/12</f>
        <v/>
      </c>
      <c r="K13" s="274">
        <f>Assumptions!$C$68*Assumptions!$C$18/12</f>
        <v/>
      </c>
      <c r="L13" s="274">
        <f>Assumptions!$C$68*Assumptions!$C$18/12</f>
        <v/>
      </c>
      <c r="M13" s="274">
        <f>Assumptions!$C$68*Assumptions!$C$18/12</f>
        <v/>
      </c>
      <c r="N13" s="274">
        <f>SUM(B13:M13)</f>
        <v/>
      </c>
      <c r="O13" s="274">
        <f>Assumptions!$C$68*Assumptions!$D$18/12</f>
        <v/>
      </c>
      <c r="P13" s="274">
        <f>Assumptions!$C$68*Assumptions!$D$18/12</f>
        <v/>
      </c>
      <c r="Q13" s="274">
        <f>Assumptions!$C$68*Assumptions!$D$18/12</f>
        <v/>
      </c>
      <c r="R13" s="274">
        <f>Assumptions!$C$68*Assumptions!$D$18/12</f>
        <v/>
      </c>
      <c r="S13" s="274">
        <f>Assumptions!$C$68*Assumptions!$D$18/12</f>
        <v/>
      </c>
      <c r="T13" s="274">
        <f>Assumptions!$C$68*Assumptions!$D$18/12</f>
        <v/>
      </c>
      <c r="U13" s="274">
        <f>Assumptions!$C$68*Assumptions!$D$18/12</f>
        <v/>
      </c>
      <c r="V13" s="274">
        <f>Assumptions!$C$68*Assumptions!$D$18/12</f>
        <v/>
      </c>
      <c r="W13" s="274">
        <f>Assumptions!$C$68*Assumptions!$D$18/12</f>
        <v/>
      </c>
      <c r="X13" s="274">
        <f>Assumptions!$C$68*Assumptions!$D$18/12</f>
        <v/>
      </c>
      <c r="Y13" s="274">
        <f>Assumptions!$C$68*Assumptions!$D$18/12</f>
        <v/>
      </c>
      <c r="Z13" s="274">
        <f>Assumptions!$C$68*Assumptions!$D$18/12</f>
        <v/>
      </c>
      <c r="AA13" s="274">
        <f>SUM(O13:Z13)</f>
        <v/>
      </c>
      <c r="AB13" s="274">
        <f>Assumptions!$C$68*Assumptions!$E$18/12</f>
        <v/>
      </c>
      <c r="AC13" s="274">
        <f>Assumptions!$C$68*Assumptions!$E$18/12</f>
        <v/>
      </c>
      <c r="AD13" s="274">
        <f>Assumptions!$C$68*Assumptions!$E$18/12</f>
        <v/>
      </c>
      <c r="AE13" s="274">
        <f>Assumptions!$C$68*Assumptions!$E$18/12</f>
        <v/>
      </c>
      <c r="AF13" s="274">
        <f>Assumptions!$C$68*Assumptions!$E$18/12</f>
        <v/>
      </c>
      <c r="AG13" s="274">
        <f>Assumptions!$C$68*Assumptions!$E$18/12</f>
        <v/>
      </c>
      <c r="AH13" s="274">
        <f>Assumptions!$C$68*Assumptions!$E$18/12</f>
        <v/>
      </c>
      <c r="AI13" s="274">
        <f>Assumptions!$C$68*Assumptions!$E$18/12</f>
        <v/>
      </c>
      <c r="AJ13" s="274">
        <f>Assumptions!$C$68*Assumptions!$E$18/12</f>
        <v/>
      </c>
      <c r="AK13" s="274">
        <f>Assumptions!$C$68*Assumptions!$E$18/12</f>
        <v/>
      </c>
      <c r="AL13" s="274">
        <f>Assumptions!$C$68*Assumptions!$E$18/12</f>
        <v/>
      </c>
      <c r="AM13" s="274">
        <f>Assumptions!$C$68*Assumptions!$E$18/12</f>
        <v/>
      </c>
      <c r="AN13" s="274">
        <f>SUM(AB13:AM13)</f>
        <v/>
      </c>
      <c r="AO13" s="274">
        <f>Assumptions!$C$68*Assumptions!$F$18/12</f>
        <v/>
      </c>
      <c r="AP13" s="274">
        <f>Assumptions!$C$68*Assumptions!$F$18/12</f>
        <v/>
      </c>
      <c r="AQ13" s="274">
        <f>Assumptions!$C$68*Assumptions!$F$18/12</f>
        <v/>
      </c>
      <c r="AR13" s="274">
        <f>Assumptions!$C$68*Assumptions!$F$18/12</f>
        <v/>
      </c>
      <c r="AS13" s="274">
        <f>Assumptions!$C$68*Assumptions!$F$18/12</f>
        <v/>
      </c>
      <c r="AT13" s="274">
        <f>Assumptions!$C$68*Assumptions!$F$18/12</f>
        <v/>
      </c>
      <c r="AU13" s="274">
        <f>Assumptions!$C$68*Assumptions!$F$18/12</f>
        <v/>
      </c>
      <c r="AV13" s="274">
        <f>Assumptions!$C$68*Assumptions!$F$18/12</f>
        <v/>
      </c>
      <c r="AW13" s="274">
        <f>Assumptions!$C$68*Assumptions!$F$18/12</f>
        <v/>
      </c>
      <c r="AX13" s="274">
        <f>Assumptions!$C$68*Assumptions!$F$18/12</f>
        <v/>
      </c>
      <c r="AY13" s="274">
        <f>Assumptions!$C$68*Assumptions!$F$18/12</f>
        <v/>
      </c>
      <c r="AZ13" s="274">
        <f>Assumptions!$C$68*Assumptions!$F$18/12</f>
        <v/>
      </c>
      <c r="BA13" s="274">
        <f>SUM(AO13:AZ13)</f>
        <v/>
      </c>
      <c r="BB13" s="274">
        <f>Assumptions!$C$68*Assumptions!$G$18/12</f>
        <v/>
      </c>
      <c r="BC13" s="274">
        <f>Assumptions!$C$68*Assumptions!$G$18/12</f>
        <v/>
      </c>
      <c r="BD13" s="274">
        <f>Assumptions!$C$68*Assumptions!$G$18/12</f>
        <v/>
      </c>
      <c r="BE13" s="274">
        <f>Assumptions!$C$68*Assumptions!$G$18/12</f>
        <v/>
      </c>
      <c r="BF13" s="274">
        <f>Assumptions!$C$68*Assumptions!$G$18/12</f>
        <v/>
      </c>
      <c r="BG13" s="274">
        <f>Assumptions!$C$68*Assumptions!$G$18/12</f>
        <v/>
      </c>
      <c r="BH13" s="274">
        <f>Assumptions!$C$68*Assumptions!$G$18/12</f>
        <v/>
      </c>
      <c r="BI13" s="274">
        <f>Assumptions!$C$68*Assumptions!$G$18/12</f>
        <v/>
      </c>
      <c r="BJ13" s="274">
        <f>Assumptions!$C$68*Assumptions!$G$18/12</f>
        <v/>
      </c>
      <c r="BK13" s="274">
        <f>Assumptions!$C$68*Assumptions!$G$18/12</f>
        <v/>
      </c>
      <c r="BL13" s="274">
        <f>Assumptions!$C$68*Assumptions!$G$18/12</f>
        <v/>
      </c>
      <c r="BM13" s="274">
        <f>Assumptions!$C$68*Assumptions!$G$18/12</f>
        <v/>
      </c>
      <c r="BN13" s="274">
        <f>SUM(BB13:BM13)</f>
        <v/>
      </c>
      <c r="BO13" s="202" t="n"/>
      <c r="BP13" s="202" t="n"/>
      <c r="BQ13" s="202" t="n"/>
      <c r="BR13" s="202" t="n"/>
    </row>
    <row r="14" ht="18" customHeight="1" s="82">
      <c r="A14" s="279" t="inlineStr">
        <is>
          <t>Other operating income — units</t>
        </is>
      </c>
      <c r="B14" s="274">
        <f>Assumptions!$C$69*Assumptions!$C$18/12</f>
        <v/>
      </c>
      <c r="C14" s="274">
        <f>Assumptions!$C$69*Assumptions!$C$18/12</f>
        <v/>
      </c>
      <c r="D14" s="274">
        <f>Assumptions!$C$69*Assumptions!$C$18/12</f>
        <v/>
      </c>
      <c r="E14" s="274">
        <f>Assumptions!$C$69*Assumptions!$C$18/12</f>
        <v/>
      </c>
      <c r="F14" s="274">
        <f>Assumptions!$C$69*Assumptions!$C$18/12</f>
        <v/>
      </c>
      <c r="G14" s="274">
        <f>Assumptions!$C$69*Assumptions!$C$18/12</f>
        <v/>
      </c>
      <c r="H14" s="274">
        <f>Assumptions!$C$69*Assumptions!$C$18/12</f>
        <v/>
      </c>
      <c r="I14" s="274">
        <f>Assumptions!$C$69*Assumptions!$C$18/12</f>
        <v/>
      </c>
      <c r="J14" s="274">
        <f>Assumptions!$C$69*Assumptions!$C$18/12</f>
        <v/>
      </c>
      <c r="K14" s="274">
        <f>Assumptions!$C$69*Assumptions!$C$18/12</f>
        <v/>
      </c>
      <c r="L14" s="274">
        <f>Assumptions!$C$69*Assumptions!$C$18/12</f>
        <v/>
      </c>
      <c r="M14" s="274">
        <f>Assumptions!$C$69*Assumptions!$C$18/12</f>
        <v/>
      </c>
      <c r="N14" s="274">
        <f>SUM(B14:M14)</f>
        <v/>
      </c>
      <c r="O14" s="274">
        <f>Assumptions!$C$69*Assumptions!$D$18/12</f>
        <v/>
      </c>
      <c r="P14" s="274">
        <f>Assumptions!$C$69*Assumptions!$D$18/12</f>
        <v/>
      </c>
      <c r="Q14" s="274">
        <f>Assumptions!$C$69*Assumptions!$D$18/12</f>
        <v/>
      </c>
      <c r="R14" s="274">
        <f>Assumptions!$C$69*Assumptions!$D$18/12</f>
        <v/>
      </c>
      <c r="S14" s="274">
        <f>Assumptions!$C$69*Assumptions!$D$18/12</f>
        <v/>
      </c>
      <c r="T14" s="274">
        <f>Assumptions!$C$69*Assumptions!$D$18/12</f>
        <v/>
      </c>
      <c r="U14" s="274">
        <f>Assumptions!$C$69*Assumptions!$D$18/12</f>
        <v/>
      </c>
      <c r="V14" s="274">
        <f>Assumptions!$C$69*Assumptions!$D$18/12</f>
        <v/>
      </c>
      <c r="W14" s="274">
        <f>Assumptions!$C$69*Assumptions!$D$18/12</f>
        <v/>
      </c>
      <c r="X14" s="274">
        <f>Assumptions!$C$69*Assumptions!$D$18/12</f>
        <v/>
      </c>
      <c r="Y14" s="274">
        <f>Assumptions!$C$69*Assumptions!$D$18/12</f>
        <v/>
      </c>
      <c r="Z14" s="274">
        <f>Assumptions!$C$69*Assumptions!$D$18/12</f>
        <v/>
      </c>
      <c r="AA14" s="274">
        <f>SUM(O14:Z14)</f>
        <v/>
      </c>
      <c r="AB14" s="274">
        <f>Assumptions!$C$69*Assumptions!$E$18/12</f>
        <v/>
      </c>
      <c r="AC14" s="274">
        <f>Assumptions!$C$69*Assumptions!$E$18/12</f>
        <v/>
      </c>
      <c r="AD14" s="274">
        <f>Assumptions!$C$69*Assumptions!$E$18/12</f>
        <v/>
      </c>
      <c r="AE14" s="274">
        <f>Assumptions!$C$69*Assumptions!$E$18/12</f>
        <v/>
      </c>
      <c r="AF14" s="274">
        <f>Assumptions!$C$69*Assumptions!$E$18/12</f>
        <v/>
      </c>
      <c r="AG14" s="274">
        <f>Assumptions!$C$69*Assumptions!$E$18/12</f>
        <v/>
      </c>
      <c r="AH14" s="274">
        <f>Assumptions!$C$69*Assumptions!$E$18/12</f>
        <v/>
      </c>
      <c r="AI14" s="274">
        <f>Assumptions!$C$69*Assumptions!$E$18/12</f>
        <v/>
      </c>
      <c r="AJ14" s="274">
        <f>Assumptions!$C$69*Assumptions!$E$18/12</f>
        <v/>
      </c>
      <c r="AK14" s="274">
        <f>Assumptions!$C$69*Assumptions!$E$18/12</f>
        <v/>
      </c>
      <c r="AL14" s="274">
        <f>Assumptions!$C$69*Assumptions!$E$18/12</f>
        <v/>
      </c>
      <c r="AM14" s="274">
        <f>Assumptions!$C$69*Assumptions!$E$18/12</f>
        <v/>
      </c>
      <c r="AN14" s="274">
        <f>SUM(AB14:AM14)</f>
        <v/>
      </c>
      <c r="AO14" s="274">
        <f>Assumptions!$C$69*Assumptions!$F$18/12</f>
        <v/>
      </c>
      <c r="AP14" s="274">
        <f>Assumptions!$C$69*Assumptions!$F$18/12</f>
        <v/>
      </c>
      <c r="AQ14" s="274">
        <f>Assumptions!$C$69*Assumptions!$F$18/12</f>
        <v/>
      </c>
      <c r="AR14" s="274">
        <f>Assumptions!$C$69*Assumptions!$F$18/12</f>
        <v/>
      </c>
      <c r="AS14" s="274">
        <f>Assumptions!$C$69*Assumptions!$F$18/12</f>
        <v/>
      </c>
      <c r="AT14" s="274">
        <f>Assumptions!$C$69*Assumptions!$F$18/12</f>
        <v/>
      </c>
      <c r="AU14" s="274">
        <f>Assumptions!$C$69*Assumptions!$F$18/12</f>
        <v/>
      </c>
      <c r="AV14" s="274">
        <f>Assumptions!$C$69*Assumptions!$F$18/12</f>
        <v/>
      </c>
      <c r="AW14" s="274">
        <f>Assumptions!$C$69*Assumptions!$F$18/12</f>
        <v/>
      </c>
      <c r="AX14" s="274">
        <f>Assumptions!$C$69*Assumptions!$F$18/12</f>
        <v/>
      </c>
      <c r="AY14" s="274">
        <f>Assumptions!$C$69*Assumptions!$F$18/12</f>
        <v/>
      </c>
      <c r="AZ14" s="274">
        <f>Assumptions!$C$69*Assumptions!$F$18/12</f>
        <v/>
      </c>
      <c r="BA14" s="274">
        <f>SUM(AO14:AZ14)</f>
        <v/>
      </c>
      <c r="BB14" s="274">
        <f>Assumptions!$C$69*Assumptions!$G$18/12</f>
        <v/>
      </c>
      <c r="BC14" s="274">
        <f>Assumptions!$C$69*Assumptions!$G$18/12</f>
        <v/>
      </c>
      <c r="BD14" s="274">
        <f>Assumptions!$C$69*Assumptions!$G$18/12</f>
        <v/>
      </c>
      <c r="BE14" s="274">
        <f>Assumptions!$C$69*Assumptions!$G$18/12</f>
        <v/>
      </c>
      <c r="BF14" s="274">
        <f>Assumptions!$C$69*Assumptions!$G$18/12</f>
        <v/>
      </c>
      <c r="BG14" s="274">
        <f>Assumptions!$C$69*Assumptions!$G$18/12</f>
        <v/>
      </c>
      <c r="BH14" s="274">
        <f>Assumptions!$C$69*Assumptions!$G$18/12</f>
        <v/>
      </c>
      <c r="BI14" s="274">
        <f>Assumptions!$C$69*Assumptions!$G$18/12</f>
        <v/>
      </c>
      <c r="BJ14" s="274">
        <f>Assumptions!$C$69*Assumptions!$G$18/12</f>
        <v/>
      </c>
      <c r="BK14" s="274">
        <f>Assumptions!$C$69*Assumptions!$G$18/12</f>
        <v/>
      </c>
      <c r="BL14" s="274">
        <f>Assumptions!$C$69*Assumptions!$G$18/12</f>
        <v/>
      </c>
      <c r="BM14" s="274">
        <f>Assumptions!$C$69*Assumptions!$G$18/12</f>
        <v/>
      </c>
      <c r="BN14" s="274">
        <f>SUM(BB14:BM14)</f>
        <v/>
      </c>
      <c r="BO14" s="202" t="n"/>
      <c r="BP14" s="202" t="n"/>
      <c r="BQ14" s="202" t="n"/>
      <c r="BR14" s="202" t="n"/>
    </row>
    <row r="15">
      <c r="A15" s="280" t="n"/>
      <c r="B15" s="281" t="n"/>
      <c r="C15" s="281" t="n"/>
      <c r="D15" s="281" t="n"/>
      <c r="E15" s="281" t="n"/>
      <c r="F15" s="281" t="n"/>
      <c r="G15" s="281" t="n"/>
      <c r="H15" s="281" t="n"/>
      <c r="I15" s="281" t="n"/>
      <c r="J15" s="281" t="n"/>
      <c r="K15" s="281" t="n"/>
      <c r="L15" s="281" t="n"/>
      <c r="M15" s="281" t="n"/>
      <c r="N15" s="281" t="n"/>
      <c r="O15" s="202" t="n"/>
      <c r="P15" s="202" t="n"/>
      <c r="Q15" s="202" t="n"/>
      <c r="R15" s="202" t="n"/>
      <c r="S15" s="202" t="n"/>
      <c r="T15" s="202" t="n"/>
      <c r="U15" s="202" t="n"/>
      <c r="V15" s="202" t="n"/>
      <c r="W15" s="202" t="n"/>
      <c r="X15" s="202" t="n"/>
      <c r="Y15" s="202" t="n"/>
      <c r="Z15" s="202" t="n"/>
      <c r="AA15" s="202" t="n"/>
      <c r="AB15" s="202" t="n"/>
      <c r="AC15" s="202" t="n"/>
      <c r="AD15" s="202" t="n"/>
      <c r="AE15" s="202" t="n"/>
      <c r="AF15" s="202" t="n"/>
      <c r="AG15" s="202" t="n"/>
      <c r="AH15" s="202" t="n"/>
      <c r="AI15" s="202" t="n"/>
      <c r="AJ15" s="202" t="n"/>
      <c r="AK15" s="202" t="n"/>
      <c r="AL15" s="202" t="n"/>
      <c r="AM15" s="202" t="n"/>
      <c r="AN15" s="202" t="n"/>
      <c r="AO15" s="202" t="n"/>
      <c r="AP15" s="202" t="n"/>
      <c r="AQ15" s="202" t="n"/>
      <c r="AR15" s="202" t="n"/>
      <c r="AS15" s="202" t="n"/>
      <c r="AT15" s="202" t="n"/>
      <c r="AU15" s="202" t="n"/>
      <c r="AV15" s="202" t="n"/>
      <c r="AW15" s="202" t="n"/>
      <c r="AX15" s="202" t="n"/>
      <c r="AY15" s="202" t="n"/>
      <c r="AZ15" s="202" t="n"/>
      <c r="BA15" s="202" t="n"/>
      <c r="BB15" s="202" t="n"/>
      <c r="BC15" s="202" t="n"/>
      <c r="BD15" s="202" t="n"/>
      <c r="BE15" s="202" t="n"/>
      <c r="BF15" s="202" t="n"/>
      <c r="BG15" s="202" t="n"/>
      <c r="BH15" s="202" t="n"/>
      <c r="BI15" s="202" t="n"/>
      <c r="BJ15" s="202" t="n"/>
      <c r="BK15" s="202" t="n"/>
      <c r="BL15" s="202" t="n"/>
      <c r="BM15" s="202" t="n"/>
      <c r="BN15" s="202" t="n"/>
      <c r="BO15" s="202" t="n"/>
      <c r="BP15" s="202" t="n"/>
      <c r="BQ15" s="202" t="n"/>
      <c r="BR15" s="202" t="n"/>
    </row>
    <row r="16">
      <c r="A16" s="282" t="n"/>
      <c r="B16" s="283" t="n"/>
      <c r="C16" s="283" t="n"/>
      <c r="D16" s="283" t="n"/>
      <c r="E16" s="283" t="n"/>
      <c r="F16" s="283" t="n"/>
      <c r="G16" s="283" t="n"/>
      <c r="H16" s="283" t="n"/>
      <c r="I16" s="283" t="n"/>
      <c r="J16" s="283" t="n"/>
      <c r="K16" s="283" t="n"/>
      <c r="L16" s="283" t="n"/>
      <c r="M16" s="283" t="n"/>
      <c r="N16" s="284" t="n"/>
      <c r="O16" s="202" t="n"/>
      <c r="P16" s="202" t="n"/>
      <c r="Q16" s="202" t="n"/>
      <c r="R16" s="202" t="n"/>
      <c r="S16" s="202" t="n"/>
      <c r="T16" s="202" t="n"/>
      <c r="U16" s="202" t="n"/>
      <c r="V16" s="202" t="n"/>
      <c r="W16" s="202" t="n"/>
      <c r="X16" s="202" t="n"/>
      <c r="Y16" s="202" t="n"/>
      <c r="Z16" s="202" t="n"/>
      <c r="AA16" s="202" t="n"/>
      <c r="AB16" s="202" t="n"/>
      <c r="AC16" s="202" t="n"/>
      <c r="AD16" s="202" t="n"/>
      <c r="AE16" s="202" t="n"/>
      <c r="AF16" s="202" t="n"/>
      <c r="AG16" s="202" t="n"/>
      <c r="AH16" s="202" t="n"/>
      <c r="AI16" s="202" t="n"/>
      <c r="AJ16" s="202" t="n"/>
      <c r="AK16" s="202" t="n"/>
      <c r="AL16" s="202" t="n"/>
      <c r="AM16" s="202" t="n"/>
      <c r="AN16" s="202" t="n"/>
      <c r="AO16" s="202" t="n"/>
      <c r="AP16" s="202" t="n"/>
      <c r="AQ16" s="202" t="n"/>
      <c r="AR16" s="202" t="n"/>
      <c r="AS16" s="202" t="n"/>
      <c r="AT16" s="202" t="n"/>
      <c r="AU16" s="202" t="n"/>
      <c r="AV16" s="202" t="n"/>
      <c r="AW16" s="202" t="n"/>
      <c r="AX16" s="202" t="n"/>
      <c r="AY16" s="202" t="n"/>
      <c r="AZ16" s="202" t="n"/>
      <c r="BA16" s="202" t="n"/>
      <c r="BB16" s="202" t="n"/>
      <c r="BC16" s="202" t="n"/>
      <c r="BD16" s="202" t="n"/>
      <c r="BE16" s="202" t="n"/>
      <c r="BF16" s="202" t="n"/>
      <c r="BG16" s="202" t="n"/>
      <c r="BH16" s="202" t="n"/>
      <c r="BI16" s="202" t="n"/>
      <c r="BJ16" s="202" t="n"/>
      <c r="BK16" s="202" t="n"/>
      <c r="BL16" s="202" t="n"/>
      <c r="BM16" s="202" t="n"/>
      <c r="BN16" s="202" t="n"/>
      <c r="BO16" s="202" t="n"/>
      <c r="BP16" s="202" t="n"/>
      <c r="BQ16" s="202" t="n"/>
      <c r="BR16" s="202" t="n"/>
    </row>
    <row r="17">
      <c r="A17" s="285" t="n"/>
      <c r="B17" s="286" t="n"/>
      <c r="C17" s="286" t="n"/>
      <c r="D17" s="286" t="n"/>
      <c r="E17" s="286" t="n"/>
      <c r="F17" s="286" t="n"/>
      <c r="G17" s="286" t="n"/>
      <c r="H17" s="286" t="n"/>
      <c r="I17" s="286" t="n"/>
      <c r="J17" s="286" t="n"/>
      <c r="K17" s="286" t="n"/>
      <c r="L17" s="286" t="n"/>
      <c r="M17" s="286" t="n"/>
      <c r="N17" s="286" t="n"/>
      <c r="O17" s="202" t="n"/>
      <c r="P17" s="202" t="n"/>
      <c r="Q17" s="202" t="n"/>
      <c r="R17" s="202" t="n"/>
      <c r="S17" s="202" t="n"/>
      <c r="T17" s="202" t="n"/>
      <c r="U17" s="202" t="n"/>
      <c r="V17" s="202" t="n"/>
      <c r="W17" s="202" t="n"/>
      <c r="X17" s="202" t="n"/>
      <c r="Y17" s="202" t="n"/>
      <c r="Z17" s="202" t="n"/>
      <c r="AA17" s="202" t="n"/>
      <c r="AB17" s="202" t="n"/>
      <c r="AC17" s="202" t="n"/>
      <c r="AD17" s="202" t="n"/>
      <c r="AE17" s="202" t="n"/>
      <c r="AF17" s="202" t="n"/>
      <c r="AG17" s="202" t="n"/>
      <c r="AH17" s="202" t="n"/>
      <c r="AI17" s="202" t="n"/>
      <c r="AJ17" s="202" t="n"/>
      <c r="AK17" s="202" t="n"/>
      <c r="AL17" s="202" t="n"/>
      <c r="AM17" s="202" t="n"/>
      <c r="AN17" s="202" t="n"/>
      <c r="AO17" s="202" t="n"/>
      <c r="AP17" s="202" t="n"/>
      <c r="AQ17" s="202" t="n"/>
      <c r="AR17" s="202" t="n"/>
      <c r="AS17" s="202" t="n"/>
      <c r="AT17" s="202" t="n"/>
      <c r="AU17" s="202" t="n"/>
      <c r="AV17" s="202" t="n"/>
      <c r="AW17" s="202" t="n"/>
      <c r="AX17" s="202" t="n"/>
      <c r="AY17" s="202" t="n"/>
      <c r="AZ17" s="202" t="n"/>
      <c r="BA17" s="202" t="n"/>
      <c r="BB17" s="202" t="n"/>
      <c r="BC17" s="202" t="n"/>
      <c r="BD17" s="202" t="n"/>
      <c r="BE17" s="202" t="n"/>
      <c r="BF17" s="202" t="n"/>
      <c r="BG17" s="202" t="n"/>
      <c r="BH17" s="202" t="n"/>
      <c r="BI17" s="202" t="n"/>
      <c r="BJ17" s="202" t="n"/>
      <c r="BK17" s="202" t="n"/>
      <c r="BL17" s="202" t="n"/>
      <c r="BM17" s="202" t="n"/>
      <c r="BN17" s="202" t="n"/>
      <c r="BO17" s="202" t="n"/>
      <c r="BP17" s="202" t="n"/>
      <c r="BQ17" s="202" t="n"/>
      <c r="BR17" s="202" t="n"/>
    </row>
    <row r="18">
      <c r="A18" s="202" t="n"/>
      <c r="B18" s="202" t="n"/>
      <c r="C18" s="202" t="n"/>
      <c r="D18" s="202" t="n"/>
      <c r="E18" s="202" t="n"/>
      <c r="F18" s="202" t="n"/>
      <c r="G18" s="202" t="n"/>
      <c r="H18" s="202" t="n"/>
      <c r="I18" s="202" t="n"/>
      <c r="J18" s="202" t="n"/>
      <c r="K18" s="202" t="n"/>
      <c r="L18" s="202" t="n"/>
      <c r="M18" s="202" t="n"/>
      <c r="N18" s="202" t="n"/>
      <c r="O18" s="202" t="n"/>
      <c r="P18" s="202" t="n"/>
      <c r="Q18" s="202" t="n"/>
      <c r="R18" s="202" t="n"/>
      <c r="S18" s="202" t="n"/>
      <c r="T18" s="202" t="n"/>
      <c r="U18" s="202" t="n"/>
      <c r="V18" s="202" t="n"/>
      <c r="W18" s="202" t="n"/>
      <c r="X18" s="202" t="n"/>
      <c r="Y18" s="202" t="n"/>
      <c r="Z18" s="202" t="n"/>
      <c r="AA18" s="202" t="n"/>
      <c r="AB18" s="202" t="n"/>
      <c r="AC18" s="202" t="n"/>
      <c r="AD18" s="202" t="n"/>
      <c r="AE18" s="202" t="n"/>
      <c r="AF18" s="202" t="n"/>
      <c r="AG18" s="202" t="n"/>
      <c r="AH18" s="202" t="n"/>
      <c r="AI18" s="202" t="n"/>
      <c r="AJ18" s="202" t="n"/>
      <c r="AK18" s="202" t="n"/>
      <c r="AL18" s="202" t="n"/>
      <c r="AM18" s="202" t="n"/>
      <c r="AN18" s="202" t="n"/>
      <c r="AO18" s="202" t="n"/>
      <c r="AP18" s="202" t="n"/>
      <c r="AQ18" s="202" t="n"/>
      <c r="AR18" s="202" t="n"/>
      <c r="AS18" s="202" t="n"/>
      <c r="AT18" s="202" t="n"/>
      <c r="AU18" s="202" t="n"/>
      <c r="AV18" s="202" t="n"/>
      <c r="AW18" s="202" t="n"/>
      <c r="AX18" s="202" t="n"/>
      <c r="AY18" s="202" t="n"/>
      <c r="AZ18" s="202" t="n"/>
      <c r="BA18" s="202" t="n"/>
      <c r="BB18" s="202" t="n"/>
      <c r="BC18" s="202" t="n"/>
      <c r="BD18" s="202" t="n"/>
      <c r="BE18" s="202" t="n"/>
      <c r="BF18" s="202" t="n"/>
      <c r="BG18" s="202" t="n"/>
      <c r="BH18" s="202" t="n"/>
      <c r="BI18" s="202" t="n"/>
      <c r="BJ18" s="202" t="n"/>
      <c r="BK18" s="202" t="n"/>
      <c r="BL18" s="202" t="n"/>
      <c r="BM18" s="202" t="n"/>
      <c r="BN18" s="202" t="n"/>
      <c r="BO18" s="202" t="n"/>
      <c r="BP18" s="202" t="n"/>
      <c r="BQ18" s="202" t="n"/>
      <c r="BR18" s="202" t="n"/>
    </row>
    <row r="19" ht="18" customHeight="1" s="82">
      <c r="A19" s="275" t="n"/>
      <c r="B19" s="202" t="n"/>
      <c r="C19" s="202" t="n"/>
      <c r="D19" s="202" t="n"/>
      <c r="E19" s="202" t="n"/>
      <c r="F19" s="202" t="n"/>
      <c r="G19" s="202" t="n"/>
      <c r="H19" s="202" t="n"/>
      <c r="I19" s="202" t="n"/>
      <c r="J19" s="202" t="n"/>
      <c r="K19" s="202" t="n"/>
      <c r="L19" s="202" t="n"/>
      <c r="M19" s="202" t="n"/>
      <c r="N19" s="202" t="n"/>
      <c r="O19" s="202" t="n"/>
      <c r="P19" s="202" t="n"/>
      <c r="Q19" s="202" t="n"/>
      <c r="R19" s="202" t="n"/>
      <c r="S19" s="202" t="n"/>
      <c r="T19" s="202" t="n"/>
      <c r="U19" s="202" t="n"/>
      <c r="V19" s="202" t="n"/>
      <c r="W19" s="202" t="n"/>
      <c r="X19" s="202" t="n"/>
      <c r="Y19" s="202" t="n"/>
      <c r="Z19" s="202" t="n"/>
      <c r="AA19" s="202" t="n"/>
      <c r="AB19" s="202" t="n"/>
      <c r="AC19" s="202" t="n"/>
      <c r="AD19" s="202" t="n"/>
      <c r="AE19" s="202" t="n"/>
      <c r="AF19" s="202" t="n"/>
      <c r="AG19" s="202" t="n"/>
      <c r="AH19" s="202" t="n"/>
      <c r="AI19" s="202" t="n"/>
      <c r="AJ19" s="202" t="n"/>
      <c r="AK19" s="202" t="n"/>
      <c r="AL19" s="202" t="n"/>
      <c r="AM19" s="202" t="n"/>
      <c r="AN19" s="202" t="n"/>
      <c r="AO19" s="202" t="n"/>
      <c r="AP19" s="202" t="n"/>
      <c r="AQ19" s="202" t="n"/>
      <c r="AR19" s="202" t="n"/>
      <c r="AS19" s="202" t="n"/>
      <c r="AT19" s="202" t="n"/>
      <c r="AU19" s="202" t="n"/>
      <c r="AV19" s="202" t="n"/>
      <c r="AW19" s="202" t="n"/>
      <c r="AX19" s="202" t="n"/>
      <c r="AY19" s="202" t="n"/>
      <c r="AZ19" s="202" t="n"/>
      <c r="BA19" s="202" t="n"/>
      <c r="BB19" s="202" t="n"/>
      <c r="BC19" s="202" t="n"/>
      <c r="BD19" s="202" t="n"/>
      <c r="BE19" s="202" t="n"/>
      <c r="BF19" s="202" t="n"/>
      <c r="BG19" s="202" t="n"/>
      <c r="BH19" s="202" t="n"/>
      <c r="BI19" s="202" t="n"/>
      <c r="BJ19" s="202" t="n"/>
      <c r="BK19" s="202" t="n"/>
      <c r="BL19" s="202" t="n"/>
      <c r="BM19" s="202" t="n"/>
      <c r="BN19" s="202" t="n"/>
      <c r="BO19" s="202" t="n"/>
      <c r="BP19" s="202" t="n"/>
      <c r="BQ19" s="202" t="n"/>
      <c r="BR19" s="202" t="n"/>
    </row>
    <row r="20">
      <c r="A20" s="280" t="n"/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  <c r="M20" s="281" t="n"/>
      <c r="N20" s="281" t="n"/>
      <c r="O20" s="202" t="n"/>
      <c r="P20" s="202" t="n"/>
      <c r="Q20" s="202" t="n"/>
      <c r="R20" s="202" t="n"/>
      <c r="S20" s="202" t="n"/>
      <c r="T20" s="202" t="n"/>
      <c r="U20" s="202" t="n"/>
      <c r="V20" s="202" t="n"/>
      <c r="W20" s="202" t="n"/>
      <c r="X20" s="202" t="n"/>
      <c r="Y20" s="202" t="n"/>
      <c r="Z20" s="202" t="n"/>
      <c r="AA20" s="202" t="n"/>
      <c r="AB20" s="202" t="n"/>
      <c r="AC20" s="202" t="n"/>
      <c r="AD20" s="202" t="n"/>
      <c r="AE20" s="202" t="n"/>
      <c r="AF20" s="202" t="n"/>
      <c r="AG20" s="202" t="n"/>
      <c r="AH20" s="202" t="n"/>
      <c r="AI20" s="202" t="n"/>
      <c r="AJ20" s="202" t="n"/>
      <c r="AK20" s="202" t="n"/>
      <c r="AL20" s="202" t="n"/>
      <c r="AM20" s="202" t="n"/>
      <c r="AN20" s="202" t="n"/>
      <c r="AO20" s="202" t="n"/>
      <c r="AP20" s="202" t="n"/>
      <c r="AQ20" s="202" t="n"/>
      <c r="AR20" s="202" t="n"/>
      <c r="AS20" s="202" t="n"/>
      <c r="AT20" s="202" t="n"/>
      <c r="AU20" s="202" t="n"/>
      <c r="AV20" s="202" t="n"/>
      <c r="AW20" s="202" t="n"/>
      <c r="AX20" s="202" t="n"/>
      <c r="AY20" s="202" t="n"/>
      <c r="AZ20" s="202" t="n"/>
      <c r="BA20" s="202" t="n"/>
      <c r="BB20" s="202" t="n"/>
      <c r="BC20" s="202" t="n"/>
      <c r="BD20" s="202" t="n"/>
      <c r="BE20" s="202" t="n"/>
      <c r="BF20" s="202" t="n"/>
      <c r="BG20" s="202" t="n"/>
      <c r="BH20" s="202" t="n"/>
      <c r="BI20" s="202" t="n"/>
      <c r="BJ20" s="202" t="n"/>
      <c r="BK20" s="202" t="n"/>
      <c r="BL20" s="202" t="n"/>
      <c r="BM20" s="202" t="n"/>
      <c r="BN20" s="202" t="n"/>
      <c r="BO20" s="202" t="n"/>
      <c r="BP20" s="202" t="n"/>
      <c r="BQ20" s="202" t="n"/>
      <c r="BR20" s="202" t="n"/>
    </row>
    <row r="21">
      <c r="A21" s="282" t="n"/>
      <c r="B21" s="283" t="n"/>
      <c r="C21" s="283" t="n"/>
      <c r="D21" s="283" t="n"/>
      <c r="E21" s="283" t="n"/>
      <c r="F21" s="283" t="n"/>
      <c r="G21" s="283" t="n"/>
      <c r="H21" s="283" t="n"/>
      <c r="I21" s="283" t="n"/>
      <c r="J21" s="283" t="n"/>
      <c r="K21" s="283" t="n"/>
      <c r="L21" s="283" t="n"/>
      <c r="M21" s="283" t="n"/>
      <c r="N21" s="284" t="n"/>
      <c r="O21" s="202" t="n"/>
      <c r="P21" s="202" t="n"/>
      <c r="Q21" s="202" t="n"/>
      <c r="R21" s="202" t="n"/>
      <c r="S21" s="202" t="n"/>
      <c r="T21" s="202" t="n"/>
      <c r="U21" s="202" t="n"/>
      <c r="V21" s="202" t="n"/>
      <c r="W21" s="202" t="n"/>
      <c r="X21" s="202" t="n"/>
      <c r="Y21" s="202" t="n"/>
      <c r="Z21" s="202" t="n"/>
      <c r="AA21" s="202" t="n"/>
      <c r="AB21" s="202" t="n"/>
      <c r="AC21" s="202" t="n"/>
      <c r="AD21" s="202" t="n"/>
      <c r="AE21" s="202" t="n"/>
      <c r="AF21" s="202" t="n"/>
      <c r="AG21" s="202" t="n"/>
      <c r="AH21" s="202" t="n"/>
      <c r="AI21" s="202" t="n"/>
      <c r="AJ21" s="202" t="n"/>
      <c r="AK21" s="202" t="n"/>
      <c r="AL21" s="202" t="n"/>
      <c r="AM21" s="202" t="n"/>
      <c r="AN21" s="202" t="n"/>
      <c r="AO21" s="202" t="n"/>
      <c r="AP21" s="202" t="n"/>
      <c r="AQ21" s="202" t="n"/>
      <c r="AR21" s="202" t="n"/>
      <c r="AS21" s="202" t="n"/>
      <c r="AT21" s="202" t="n"/>
      <c r="AU21" s="202" t="n"/>
      <c r="AV21" s="202" t="n"/>
      <c r="AW21" s="202" t="n"/>
      <c r="AX21" s="202" t="n"/>
      <c r="AY21" s="202" t="n"/>
      <c r="AZ21" s="202" t="n"/>
      <c r="BA21" s="202" t="n"/>
      <c r="BB21" s="202" t="n"/>
      <c r="BC21" s="202" t="n"/>
      <c r="BD21" s="202" t="n"/>
      <c r="BE21" s="202" t="n"/>
      <c r="BF21" s="202" t="n"/>
      <c r="BG21" s="202" t="n"/>
      <c r="BH21" s="202" t="n"/>
      <c r="BI21" s="202" t="n"/>
      <c r="BJ21" s="202" t="n"/>
      <c r="BK21" s="202" t="n"/>
      <c r="BL21" s="202" t="n"/>
      <c r="BM21" s="202" t="n"/>
      <c r="BN21" s="202" t="n"/>
      <c r="BO21" s="202" t="n"/>
      <c r="BP21" s="202" t="n"/>
      <c r="BQ21" s="202" t="n"/>
      <c r="BR21" s="202" t="n"/>
    </row>
    <row r="22">
      <c r="A22" s="285" t="n"/>
      <c r="B22" s="286" t="n"/>
      <c r="C22" s="286" t="n"/>
      <c r="D22" s="286" t="n"/>
      <c r="E22" s="286" t="n"/>
      <c r="F22" s="286" t="n"/>
      <c r="G22" s="286" t="n"/>
      <c r="H22" s="286" t="n"/>
      <c r="I22" s="286" t="n"/>
      <c r="J22" s="286" t="n"/>
      <c r="K22" s="286" t="n"/>
      <c r="L22" s="286" t="n"/>
      <c r="M22" s="286" t="n"/>
      <c r="N22" s="286" t="n"/>
      <c r="O22" s="202" t="n"/>
      <c r="P22" s="202" t="n"/>
      <c r="Q22" s="202" t="n"/>
      <c r="R22" s="202" t="n"/>
      <c r="S22" s="202" t="n"/>
      <c r="T22" s="202" t="n"/>
      <c r="U22" s="202" t="n"/>
      <c r="V22" s="202" t="n"/>
      <c r="W22" s="202" t="n"/>
      <c r="X22" s="202" t="n"/>
      <c r="Y22" s="202" t="n"/>
      <c r="Z22" s="202" t="n"/>
      <c r="AA22" s="202" t="n"/>
      <c r="AB22" s="202" t="n"/>
      <c r="AC22" s="202" t="n"/>
      <c r="AD22" s="202" t="n"/>
      <c r="AE22" s="202" t="n"/>
      <c r="AF22" s="202" t="n"/>
      <c r="AG22" s="202" t="n"/>
      <c r="AH22" s="202" t="n"/>
      <c r="AI22" s="202" t="n"/>
      <c r="AJ22" s="202" t="n"/>
      <c r="AK22" s="202" t="n"/>
      <c r="AL22" s="202" t="n"/>
      <c r="AM22" s="202" t="n"/>
      <c r="AN22" s="202" t="n"/>
      <c r="AO22" s="202" t="n"/>
      <c r="AP22" s="202" t="n"/>
      <c r="AQ22" s="202" t="n"/>
      <c r="AR22" s="202" t="n"/>
      <c r="AS22" s="202" t="n"/>
      <c r="AT22" s="202" t="n"/>
      <c r="AU22" s="202" t="n"/>
      <c r="AV22" s="202" t="n"/>
      <c r="AW22" s="202" t="n"/>
      <c r="AX22" s="202" t="n"/>
      <c r="AY22" s="202" t="n"/>
      <c r="AZ22" s="202" t="n"/>
      <c r="BA22" s="202" t="n"/>
      <c r="BB22" s="202" t="n"/>
      <c r="BC22" s="202" t="n"/>
      <c r="BD22" s="202" t="n"/>
      <c r="BE22" s="202" t="n"/>
      <c r="BF22" s="202" t="n"/>
      <c r="BG22" s="202" t="n"/>
      <c r="BH22" s="202" t="n"/>
      <c r="BI22" s="202" t="n"/>
      <c r="BJ22" s="202" t="n"/>
      <c r="BK22" s="202" t="n"/>
      <c r="BL22" s="202" t="n"/>
      <c r="BM22" s="202" t="n"/>
      <c r="BN22" s="202" t="n"/>
      <c r="BO22" s="202" t="n"/>
      <c r="BP22" s="202" t="n"/>
      <c r="BQ22" s="202" t="n"/>
      <c r="BR22" s="202" t="n"/>
    </row>
    <row r="23">
      <c r="A23" s="202" t="n"/>
      <c r="B23" s="202" t="n"/>
      <c r="C23" s="202" t="n"/>
      <c r="D23" s="202" t="n"/>
      <c r="E23" s="202" t="n"/>
      <c r="F23" s="202" t="n"/>
      <c r="G23" s="202" t="n"/>
      <c r="H23" s="202" t="n"/>
      <c r="I23" s="202" t="n"/>
      <c r="J23" s="202" t="n"/>
      <c r="K23" s="202" t="n"/>
      <c r="L23" s="202" t="n"/>
      <c r="M23" s="202" t="n"/>
      <c r="N23" s="202" t="n"/>
      <c r="O23" s="202" t="n"/>
      <c r="P23" s="202" t="n"/>
      <c r="Q23" s="202" t="n"/>
      <c r="R23" s="202" t="n"/>
      <c r="S23" s="202" t="n"/>
      <c r="T23" s="202" t="n"/>
      <c r="U23" s="202" t="n"/>
      <c r="V23" s="202" t="n"/>
      <c r="W23" s="202" t="n"/>
      <c r="X23" s="202" t="n"/>
      <c r="Y23" s="202" t="n"/>
      <c r="Z23" s="202" t="n"/>
      <c r="AA23" s="202" t="n"/>
      <c r="AB23" s="202" t="n"/>
      <c r="AC23" s="202" t="n"/>
      <c r="AD23" s="202" t="n"/>
      <c r="AE23" s="202" t="n"/>
      <c r="AF23" s="202" t="n"/>
      <c r="AG23" s="202" t="n"/>
      <c r="AH23" s="202" t="n"/>
      <c r="AI23" s="202" t="n"/>
      <c r="AJ23" s="202" t="n"/>
      <c r="AK23" s="202" t="n"/>
      <c r="AL23" s="202" t="n"/>
      <c r="AM23" s="202" t="n"/>
      <c r="AN23" s="202" t="n"/>
      <c r="AO23" s="202" t="n"/>
      <c r="AP23" s="202" t="n"/>
      <c r="AQ23" s="202" t="n"/>
      <c r="AR23" s="202" t="n"/>
      <c r="AS23" s="202" t="n"/>
      <c r="AT23" s="202" t="n"/>
      <c r="AU23" s="202" t="n"/>
      <c r="AV23" s="202" t="n"/>
      <c r="AW23" s="202" t="n"/>
      <c r="AX23" s="202" t="n"/>
      <c r="AY23" s="202" t="n"/>
      <c r="AZ23" s="202" t="n"/>
      <c r="BA23" s="202" t="n"/>
      <c r="BB23" s="202" t="n"/>
      <c r="BC23" s="202" t="n"/>
      <c r="BD23" s="202" t="n"/>
      <c r="BE23" s="202" t="n"/>
      <c r="BF23" s="202" t="n"/>
      <c r="BG23" s="202" t="n"/>
      <c r="BH23" s="202" t="n"/>
      <c r="BI23" s="202" t="n"/>
      <c r="BJ23" s="202" t="n"/>
      <c r="BK23" s="202" t="n"/>
      <c r="BL23" s="202" t="n"/>
      <c r="BM23" s="202" t="n"/>
      <c r="BN23" s="202" t="n"/>
      <c r="BO23" s="202" t="n"/>
      <c r="BP23" s="202" t="n"/>
      <c r="BQ23" s="202" t="n"/>
      <c r="BR23" s="202" t="n"/>
    </row>
    <row r="24" ht="18" customHeight="1" s="82">
      <c r="A24" s="275" t="n"/>
      <c r="B24" s="202" t="n"/>
      <c r="C24" s="202" t="n"/>
      <c r="D24" s="202" t="n"/>
      <c r="E24" s="202" t="n"/>
      <c r="F24" s="202" t="n"/>
      <c r="G24" s="202" t="n"/>
      <c r="H24" s="202" t="n"/>
      <c r="I24" s="202" t="n"/>
      <c r="J24" s="202" t="n"/>
      <c r="K24" s="202" t="n"/>
      <c r="L24" s="202" t="n"/>
      <c r="M24" s="202" t="n"/>
      <c r="N24" s="202" t="n"/>
      <c r="O24" s="202" t="n"/>
      <c r="P24" s="202" t="n"/>
      <c r="Q24" s="202" t="n"/>
      <c r="R24" s="202" t="n"/>
      <c r="S24" s="202" t="n"/>
      <c r="T24" s="202" t="n"/>
      <c r="U24" s="202" t="n"/>
      <c r="V24" s="202" t="n"/>
      <c r="W24" s="202" t="n"/>
      <c r="X24" s="202" t="n"/>
      <c r="Y24" s="202" t="n"/>
      <c r="Z24" s="202" t="n"/>
      <c r="AA24" s="202" t="n"/>
      <c r="AB24" s="202" t="n"/>
      <c r="AC24" s="202" t="n"/>
      <c r="AD24" s="202" t="n"/>
      <c r="AE24" s="202" t="n"/>
      <c r="AF24" s="202" t="n"/>
      <c r="AG24" s="202" t="n"/>
      <c r="AH24" s="202" t="n"/>
      <c r="AI24" s="202" t="n"/>
      <c r="AJ24" s="202" t="n"/>
      <c r="AK24" s="202" t="n"/>
      <c r="AL24" s="202" t="n"/>
      <c r="AM24" s="202" t="n"/>
      <c r="AN24" s="202" t="n"/>
      <c r="AO24" s="202" t="n"/>
      <c r="AP24" s="202" t="n"/>
      <c r="AQ24" s="202" t="n"/>
      <c r="AR24" s="202" t="n"/>
      <c r="AS24" s="202" t="n"/>
      <c r="AT24" s="202" t="n"/>
      <c r="AU24" s="202" t="n"/>
      <c r="AV24" s="202" t="n"/>
      <c r="AW24" s="202" t="n"/>
      <c r="AX24" s="202" t="n"/>
      <c r="AY24" s="202" t="n"/>
      <c r="AZ24" s="202" t="n"/>
      <c r="BA24" s="202" t="n"/>
      <c r="BB24" s="202" t="n"/>
      <c r="BC24" s="202" t="n"/>
      <c r="BD24" s="202" t="n"/>
      <c r="BE24" s="202" t="n"/>
      <c r="BF24" s="202" t="n"/>
      <c r="BG24" s="202" t="n"/>
      <c r="BH24" s="202" t="n"/>
      <c r="BI24" s="202" t="n"/>
      <c r="BJ24" s="202" t="n"/>
      <c r="BK24" s="202" t="n"/>
      <c r="BL24" s="202" t="n"/>
      <c r="BM24" s="202" t="n"/>
      <c r="BN24" s="202" t="n"/>
      <c r="BO24" s="202" t="n"/>
      <c r="BP24" s="202" t="n"/>
      <c r="BQ24" s="202" t="n"/>
      <c r="BR24" s="202" t="n"/>
    </row>
    <row r="25">
      <c r="A25" s="280" t="n"/>
      <c r="B25" s="281" t="n"/>
      <c r="C25" s="281" t="n"/>
      <c r="D25" s="281" t="n"/>
      <c r="E25" s="281" t="n"/>
      <c r="F25" s="281" t="n"/>
      <c r="G25" s="281" t="n"/>
      <c r="H25" s="281" t="n"/>
      <c r="I25" s="281" t="n"/>
      <c r="J25" s="281" t="n"/>
      <c r="K25" s="281" t="n"/>
      <c r="L25" s="281" t="n"/>
      <c r="M25" s="281" t="n"/>
      <c r="N25" s="281" t="n"/>
      <c r="O25" s="202" t="n"/>
      <c r="P25" s="202" t="n"/>
      <c r="Q25" s="202" t="n"/>
      <c r="R25" s="202" t="n"/>
      <c r="S25" s="202" t="n"/>
      <c r="T25" s="202" t="n"/>
      <c r="U25" s="202" t="n"/>
      <c r="V25" s="202" t="n"/>
      <c r="W25" s="202" t="n"/>
      <c r="X25" s="202" t="n"/>
      <c r="Y25" s="202" t="n"/>
      <c r="Z25" s="202" t="n"/>
      <c r="AA25" s="202" t="n"/>
      <c r="AB25" s="202" t="n"/>
      <c r="AC25" s="202" t="n"/>
      <c r="AD25" s="202" t="n"/>
      <c r="AE25" s="202" t="n"/>
      <c r="AF25" s="202" t="n"/>
      <c r="AG25" s="202" t="n"/>
      <c r="AH25" s="202" t="n"/>
      <c r="AI25" s="202" t="n"/>
      <c r="AJ25" s="202" t="n"/>
      <c r="AK25" s="202" t="n"/>
      <c r="AL25" s="202" t="n"/>
      <c r="AM25" s="202" t="n"/>
      <c r="AN25" s="202" t="n"/>
      <c r="AO25" s="202" t="n"/>
      <c r="AP25" s="202" t="n"/>
      <c r="AQ25" s="202" t="n"/>
      <c r="AR25" s="202" t="n"/>
      <c r="AS25" s="202" t="n"/>
      <c r="AT25" s="202" t="n"/>
      <c r="AU25" s="202" t="n"/>
      <c r="AV25" s="202" t="n"/>
      <c r="AW25" s="202" t="n"/>
      <c r="AX25" s="202" t="n"/>
      <c r="AY25" s="202" t="n"/>
      <c r="AZ25" s="202" t="n"/>
      <c r="BA25" s="202" t="n"/>
      <c r="BB25" s="202" t="n"/>
      <c r="BC25" s="202" t="n"/>
      <c r="BD25" s="202" t="n"/>
      <c r="BE25" s="202" t="n"/>
      <c r="BF25" s="202" t="n"/>
      <c r="BG25" s="202" t="n"/>
      <c r="BH25" s="202" t="n"/>
      <c r="BI25" s="202" t="n"/>
      <c r="BJ25" s="202" t="n"/>
      <c r="BK25" s="202" t="n"/>
      <c r="BL25" s="202" t="n"/>
      <c r="BM25" s="202" t="n"/>
      <c r="BN25" s="202" t="n"/>
      <c r="BO25" s="202" t="n"/>
      <c r="BP25" s="202" t="n"/>
      <c r="BQ25" s="202" t="n"/>
      <c r="BR25" s="202" t="n"/>
    </row>
    <row r="26">
      <c r="A26" s="282" t="n"/>
      <c r="B26" s="283" t="n"/>
      <c r="C26" s="283" t="n"/>
      <c r="D26" s="283" t="n"/>
      <c r="E26" s="283" t="n"/>
      <c r="F26" s="283" t="n"/>
      <c r="G26" s="283" t="n"/>
      <c r="H26" s="283" t="n"/>
      <c r="I26" s="283" t="n"/>
      <c r="J26" s="283" t="n"/>
      <c r="K26" s="283" t="n"/>
      <c r="L26" s="283" t="n"/>
      <c r="M26" s="283" t="n"/>
      <c r="N26" s="284" t="n"/>
      <c r="O26" s="202" t="n"/>
      <c r="P26" s="202" t="n"/>
      <c r="Q26" s="202" t="n"/>
      <c r="R26" s="202" t="n"/>
      <c r="S26" s="202" t="n"/>
      <c r="T26" s="202" t="n"/>
      <c r="U26" s="202" t="n"/>
      <c r="V26" s="202" t="n"/>
      <c r="W26" s="202" t="n"/>
      <c r="X26" s="202" t="n"/>
      <c r="Y26" s="202" t="n"/>
      <c r="Z26" s="202" t="n"/>
      <c r="AA26" s="202" t="n"/>
      <c r="AB26" s="202" t="n"/>
      <c r="AC26" s="202" t="n"/>
      <c r="AD26" s="202" t="n"/>
      <c r="AE26" s="202" t="n"/>
      <c r="AF26" s="202" t="n"/>
      <c r="AG26" s="202" t="n"/>
      <c r="AH26" s="202" t="n"/>
      <c r="AI26" s="202" t="n"/>
      <c r="AJ26" s="202" t="n"/>
      <c r="AK26" s="202" t="n"/>
      <c r="AL26" s="202" t="n"/>
      <c r="AM26" s="202" t="n"/>
      <c r="AN26" s="202" t="n"/>
      <c r="AO26" s="202" t="n"/>
      <c r="AP26" s="202" t="n"/>
      <c r="AQ26" s="202" t="n"/>
      <c r="AR26" s="202" t="n"/>
      <c r="AS26" s="202" t="n"/>
      <c r="AT26" s="202" t="n"/>
      <c r="AU26" s="202" t="n"/>
      <c r="AV26" s="202" t="n"/>
      <c r="AW26" s="202" t="n"/>
      <c r="AX26" s="202" t="n"/>
      <c r="AY26" s="202" t="n"/>
      <c r="AZ26" s="202" t="n"/>
      <c r="BA26" s="202" t="n"/>
      <c r="BB26" s="202" t="n"/>
      <c r="BC26" s="202" t="n"/>
      <c r="BD26" s="202" t="n"/>
      <c r="BE26" s="202" t="n"/>
      <c r="BF26" s="202" t="n"/>
      <c r="BG26" s="202" t="n"/>
      <c r="BH26" s="202" t="n"/>
      <c r="BI26" s="202" t="n"/>
      <c r="BJ26" s="202" t="n"/>
      <c r="BK26" s="202" t="n"/>
      <c r="BL26" s="202" t="n"/>
      <c r="BM26" s="202" t="n"/>
      <c r="BN26" s="202" t="n"/>
      <c r="BO26" s="202" t="n"/>
      <c r="BP26" s="202" t="n"/>
      <c r="BQ26" s="202" t="n"/>
      <c r="BR26" s="202" t="n"/>
    </row>
    <row r="27">
      <c r="A27" s="285" t="n"/>
      <c r="B27" s="286" t="n"/>
      <c r="C27" s="286" t="n"/>
      <c r="D27" s="286" t="n"/>
      <c r="E27" s="286" t="n"/>
      <c r="F27" s="286" t="n"/>
      <c r="G27" s="286" t="n"/>
      <c r="H27" s="286" t="n"/>
      <c r="I27" s="286" t="n"/>
      <c r="J27" s="286" t="n"/>
      <c r="K27" s="286" t="n"/>
      <c r="L27" s="286" t="n"/>
      <c r="M27" s="286" t="n"/>
      <c r="N27" s="286" t="n"/>
      <c r="O27" s="202" t="n"/>
      <c r="P27" s="202" t="n"/>
      <c r="Q27" s="202" t="n"/>
      <c r="R27" s="202" t="n"/>
      <c r="S27" s="202" t="n"/>
      <c r="T27" s="202" t="n"/>
      <c r="U27" s="202" t="n"/>
      <c r="V27" s="202" t="n"/>
      <c r="W27" s="202" t="n"/>
      <c r="X27" s="202" t="n"/>
      <c r="Y27" s="202" t="n"/>
      <c r="Z27" s="202" t="n"/>
      <c r="AA27" s="202" t="n"/>
      <c r="AB27" s="202" t="n"/>
      <c r="AC27" s="202" t="n"/>
      <c r="AD27" s="202" t="n"/>
      <c r="AE27" s="202" t="n"/>
      <c r="AF27" s="202" t="n"/>
      <c r="AG27" s="202" t="n"/>
      <c r="AH27" s="202" t="n"/>
      <c r="AI27" s="202" t="n"/>
      <c r="AJ27" s="202" t="n"/>
      <c r="AK27" s="202" t="n"/>
      <c r="AL27" s="202" t="n"/>
      <c r="AM27" s="202" t="n"/>
      <c r="AN27" s="202" t="n"/>
      <c r="AO27" s="202" t="n"/>
      <c r="AP27" s="202" t="n"/>
      <c r="AQ27" s="202" t="n"/>
      <c r="AR27" s="202" t="n"/>
      <c r="AS27" s="202" t="n"/>
      <c r="AT27" s="202" t="n"/>
      <c r="AU27" s="202" t="n"/>
      <c r="AV27" s="202" t="n"/>
      <c r="AW27" s="202" t="n"/>
      <c r="AX27" s="202" t="n"/>
      <c r="AY27" s="202" t="n"/>
      <c r="AZ27" s="202" t="n"/>
      <c r="BA27" s="202" t="n"/>
      <c r="BB27" s="202" t="n"/>
      <c r="BC27" s="202" t="n"/>
      <c r="BD27" s="202" t="n"/>
      <c r="BE27" s="202" t="n"/>
      <c r="BF27" s="202" t="n"/>
      <c r="BG27" s="202" t="n"/>
      <c r="BH27" s="202" t="n"/>
      <c r="BI27" s="202" t="n"/>
      <c r="BJ27" s="202" t="n"/>
      <c r="BK27" s="202" t="n"/>
      <c r="BL27" s="202" t="n"/>
      <c r="BM27" s="202" t="n"/>
      <c r="BN27" s="202" t="n"/>
      <c r="BO27" s="202" t="n"/>
      <c r="BP27" s="202" t="n"/>
      <c r="BQ27" s="202" t="n"/>
      <c r="BR27" s="202" t="n"/>
    </row>
    <row r="28">
      <c r="A28" s="202" t="n"/>
      <c r="B28" s="202" t="n"/>
      <c r="C28" s="202" t="n"/>
      <c r="D28" s="202" t="n"/>
      <c r="E28" s="202" t="n"/>
      <c r="F28" s="202" t="n"/>
      <c r="G28" s="202" t="n"/>
      <c r="H28" s="202" t="n"/>
      <c r="I28" s="202" t="n"/>
      <c r="J28" s="202" t="n"/>
      <c r="K28" s="202" t="n"/>
      <c r="L28" s="202" t="n"/>
      <c r="M28" s="202" t="n"/>
      <c r="N28" s="202" t="n"/>
      <c r="O28" s="202" t="n"/>
      <c r="P28" s="202" t="n"/>
      <c r="Q28" s="202" t="n"/>
      <c r="R28" s="202" t="n"/>
      <c r="S28" s="202" t="n"/>
      <c r="T28" s="202" t="n"/>
      <c r="U28" s="202" t="n"/>
      <c r="V28" s="202" t="n"/>
      <c r="W28" s="202" t="n"/>
      <c r="X28" s="202" t="n"/>
      <c r="Y28" s="202" t="n"/>
      <c r="Z28" s="202" t="n"/>
      <c r="AA28" s="202" t="n"/>
      <c r="AB28" s="202" t="n"/>
      <c r="AC28" s="202" t="n"/>
      <c r="AD28" s="202" t="n"/>
      <c r="AE28" s="202" t="n"/>
      <c r="AF28" s="202" t="n"/>
      <c r="AG28" s="202" t="n"/>
      <c r="AH28" s="202" t="n"/>
      <c r="AI28" s="202" t="n"/>
      <c r="AJ28" s="202" t="n"/>
      <c r="AK28" s="202" t="n"/>
      <c r="AL28" s="202" t="n"/>
      <c r="AM28" s="202" t="n"/>
      <c r="AN28" s="202" t="n"/>
      <c r="AO28" s="202" t="n"/>
      <c r="AP28" s="202" t="n"/>
      <c r="AQ28" s="202" t="n"/>
      <c r="AR28" s="202" t="n"/>
      <c r="AS28" s="202" t="n"/>
      <c r="AT28" s="202" t="n"/>
      <c r="AU28" s="202" t="n"/>
      <c r="AV28" s="202" t="n"/>
      <c r="AW28" s="202" t="n"/>
      <c r="AX28" s="202" t="n"/>
      <c r="AY28" s="202" t="n"/>
      <c r="AZ28" s="202" t="n"/>
      <c r="BA28" s="202" t="n"/>
      <c r="BB28" s="202" t="n"/>
      <c r="BC28" s="202" t="n"/>
      <c r="BD28" s="202" t="n"/>
      <c r="BE28" s="202" t="n"/>
      <c r="BF28" s="202" t="n"/>
      <c r="BG28" s="202" t="n"/>
      <c r="BH28" s="202" t="n"/>
      <c r="BI28" s="202" t="n"/>
      <c r="BJ28" s="202" t="n"/>
      <c r="BK28" s="202" t="n"/>
      <c r="BL28" s="202" t="n"/>
      <c r="BM28" s="202" t="n"/>
      <c r="BN28" s="202" t="n"/>
      <c r="BO28" s="202" t="n"/>
      <c r="BP28" s="202" t="n"/>
      <c r="BQ28" s="202" t="n"/>
      <c r="BR28" s="202" t="n"/>
    </row>
    <row r="29">
      <c r="A29" s="202" t="n"/>
      <c r="B29" s="202" t="n"/>
      <c r="C29" s="202" t="n"/>
      <c r="D29" s="202" t="n"/>
      <c r="E29" s="202" t="n"/>
      <c r="F29" s="202" t="n"/>
      <c r="G29" s="202" t="n"/>
      <c r="H29" s="202" t="n"/>
      <c r="I29" s="202" t="n"/>
      <c r="J29" s="202" t="n"/>
      <c r="K29" s="202" t="n"/>
      <c r="L29" s="202" t="n"/>
      <c r="M29" s="202" t="n"/>
      <c r="N29" s="202" t="n"/>
      <c r="O29" s="202" t="n"/>
      <c r="P29" s="202" t="n"/>
      <c r="Q29" s="202" t="n"/>
      <c r="R29" s="202" t="n"/>
      <c r="S29" s="202" t="n"/>
      <c r="T29" s="202" t="n"/>
      <c r="U29" s="202" t="n"/>
      <c r="V29" s="202" t="n"/>
      <c r="W29" s="202" t="n"/>
      <c r="X29" s="202" t="n"/>
      <c r="Y29" s="202" t="n"/>
      <c r="Z29" s="202" t="n"/>
      <c r="AA29" s="202" t="n"/>
      <c r="AB29" s="202" t="n"/>
      <c r="AC29" s="202" t="n"/>
      <c r="AD29" s="202" t="n"/>
      <c r="AE29" s="202" t="n"/>
      <c r="AF29" s="202" t="n"/>
      <c r="AG29" s="202" t="n"/>
      <c r="AH29" s="202" t="n"/>
      <c r="AI29" s="202" t="n"/>
      <c r="AJ29" s="202" t="n"/>
      <c r="AK29" s="202" t="n"/>
      <c r="AL29" s="202" t="n"/>
      <c r="AM29" s="202" t="n"/>
      <c r="AN29" s="202" t="n"/>
      <c r="AO29" s="202" t="n"/>
      <c r="AP29" s="202" t="n"/>
      <c r="AQ29" s="202" t="n"/>
      <c r="AR29" s="202" t="n"/>
      <c r="AS29" s="202" t="n"/>
      <c r="AT29" s="202" t="n"/>
      <c r="AU29" s="202" t="n"/>
      <c r="AV29" s="202" t="n"/>
      <c r="AW29" s="202" t="n"/>
      <c r="AX29" s="202" t="n"/>
      <c r="AY29" s="202" t="n"/>
      <c r="AZ29" s="202" t="n"/>
      <c r="BA29" s="202" t="n"/>
      <c r="BB29" s="202" t="n"/>
      <c r="BC29" s="202" t="n"/>
      <c r="BD29" s="202" t="n"/>
      <c r="BE29" s="202" t="n"/>
      <c r="BF29" s="202" t="n"/>
      <c r="BG29" s="202" t="n"/>
      <c r="BH29" s="202" t="n"/>
      <c r="BI29" s="202" t="n"/>
      <c r="BJ29" s="202" t="n"/>
      <c r="BK29" s="202" t="n"/>
      <c r="BL29" s="202" t="n"/>
      <c r="BM29" s="202" t="n"/>
      <c r="BN29" s="202" t="n"/>
      <c r="BO29" s="202" t="n"/>
      <c r="BP29" s="202" t="n"/>
      <c r="BQ29" s="202" t="n"/>
      <c r="BR29" s="202" t="n"/>
    </row>
    <row r="30">
      <c r="A30" s="202" t="n"/>
      <c r="B30" s="202" t="n"/>
      <c r="C30" s="202" t="n"/>
      <c r="D30" s="202" t="n"/>
      <c r="E30" s="202" t="n"/>
      <c r="F30" s="202" t="n"/>
      <c r="G30" s="202" t="n"/>
      <c r="H30" s="202" t="n"/>
      <c r="I30" s="202" t="n"/>
      <c r="J30" s="202" t="n"/>
      <c r="K30" s="202" t="n"/>
      <c r="L30" s="202" t="n"/>
      <c r="M30" s="202" t="n"/>
      <c r="N30" s="202" t="n"/>
      <c r="O30" s="202" t="n"/>
      <c r="P30" s="202" t="n"/>
      <c r="Q30" s="202" t="n"/>
      <c r="R30" s="202" t="n"/>
      <c r="S30" s="202" t="n"/>
      <c r="T30" s="202" t="n"/>
      <c r="U30" s="202" t="n"/>
      <c r="V30" s="202" t="n"/>
      <c r="W30" s="202" t="n"/>
      <c r="X30" s="202" t="n"/>
      <c r="Y30" s="202" t="n"/>
      <c r="Z30" s="202" t="n"/>
      <c r="AA30" s="202" t="n"/>
      <c r="AB30" s="202" t="n"/>
      <c r="AC30" s="202" t="n"/>
      <c r="AD30" s="202" t="n"/>
      <c r="AE30" s="202" t="n"/>
      <c r="AF30" s="202" t="n"/>
      <c r="AG30" s="202" t="n"/>
      <c r="AH30" s="202" t="n"/>
      <c r="AI30" s="202" t="n"/>
      <c r="AJ30" s="202" t="n"/>
      <c r="AK30" s="202" t="n"/>
      <c r="AL30" s="202" t="n"/>
      <c r="AM30" s="202" t="n"/>
      <c r="AN30" s="202" t="n"/>
      <c r="AO30" s="202" t="n"/>
      <c r="AP30" s="202" t="n"/>
      <c r="AQ30" s="202" t="n"/>
      <c r="AR30" s="202" t="n"/>
      <c r="AS30" s="202" t="n"/>
      <c r="AT30" s="202" t="n"/>
      <c r="AU30" s="202" t="n"/>
      <c r="AV30" s="202" t="n"/>
      <c r="AW30" s="202" t="n"/>
      <c r="AX30" s="202" t="n"/>
      <c r="AY30" s="202" t="n"/>
      <c r="AZ30" s="202" t="n"/>
      <c r="BA30" s="202" t="n"/>
      <c r="BB30" s="202" t="n"/>
      <c r="BC30" s="202" t="n"/>
      <c r="BD30" s="202" t="n"/>
      <c r="BE30" s="202" t="n"/>
      <c r="BF30" s="202" t="n"/>
      <c r="BG30" s="202" t="n"/>
      <c r="BH30" s="202" t="n"/>
      <c r="BI30" s="202" t="n"/>
      <c r="BJ30" s="202" t="n"/>
      <c r="BK30" s="202" t="n"/>
      <c r="BL30" s="202" t="n"/>
      <c r="BM30" s="202" t="n"/>
      <c r="BN30" s="202" t="n"/>
      <c r="BO30" s="202" t="n"/>
      <c r="BP30" s="202" t="n"/>
      <c r="BQ30" s="202" t="n"/>
      <c r="BR30" s="202" t="n"/>
    </row>
    <row r="31">
      <c r="A31" s="202" t="n"/>
      <c r="B31" s="202" t="n"/>
      <c r="C31" s="202" t="n"/>
      <c r="D31" s="202" t="n"/>
      <c r="E31" s="202" t="n"/>
      <c r="F31" s="202" t="n"/>
      <c r="G31" s="202" t="n"/>
      <c r="H31" s="202" t="n"/>
      <c r="I31" s="202" t="n"/>
      <c r="J31" s="202" t="n"/>
      <c r="K31" s="202" t="n"/>
      <c r="L31" s="202" t="n"/>
      <c r="M31" s="202" t="n"/>
      <c r="N31" s="202" t="n"/>
      <c r="O31" s="202" t="n"/>
      <c r="P31" s="202" t="n"/>
      <c r="Q31" s="202" t="n"/>
      <c r="R31" s="202" t="n"/>
      <c r="S31" s="202" t="n"/>
      <c r="T31" s="202" t="n"/>
      <c r="U31" s="202" t="n"/>
      <c r="V31" s="202" t="n"/>
      <c r="W31" s="202" t="n"/>
      <c r="X31" s="202" t="n"/>
      <c r="Y31" s="202" t="n"/>
      <c r="Z31" s="202" t="n"/>
      <c r="AA31" s="202" t="n"/>
      <c r="AB31" s="202" t="n"/>
      <c r="AC31" s="202" t="n"/>
      <c r="AD31" s="202" t="n"/>
      <c r="AE31" s="202" t="n"/>
      <c r="AF31" s="202" t="n"/>
      <c r="AG31" s="202" t="n"/>
      <c r="AH31" s="202" t="n"/>
      <c r="AI31" s="202" t="n"/>
      <c r="AJ31" s="202" t="n"/>
      <c r="AK31" s="202" t="n"/>
      <c r="AL31" s="202" t="n"/>
      <c r="AM31" s="202" t="n"/>
      <c r="AN31" s="202" t="n"/>
      <c r="AO31" s="202" t="n"/>
      <c r="AP31" s="202" t="n"/>
      <c r="AQ31" s="202" t="n"/>
      <c r="AR31" s="202" t="n"/>
      <c r="AS31" s="202" t="n"/>
      <c r="AT31" s="202" t="n"/>
      <c r="AU31" s="202" t="n"/>
      <c r="AV31" s="202" t="n"/>
      <c r="AW31" s="202" t="n"/>
      <c r="AX31" s="202" t="n"/>
      <c r="AY31" s="202" t="n"/>
      <c r="AZ31" s="202" t="n"/>
      <c r="BA31" s="202" t="n"/>
      <c r="BB31" s="202" t="n"/>
      <c r="BC31" s="202" t="n"/>
      <c r="BD31" s="202" t="n"/>
      <c r="BE31" s="202" t="n"/>
      <c r="BF31" s="202" t="n"/>
      <c r="BG31" s="202" t="n"/>
      <c r="BH31" s="202" t="n"/>
      <c r="BI31" s="202" t="n"/>
      <c r="BJ31" s="202" t="n"/>
      <c r="BK31" s="202" t="n"/>
      <c r="BL31" s="202" t="n"/>
      <c r="BM31" s="202" t="n"/>
      <c r="BN31" s="202" t="n"/>
      <c r="BO31" s="202" t="n"/>
      <c r="BP31" s="202" t="n"/>
      <c r="BQ31" s="202" t="n"/>
      <c r="BR31" s="202" t="n"/>
    </row>
    <row r="32">
      <c r="A32" s="202" t="n"/>
      <c r="B32" s="202" t="n"/>
      <c r="C32" s="202" t="n"/>
      <c r="D32" s="202" t="n"/>
      <c r="E32" s="202" t="n"/>
      <c r="F32" s="202" t="n"/>
      <c r="G32" s="202" t="n"/>
      <c r="H32" s="202" t="n"/>
      <c r="I32" s="202" t="n"/>
      <c r="J32" s="202" t="n"/>
      <c r="K32" s="202" t="n"/>
      <c r="L32" s="202" t="n"/>
      <c r="M32" s="202" t="n"/>
      <c r="N32" s="202" t="n"/>
      <c r="O32" s="202" t="n"/>
      <c r="P32" s="202" t="n"/>
      <c r="Q32" s="202" t="n"/>
      <c r="R32" s="202" t="n"/>
      <c r="S32" s="202" t="n"/>
      <c r="T32" s="202" t="n"/>
      <c r="U32" s="202" t="n"/>
      <c r="V32" s="202" t="n"/>
      <c r="W32" s="202" t="n"/>
      <c r="X32" s="202" t="n"/>
      <c r="Y32" s="202" t="n"/>
      <c r="Z32" s="202" t="n"/>
      <c r="AA32" s="202" t="n"/>
      <c r="AB32" s="202" t="n"/>
      <c r="AC32" s="202" t="n"/>
      <c r="AD32" s="202" t="n"/>
      <c r="AE32" s="202" t="n"/>
      <c r="AF32" s="202" t="n"/>
      <c r="AG32" s="202" t="n"/>
      <c r="AH32" s="202" t="n"/>
      <c r="AI32" s="202" t="n"/>
      <c r="AJ32" s="202" t="n"/>
      <c r="AK32" s="202" t="n"/>
      <c r="AL32" s="202" t="n"/>
      <c r="AM32" s="202" t="n"/>
      <c r="AN32" s="202" t="n"/>
      <c r="AO32" s="202" t="n"/>
      <c r="AP32" s="202" t="n"/>
      <c r="AQ32" s="202" t="n"/>
      <c r="AR32" s="202" t="n"/>
      <c r="AS32" s="202" t="n"/>
      <c r="AT32" s="202" t="n"/>
      <c r="AU32" s="202" t="n"/>
      <c r="AV32" s="202" t="n"/>
      <c r="AW32" s="202" t="n"/>
      <c r="AX32" s="202" t="n"/>
      <c r="AY32" s="202" t="n"/>
      <c r="AZ32" s="202" t="n"/>
      <c r="BA32" s="202" t="n"/>
      <c r="BB32" s="202" t="n"/>
      <c r="BC32" s="202" t="n"/>
      <c r="BD32" s="202" t="n"/>
      <c r="BE32" s="202" t="n"/>
      <c r="BF32" s="202" t="n"/>
      <c r="BG32" s="202" t="n"/>
      <c r="BH32" s="202" t="n"/>
      <c r="BI32" s="202" t="n"/>
      <c r="BJ32" s="202" t="n"/>
      <c r="BK32" s="202" t="n"/>
      <c r="BL32" s="202" t="n"/>
      <c r="BM32" s="202" t="n"/>
      <c r="BN32" s="202" t="n"/>
      <c r="BO32" s="202" t="n"/>
      <c r="BP32" s="202" t="n"/>
      <c r="BQ32" s="202" t="n"/>
      <c r="BR32" s="202" t="n"/>
    </row>
    <row r="33">
      <c r="A33" s="202" t="n"/>
      <c r="B33" s="202" t="n"/>
      <c r="C33" s="202" t="n"/>
      <c r="D33" s="202" t="n"/>
      <c r="E33" s="202" t="n"/>
      <c r="F33" s="202" t="n"/>
      <c r="G33" s="202" t="n"/>
      <c r="H33" s="202" t="n"/>
      <c r="I33" s="202" t="n"/>
      <c r="J33" s="202" t="n"/>
      <c r="K33" s="202" t="n"/>
      <c r="L33" s="202" t="n"/>
      <c r="M33" s="202" t="n"/>
      <c r="N33" s="202" t="n"/>
      <c r="O33" s="202" t="n"/>
      <c r="P33" s="202" t="n"/>
      <c r="Q33" s="202" t="n"/>
      <c r="R33" s="202" t="n"/>
      <c r="S33" s="202" t="n"/>
      <c r="T33" s="202" t="n"/>
      <c r="U33" s="202" t="n"/>
      <c r="V33" s="202" t="n"/>
      <c r="W33" s="202" t="n"/>
      <c r="X33" s="202" t="n"/>
      <c r="Y33" s="202" t="n"/>
      <c r="Z33" s="202" t="n"/>
      <c r="AA33" s="202" t="n"/>
      <c r="AB33" s="202" t="n"/>
      <c r="AC33" s="202" t="n"/>
      <c r="AD33" s="202" t="n"/>
      <c r="AE33" s="202" t="n"/>
      <c r="AF33" s="202" t="n"/>
      <c r="AG33" s="202" t="n"/>
      <c r="AH33" s="202" t="n"/>
      <c r="AI33" s="202" t="n"/>
      <c r="AJ33" s="202" t="n"/>
      <c r="AK33" s="202" t="n"/>
      <c r="AL33" s="202" t="n"/>
      <c r="AM33" s="202" t="n"/>
      <c r="AN33" s="202" t="n"/>
      <c r="AO33" s="202" t="n"/>
      <c r="AP33" s="202" t="n"/>
      <c r="AQ33" s="202" t="n"/>
      <c r="AR33" s="202" t="n"/>
      <c r="AS33" s="202" t="n"/>
      <c r="AT33" s="202" t="n"/>
      <c r="AU33" s="202" t="n"/>
      <c r="AV33" s="202" t="n"/>
      <c r="AW33" s="202" t="n"/>
      <c r="AX33" s="202" t="n"/>
      <c r="AY33" s="202" t="n"/>
      <c r="AZ33" s="202" t="n"/>
      <c r="BA33" s="202" t="n"/>
      <c r="BB33" s="202" t="n"/>
      <c r="BC33" s="202" t="n"/>
      <c r="BD33" s="202" t="n"/>
      <c r="BE33" s="202" t="n"/>
      <c r="BF33" s="202" t="n"/>
      <c r="BG33" s="202" t="n"/>
      <c r="BH33" s="202" t="n"/>
      <c r="BI33" s="202" t="n"/>
      <c r="BJ33" s="202" t="n"/>
      <c r="BK33" s="202" t="n"/>
      <c r="BL33" s="202" t="n"/>
      <c r="BM33" s="202" t="n"/>
      <c r="BN33" s="202" t="n"/>
      <c r="BO33" s="202" t="n"/>
      <c r="BP33" s="202" t="n"/>
      <c r="BQ33" s="202" t="n"/>
      <c r="BR33" s="202" t="n"/>
    </row>
    <row r="34">
      <c r="A34" s="202" t="n"/>
      <c r="B34" s="202" t="n"/>
      <c r="C34" s="202" t="n"/>
      <c r="D34" s="202" t="n"/>
      <c r="E34" s="202" t="n"/>
      <c r="F34" s="202" t="n"/>
      <c r="G34" s="202" t="n"/>
      <c r="H34" s="202" t="n"/>
      <c r="I34" s="202" t="n"/>
      <c r="J34" s="202" t="n"/>
      <c r="K34" s="202" t="n"/>
      <c r="L34" s="202" t="n"/>
      <c r="M34" s="202" t="n"/>
      <c r="N34" s="202" t="n"/>
      <c r="O34" s="202" t="n"/>
      <c r="P34" s="202" t="n"/>
      <c r="Q34" s="202" t="n"/>
      <c r="R34" s="202" t="n"/>
      <c r="S34" s="202" t="n"/>
      <c r="T34" s="202" t="n"/>
      <c r="U34" s="202" t="n"/>
      <c r="V34" s="202" t="n"/>
      <c r="W34" s="202" t="n"/>
      <c r="X34" s="202" t="n"/>
      <c r="Y34" s="202" t="n"/>
      <c r="Z34" s="202" t="n"/>
      <c r="AA34" s="202" t="n"/>
      <c r="AB34" s="202" t="n"/>
      <c r="AC34" s="202" t="n"/>
      <c r="AD34" s="202" t="n"/>
      <c r="AE34" s="202" t="n"/>
      <c r="AF34" s="202" t="n"/>
      <c r="AG34" s="202" t="n"/>
      <c r="AH34" s="202" t="n"/>
      <c r="AI34" s="202" t="n"/>
      <c r="AJ34" s="202" t="n"/>
      <c r="AK34" s="202" t="n"/>
      <c r="AL34" s="202" t="n"/>
      <c r="AM34" s="202" t="n"/>
      <c r="AN34" s="202" t="n"/>
      <c r="AO34" s="202" t="n"/>
      <c r="AP34" s="202" t="n"/>
      <c r="AQ34" s="202" t="n"/>
      <c r="AR34" s="202" t="n"/>
      <c r="AS34" s="202" t="n"/>
      <c r="AT34" s="202" t="n"/>
      <c r="AU34" s="202" t="n"/>
      <c r="AV34" s="202" t="n"/>
      <c r="AW34" s="202" t="n"/>
      <c r="AX34" s="202" t="n"/>
      <c r="AY34" s="202" t="n"/>
      <c r="AZ34" s="202" t="n"/>
      <c r="BA34" s="202" t="n"/>
      <c r="BB34" s="202" t="n"/>
      <c r="BC34" s="202" t="n"/>
      <c r="BD34" s="202" t="n"/>
      <c r="BE34" s="202" t="n"/>
      <c r="BF34" s="202" t="n"/>
      <c r="BG34" s="202" t="n"/>
      <c r="BH34" s="202" t="n"/>
      <c r="BI34" s="202" t="n"/>
      <c r="BJ34" s="202" t="n"/>
      <c r="BK34" s="202" t="n"/>
      <c r="BL34" s="202" t="n"/>
      <c r="BM34" s="202" t="n"/>
      <c r="BN34" s="202" t="n"/>
      <c r="BO34" s="202" t="n"/>
      <c r="BP34" s="202" t="n"/>
      <c r="BQ34" s="202" t="n"/>
      <c r="BR34" s="202" t="n"/>
    </row>
    <row r="35">
      <c r="A35" s="202" t="n"/>
      <c r="B35" s="202" t="n"/>
      <c r="C35" s="202" t="n"/>
      <c r="D35" s="202" t="n"/>
      <c r="E35" s="202" t="n"/>
      <c r="F35" s="202" t="n"/>
      <c r="G35" s="202" t="n"/>
      <c r="H35" s="202" t="n"/>
      <c r="I35" s="202" t="n"/>
      <c r="J35" s="202" t="n"/>
      <c r="K35" s="202" t="n"/>
      <c r="L35" s="202" t="n"/>
      <c r="M35" s="202" t="n"/>
      <c r="N35" s="202" t="n"/>
      <c r="O35" s="202" t="n"/>
      <c r="P35" s="202" t="n"/>
      <c r="Q35" s="202" t="n"/>
      <c r="R35" s="202" t="n"/>
      <c r="S35" s="202" t="n"/>
      <c r="T35" s="202" t="n"/>
      <c r="U35" s="202" t="n"/>
      <c r="V35" s="202" t="n"/>
      <c r="W35" s="202" t="n"/>
      <c r="X35" s="202" t="n"/>
      <c r="Y35" s="202" t="n"/>
      <c r="Z35" s="202" t="n"/>
      <c r="AA35" s="202" t="n"/>
      <c r="AB35" s="202" t="n"/>
      <c r="AC35" s="202" t="n"/>
      <c r="AD35" s="202" t="n"/>
      <c r="AE35" s="202" t="n"/>
      <c r="AF35" s="202" t="n"/>
      <c r="AG35" s="202" t="n"/>
      <c r="AH35" s="202" t="n"/>
      <c r="AI35" s="202" t="n"/>
      <c r="AJ35" s="202" t="n"/>
      <c r="AK35" s="202" t="n"/>
      <c r="AL35" s="202" t="n"/>
      <c r="AM35" s="202" t="n"/>
      <c r="AN35" s="202" t="n"/>
      <c r="AO35" s="202" t="n"/>
      <c r="AP35" s="202" t="n"/>
      <c r="AQ35" s="202" t="n"/>
      <c r="AR35" s="202" t="n"/>
      <c r="AS35" s="202" t="n"/>
      <c r="AT35" s="202" t="n"/>
      <c r="AU35" s="202" t="n"/>
      <c r="AV35" s="202" t="n"/>
      <c r="AW35" s="202" t="n"/>
      <c r="AX35" s="202" t="n"/>
      <c r="AY35" s="202" t="n"/>
      <c r="AZ35" s="202" t="n"/>
      <c r="BA35" s="202" t="n"/>
      <c r="BB35" s="202" t="n"/>
      <c r="BC35" s="202" t="n"/>
      <c r="BD35" s="202" t="n"/>
      <c r="BE35" s="202" t="n"/>
      <c r="BF35" s="202" t="n"/>
      <c r="BG35" s="202" t="n"/>
      <c r="BH35" s="202" t="n"/>
      <c r="BI35" s="202" t="n"/>
      <c r="BJ35" s="202" t="n"/>
      <c r="BK35" s="202" t="n"/>
      <c r="BL35" s="202" t="n"/>
      <c r="BM35" s="202" t="n"/>
      <c r="BN35" s="202" t="n"/>
      <c r="BO35" s="202" t="n"/>
      <c r="BP35" s="202" t="n"/>
      <c r="BQ35" s="202" t="n"/>
      <c r="BR35" s="202" t="n"/>
    </row>
    <row r="36">
      <c r="A36" s="202" t="n"/>
      <c r="B36" s="202" t="n"/>
      <c r="C36" s="202" t="n"/>
      <c r="D36" s="202" t="n"/>
      <c r="E36" s="202" t="n"/>
      <c r="F36" s="202" t="n"/>
      <c r="G36" s="202" t="n"/>
      <c r="H36" s="202" t="n"/>
      <c r="I36" s="202" t="n"/>
      <c r="J36" s="202" t="n"/>
      <c r="K36" s="202" t="n"/>
      <c r="L36" s="202" t="n"/>
      <c r="M36" s="202" t="n"/>
      <c r="N36" s="202" t="n"/>
      <c r="O36" s="202" t="n"/>
      <c r="P36" s="202" t="n"/>
      <c r="Q36" s="202" t="n"/>
      <c r="R36" s="202" t="n"/>
      <c r="S36" s="202" t="n"/>
      <c r="T36" s="202" t="n"/>
      <c r="U36" s="202" t="n"/>
      <c r="V36" s="202" t="n"/>
      <c r="W36" s="202" t="n"/>
      <c r="X36" s="202" t="n"/>
      <c r="Y36" s="202" t="n"/>
      <c r="Z36" s="202" t="n"/>
      <c r="AA36" s="202" t="n"/>
      <c r="AB36" s="202" t="n"/>
      <c r="AC36" s="202" t="n"/>
      <c r="AD36" s="202" t="n"/>
      <c r="AE36" s="202" t="n"/>
      <c r="AF36" s="202" t="n"/>
      <c r="AG36" s="202" t="n"/>
      <c r="AH36" s="202" t="n"/>
      <c r="AI36" s="202" t="n"/>
      <c r="AJ36" s="202" t="n"/>
      <c r="AK36" s="202" t="n"/>
      <c r="AL36" s="202" t="n"/>
      <c r="AM36" s="202" t="n"/>
      <c r="AN36" s="202" t="n"/>
      <c r="AO36" s="202" t="n"/>
      <c r="AP36" s="202" t="n"/>
      <c r="AQ36" s="202" t="n"/>
      <c r="AR36" s="202" t="n"/>
      <c r="AS36" s="202" t="n"/>
      <c r="AT36" s="202" t="n"/>
      <c r="AU36" s="202" t="n"/>
      <c r="AV36" s="202" t="n"/>
      <c r="AW36" s="202" t="n"/>
      <c r="AX36" s="202" t="n"/>
      <c r="AY36" s="202" t="n"/>
      <c r="AZ36" s="202" t="n"/>
      <c r="BA36" s="202" t="n"/>
      <c r="BB36" s="202" t="n"/>
      <c r="BC36" s="202" t="n"/>
      <c r="BD36" s="202" t="n"/>
      <c r="BE36" s="202" t="n"/>
      <c r="BF36" s="202" t="n"/>
      <c r="BG36" s="202" t="n"/>
      <c r="BH36" s="202" t="n"/>
      <c r="BI36" s="202" t="n"/>
      <c r="BJ36" s="202" t="n"/>
      <c r="BK36" s="202" t="n"/>
      <c r="BL36" s="202" t="n"/>
      <c r="BM36" s="202" t="n"/>
      <c r="BN36" s="202" t="n"/>
      <c r="BO36" s="202" t="n"/>
      <c r="BP36" s="202" t="n"/>
      <c r="BQ36" s="202" t="n"/>
      <c r="BR36" s="202" t="n"/>
    </row>
    <row r="37">
      <c r="A37" s="202" t="n"/>
      <c r="B37" s="202" t="n"/>
      <c r="C37" s="202" t="n"/>
      <c r="D37" s="202" t="n"/>
      <c r="E37" s="202" t="n"/>
      <c r="F37" s="202" t="n"/>
      <c r="G37" s="202" t="n"/>
      <c r="H37" s="202" t="n"/>
      <c r="I37" s="202" t="n"/>
      <c r="J37" s="202" t="n"/>
      <c r="K37" s="202" t="n"/>
      <c r="L37" s="202" t="n"/>
      <c r="M37" s="202" t="n"/>
      <c r="N37" s="202" t="n"/>
      <c r="O37" s="202" t="n"/>
      <c r="P37" s="202" t="n"/>
      <c r="Q37" s="202" t="n"/>
      <c r="R37" s="202" t="n"/>
      <c r="S37" s="202" t="n"/>
      <c r="T37" s="202" t="n"/>
      <c r="U37" s="202" t="n"/>
      <c r="V37" s="202" t="n"/>
      <c r="W37" s="202" t="n"/>
      <c r="X37" s="202" t="n"/>
      <c r="Y37" s="202" t="n"/>
      <c r="Z37" s="202" t="n"/>
      <c r="AA37" s="202" t="n"/>
      <c r="AB37" s="202" t="n"/>
      <c r="AC37" s="202" t="n"/>
      <c r="AD37" s="202" t="n"/>
      <c r="AE37" s="202" t="n"/>
      <c r="AF37" s="202" t="n"/>
      <c r="AG37" s="202" t="n"/>
      <c r="AH37" s="202" t="n"/>
      <c r="AI37" s="202" t="n"/>
      <c r="AJ37" s="202" t="n"/>
      <c r="AK37" s="202" t="n"/>
      <c r="AL37" s="202" t="n"/>
      <c r="AM37" s="202" t="n"/>
      <c r="AN37" s="202" t="n"/>
      <c r="AO37" s="202" t="n"/>
      <c r="AP37" s="202" t="n"/>
      <c r="AQ37" s="202" t="n"/>
      <c r="AR37" s="202" t="n"/>
      <c r="AS37" s="202" t="n"/>
      <c r="AT37" s="202" t="n"/>
      <c r="AU37" s="202" t="n"/>
      <c r="AV37" s="202" t="n"/>
      <c r="AW37" s="202" t="n"/>
      <c r="AX37" s="202" t="n"/>
      <c r="AY37" s="202" t="n"/>
      <c r="AZ37" s="202" t="n"/>
      <c r="BA37" s="202" t="n"/>
      <c r="BB37" s="202" t="n"/>
      <c r="BC37" s="202" t="n"/>
      <c r="BD37" s="202" t="n"/>
      <c r="BE37" s="202" t="n"/>
      <c r="BF37" s="202" t="n"/>
      <c r="BG37" s="202" t="n"/>
      <c r="BH37" s="202" t="n"/>
      <c r="BI37" s="202" t="n"/>
      <c r="BJ37" s="202" t="n"/>
      <c r="BK37" s="202" t="n"/>
      <c r="BL37" s="202" t="n"/>
      <c r="BM37" s="202" t="n"/>
      <c r="BN37" s="202" t="n"/>
      <c r="BO37" s="202" t="n"/>
      <c r="BP37" s="202" t="n"/>
      <c r="BQ37" s="202" t="n"/>
      <c r="BR37" s="202" t="n"/>
    </row>
    <row r="38">
      <c r="A38" s="202" t="n"/>
      <c r="B38" s="202" t="n"/>
      <c r="C38" s="202" t="n"/>
      <c r="D38" s="202" t="n"/>
      <c r="E38" s="202" t="n"/>
      <c r="F38" s="202" t="n"/>
      <c r="G38" s="202" t="n"/>
      <c r="H38" s="202" t="n"/>
      <c r="I38" s="202" t="n"/>
      <c r="J38" s="202" t="n"/>
      <c r="K38" s="202" t="n"/>
      <c r="L38" s="202" t="n"/>
      <c r="M38" s="202" t="n"/>
      <c r="N38" s="202" t="n"/>
      <c r="O38" s="202" t="n"/>
      <c r="P38" s="202" t="n"/>
      <c r="Q38" s="202" t="n"/>
      <c r="R38" s="202" t="n"/>
      <c r="S38" s="202" t="n"/>
      <c r="T38" s="202" t="n"/>
      <c r="U38" s="202" t="n"/>
      <c r="V38" s="202" t="n"/>
      <c r="W38" s="202" t="n"/>
      <c r="X38" s="202" t="n"/>
      <c r="Y38" s="202" t="n"/>
      <c r="Z38" s="202" t="n"/>
      <c r="AA38" s="202" t="n"/>
      <c r="AB38" s="202" t="n"/>
      <c r="AC38" s="202" t="n"/>
      <c r="AD38" s="202" t="n"/>
      <c r="AE38" s="202" t="n"/>
      <c r="AF38" s="202" t="n"/>
      <c r="AG38" s="202" t="n"/>
      <c r="AH38" s="202" t="n"/>
      <c r="AI38" s="202" t="n"/>
      <c r="AJ38" s="202" t="n"/>
      <c r="AK38" s="202" t="n"/>
      <c r="AL38" s="202" t="n"/>
      <c r="AM38" s="202" t="n"/>
      <c r="AN38" s="202" t="n"/>
      <c r="AO38" s="202" t="n"/>
      <c r="AP38" s="202" t="n"/>
      <c r="AQ38" s="202" t="n"/>
      <c r="AR38" s="202" t="n"/>
      <c r="AS38" s="202" t="n"/>
      <c r="AT38" s="202" t="n"/>
      <c r="AU38" s="202" t="n"/>
      <c r="AV38" s="202" t="n"/>
      <c r="AW38" s="202" t="n"/>
      <c r="AX38" s="202" t="n"/>
      <c r="AY38" s="202" t="n"/>
      <c r="AZ38" s="202" t="n"/>
      <c r="BA38" s="202" t="n"/>
      <c r="BB38" s="202" t="n"/>
      <c r="BC38" s="202" t="n"/>
      <c r="BD38" s="202" t="n"/>
      <c r="BE38" s="202" t="n"/>
      <c r="BF38" s="202" t="n"/>
      <c r="BG38" s="202" t="n"/>
      <c r="BH38" s="202" t="n"/>
      <c r="BI38" s="202" t="n"/>
      <c r="BJ38" s="202" t="n"/>
      <c r="BK38" s="202" t="n"/>
      <c r="BL38" s="202" t="n"/>
      <c r="BM38" s="202" t="n"/>
      <c r="BN38" s="202" t="n"/>
      <c r="BO38" s="202" t="n"/>
      <c r="BP38" s="202" t="n"/>
      <c r="BQ38" s="202" t="n"/>
      <c r="BR38" s="202" t="n"/>
    </row>
    <row r="39">
      <c r="A39" s="202" t="n"/>
      <c r="B39" s="202" t="n"/>
      <c r="C39" s="202" t="n"/>
      <c r="D39" s="202" t="n"/>
      <c r="E39" s="202" t="n"/>
      <c r="F39" s="202" t="n"/>
      <c r="G39" s="202" t="n"/>
      <c r="H39" s="202" t="n"/>
      <c r="I39" s="202" t="n"/>
      <c r="J39" s="202" t="n"/>
      <c r="K39" s="202" t="n"/>
      <c r="L39" s="202" t="n"/>
      <c r="M39" s="202" t="n"/>
      <c r="N39" s="202" t="n"/>
      <c r="O39" s="202" t="n"/>
      <c r="P39" s="202" t="n"/>
      <c r="Q39" s="202" t="n"/>
      <c r="R39" s="202" t="n"/>
      <c r="S39" s="202" t="n"/>
      <c r="T39" s="202" t="n"/>
      <c r="U39" s="202" t="n"/>
      <c r="V39" s="202" t="n"/>
      <c r="W39" s="202" t="n"/>
      <c r="X39" s="202" t="n"/>
      <c r="Y39" s="202" t="n"/>
      <c r="Z39" s="202" t="n"/>
      <c r="AA39" s="202" t="n"/>
      <c r="AB39" s="202" t="n"/>
      <c r="AC39" s="202" t="n"/>
      <c r="AD39" s="202" t="n"/>
      <c r="AE39" s="202" t="n"/>
      <c r="AF39" s="202" t="n"/>
      <c r="AG39" s="202" t="n"/>
      <c r="AH39" s="202" t="n"/>
      <c r="AI39" s="202" t="n"/>
      <c r="AJ39" s="202" t="n"/>
      <c r="AK39" s="202" t="n"/>
      <c r="AL39" s="202" t="n"/>
      <c r="AM39" s="202" t="n"/>
      <c r="AN39" s="202" t="n"/>
      <c r="AO39" s="202" t="n"/>
      <c r="AP39" s="202" t="n"/>
      <c r="AQ39" s="202" t="n"/>
      <c r="AR39" s="202" t="n"/>
      <c r="AS39" s="202" t="n"/>
      <c r="AT39" s="202" t="n"/>
      <c r="AU39" s="202" t="n"/>
      <c r="AV39" s="202" t="n"/>
      <c r="AW39" s="202" t="n"/>
      <c r="AX39" s="202" t="n"/>
      <c r="AY39" s="202" t="n"/>
      <c r="AZ39" s="202" t="n"/>
      <c r="BA39" s="202" t="n"/>
      <c r="BB39" s="202" t="n"/>
      <c r="BC39" s="202" t="n"/>
      <c r="BD39" s="202" t="n"/>
      <c r="BE39" s="202" t="n"/>
      <c r="BF39" s="202" t="n"/>
      <c r="BG39" s="202" t="n"/>
      <c r="BH39" s="202" t="n"/>
      <c r="BI39" s="202" t="n"/>
      <c r="BJ39" s="202" t="n"/>
      <c r="BK39" s="202" t="n"/>
      <c r="BL39" s="202" t="n"/>
      <c r="BM39" s="202" t="n"/>
      <c r="BN39" s="202" t="n"/>
      <c r="BO39" s="202" t="n"/>
      <c r="BP39" s="202" t="n"/>
      <c r="BQ39" s="202" t="n"/>
      <c r="BR39" s="202" t="n"/>
    </row>
    <row r="40">
      <c r="A40" s="202" t="n"/>
      <c r="B40" s="202" t="n"/>
      <c r="C40" s="202" t="n"/>
      <c r="D40" s="202" t="n"/>
      <c r="E40" s="202" t="n"/>
      <c r="F40" s="202" t="n"/>
      <c r="G40" s="202" t="n"/>
      <c r="H40" s="202" t="n"/>
      <c r="I40" s="202" t="n"/>
      <c r="J40" s="202" t="n"/>
      <c r="K40" s="202" t="n"/>
      <c r="L40" s="202" t="n"/>
      <c r="M40" s="202" t="n"/>
      <c r="N40" s="202" t="n"/>
      <c r="O40" s="202" t="n"/>
      <c r="P40" s="202" t="n"/>
      <c r="Q40" s="202" t="n"/>
      <c r="R40" s="202" t="n"/>
      <c r="S40" s="202" t="n"/>
      <c r="T40" s="202" t="n"/>
      <c r="U40" s="202" t="n"/>
      <c r="V40" s="202" t="n"/>
      <c r="W40" s="202" t="n"/>
      <c r="X40" s="202" t="n"/>
      <c r="Y40" s="202" t="n"/>
      <c r="Z40" s="202" t="n"/>
      <c r="AA40" s="202" t="n"/>
      <c r="AB40" s="202" t="n"/>
      <c r="AC40" s="202" t="n"/>
      <c r="AD40" s="202" t="n"/>
      <c r="AE40" s="202" t="n"/>
      <c r="AF40" s="202" t="n"/>
      <c r="AG40" s="202" t="n"/>
      <c r="AH40" s="202" t="n"/>
      <c r="AI40" s="202" t="n"/>
      <c r="AJ40" s="202" t="n"/>
      <c r="AK40" s="202" t="n"/>
      <c r="AL40" s="202" t="n"/>
      <c r="AM40" s="202" t="n"/>
      <c r="AN40" s="202" t="n"/>
      <c r="AO40" s="202" t="n"/>
      <c r="AP40" s="202" t="n"/>
      <c r="AQ40" s="202" t="n"/>
      <c r="AR40" s="202" t="n"/>
      <c r="AS40" s="202" t="n"/>
      <c r="AT40" s="202" t="n"/>
      <c r="AU40" s="202" t="n"/>
      <c r="AV40" s="202" t="n"/>
      <c r="AW40" s="202" t="n"/>
      <c r="AX40" s="202" t="n"/>
      <c r="AY40" s="202" t="n"/>
      <c r="AZ40" s="202" t="n"/>
      <c r="BA40" s="202" t="n"/>
      <c r="BB40" s="202" t="n"/>
      <c r="BC40" s="202" t="n"/>
      <c r="BD40" s="202" t="n"/>
      <c r="BE40" s="202" t="n"/>
      <c r="BF40" s="202" t="n"/>
      <c r="BG40" s="202" t="n"/>
      <c r="BH40" s="202" t="n"/>
      <c r="BI40" s="202" t="n"/>
      <c r="BJ40" s="202" t="n"/>
      <c r="BK40" s="202" t="n"/>
      <c r="BL40" s="202" t="n"/>
      <c r="BM40" s="202" t="n"/>
      <c r="BN40" s="202" t="n"/>
      <c r="BO40" s="202" t="n"/>
      <c r="BP40" s="202" t="n"/>
      <c r="BQ40" s="202" t="n"/>
      <c r="BR40" s="202" t="n"/>
    </row>
    <row r="41">
      <c r="A41" s="202" t="n"/>
      <c r="B41" s="202" t="n"/>
      <c r="C41" s="202" t="n"/>
      <c r="D41" s="202" t="n"/>
      <c r="E41" s="202" t="n"/>
      <c r="F41" s="202" t="n"/>
      <c r="G41" s="202" t="n"/>
      <c r="H41" s="202" t="n"/>
      <c r="I41" s="202" t="n"/>
      <c r="J41" s="202" t="n"/>
      <c r="K41" s="202" t="n"/>
      <c r="L41" s="202" t="n"/>
      <c r="M41" s="202" t="n"/>
      <c r="N41" s="202" t="n"/>
      <c r="O41" s="202" t="n"/>
      <c r="P41" s="202" t="n"/>
      <c r="Q41" s="202" t="n"/>
      <c r="R41" s="202" t="n"/>
      <c r="S41" s="202" t="n"/>
      <c r="T41" s="202" t="n"/>
      <c r="U41" s="202" t="n"/>
      <c r="V41" s="202" t="n"/>
      <c r="W41" s="202" t="n"/>
      <c r="X41" s="202" t="n"/>
      <c r="Y41" s="202" t="n"/>
      <c r="Z41" s="202" t="n"/>
      <c r="AA41" s="202" t="n"/>
      <c r="AB41" s="202" t="n"/>
      <c r="AC41" s="202" t="n"/>
      <c r="AD41" s="202" t="n"/>
      <c r="AE41" s="202" t="n"/>
      <c r="AF41" s="202" t="n"/>
      <c r="AG41" s="202" t="n"/>
      <c r="AH41" s="202" t="n"/>
      <c r="AI41" s="202" t="n"/>
      <c r="AJ41" s="202" t="n"/>
      <c r="AK41" s="202" t="n"/>
      <c r="AL41" s="202" t="n"/>
      <c r="AM41" s="202" t="n"/>
      <c r="AN41" s="202" t="n"/>
      <c r="AO41" s="202" t="n"/>
      <c r="AP41" s="202" t="n"/>
      <c r="AQ41" s="202" t="n"/>
      <c r="AR41" s="202" t="n"/>
      <c r="AS41" s="202" t="n"/>
      <c r="AT41" s="202" t="n"/>
      <c r="AU41" s="202" t="n"/>
      <c r="AV41" s="202" t="n"/>
      <c r="AW41" s="202" t="n"/>
      <c r="AX41" s="202" t="n"/>
      <c r="AY41" s="202" t="n"/>
      <c r="AZ41" s="202" t="n"/>
      <c r="BA41" s="202" t="n"/>
      <c r="BB41" s="202" t="n"/>
      <c r="BC41" s="202" t="n"/>
      <c r="BD41" s="202" t="n"/>
      <c r="BE41" s="202" t="n"/>
      <c r="BF41" s="202" t="n"/>
      <c r="BG41" s="202" t="n"/>
      <c r="BH41" s="202" t="n"/>
      <c r="BI41" s="202" t="n"/>
      <c r="BJ41" s="202" t="n"/>
      <c r="BK41" s="202" t="n"/>
      <c r="BL41" s="202" t="n"/>
      <c r="BM41" s="202" t="n"/>
      <c r="BN41" s="202" t="n"/>
      <c r="BO41" s="202" t="n"/>
      <c r="BP41" s="202" t="n"/>
      <c r="BQ41" s="202" t="n"/>
      <c r="BR41" s="202" t="n"/>
    </row>
    <row r="42">
      <c r="A42" s="202" t="n"/>
      <c r="B42" s="202" t="n"/>
      <c r="C42" s="202" t="n"/>
      <c r="D42" s="202" t="n"/>
      <c r="E42" s="202" t="n"/>
      <c r="F42" s="202" t="n"/>
      <c r="G42" s="202" t="n"/>
      <c r="H42" s="202" t="n"/>
      <c r="I42" s="202" t="n"/>
      <c r="J42" s="202" t="n"/>
      <c r="K42" s="202" t="n"/>
      <c r="L42" s="202" t="n"/>
      <c r="M42" s="202" t="n"/>
      <c r="N42" s="202" t="n"/>
      <c r="O42" s="202" t="n"/>
      <c r="P42" s="202" t="n"/>
      <c r="Q42" s="202" t="n"/>
      <c r="R42" s="202" t="n"/>
      <c r="S42" s="202" t="n"/>
      <c r="T42" s="202" t="n"/>
      <c r="U42" s="202" t="n"/>
      <c r="V42" s="202" t="n"/>
      <c r="W42" s="202" t="n"/>
      <c r="X42" s="202" t="n"/>
      <c r="Y42" s="202" t="n"/>
      <c r="Z42" s="202" t="n"/>
      <c r="AA42" s="202" t="n"/>
      <c r="AB42" s="202" t="n"/>
      <c r="AC42" s="202" t="n"/>
      <c r="AD42" s="202" t="n"/>
      <c r="AE42" s="202" t="n"/>
      <c r="AF42" s="202" t="n"/>
      <c r="AG42" s="202" t="n"/>
      <c r="AH42" s="202" t="n"/>
      <c r="AI42" s="202" t="n"/>
      <c r="AJ42" s="202" t="n"/>
      <c r="AK42" s="202" t="n"/>
      <c r="AL42" s="202" t="n"/>
      <c r="AM42" s="202" t="n"/>
      <c r="AN42" s="202" t="n"/>
      <c r="AO42" s="202" t="n"/>
      <c r="AP42" s="202" t="n"/>
      <c r="AQ42" s="202" t="n"/>
      <c r="AR42" s="202" t="n"/>
      <c r="AS42" s="202" t="n"/>
      <c r="AT42" s="202" t="n"/>
      <c r="AU42" s="202" t="n"/>
      <c r="AV42" s="202" t="n"/>
      <c r="AW42" s="202" t="n"/>
      <c r="AX42" s="202" t="n"/>
      <c r="AY42" s="202" t="n"/>
      <c r="AZ42" s="202" t="n"/>
      <c r="BA42" s="202" t="n"/>
      <c r="BB42" s="202" t="n"/>
      <c r="BC42" s="202" t="n"/>
      <c r="BD42" s="202" t="n"/>
      <c r="BE42" s="202" t="n"/>
      <c r="BF42" s="202" t="n"/>
      <c r="BG42" s="202" t="n"/>
      <c r="BH42" s="202" t="n"/>
      <c r="BI42" s="202" t="n"/>
      <c r="BJ42" s="202" t="n"/>
      <c r="BK42" s="202" t="n"/>
      <c r="BL42" s="202" t="n"/>
      <c r="BM42" s="202" t="n"/>
      <c r="BN42" s="202" t="n"/>
      <c r="BO42" s="202" t="n"/>
      <c r="BP42" s="202" t="n"/>
      <c r="BQ42" s="202" t="n"/>
      <c r="BR42" s="202" t="n"/>
    </row>
    <row r="43">
      <c r="A43" s="202" t="n"/>
      <c r="B43" s="202" t="n"/>
      <c r="C43" s="202" t="n"/>
      <c r="D43" s="202" t="n"/>
      <c r="E43" s="202" t="n"/>
      <c r="F43" s="202" t="n"/>
      <c r="G43" s="202" t="n"/>
      <c r="H43" s="202" t="n"/>
      <c r="I43" s="202" t="n"/>
      <c r="J43" s="202" t="n"/>
      <c r="K43" s="202" t="n"/>
      <c r="L43" s="202" t="n"/>
      <c r="M43" s="202" t="n"/>
      <c r="N43" s="202" t="n"/>
      <c r="O43" s="202" t="n"/>
      <c r="P43" s="202" t="n"/>
      <c r="Q43" s="202" t="n"/>
      <c r="R43" s="202" t="n"/>
      <c r="S43" s="202" t="n"/>
      <c r="T43" s="202" t="n"/>
      <c r="U43" s="202" t="n"/>
      <c r="V43" s="202" t="n"/>
      <c r="W43" s="202" t="n"/>
      <c r="X43" s="202" t="n"/>
      <c r="Y43" s="202" t="n"/>
      <c r="Z43" s="202" t="n"/>
      <c r="AA43" s="202" t="n"/>
      <c r="AB43" s="202" t="n"/>
      <c r="AC43" s="202" t="n"/>
      <c r="AD43" s="202" t="n"/>
      <c r="AE43" s="202" t="n"/>
      <c r="AF43" s="202" t="n"/>
      <c r="AG43" s="202" t="n"/>
      <c r="AH43" s="202" t="n"/>
      <c r="AI43" s="202" t="n"/>
      <c r="AJ43" s="202" t="n"/>
      <c r="AK43" s="202" t="n"/>
      <c r="AL43" s="202" t="n"/>
      <c r="AM43" s="202" t="n"/>
      <c r="AN43" s="202" t="n"/>
      <c r="AO43" s="202" t="n"/>
      <c r="AP43" s="202" t="n"/>
      <c r="AQ43" s="202" t="n"/>
      <c r="AR43" s="202" t="n"/>
      <c r="AS43" s="202" t="n"/>
      <c r="AT43" s="202" t="n"/>
      <c r="AU43" s="202" t="n"/>
      <c r="AV43" s="202" t="n"/>
      <c r="AW43" s="202" t="n"/>
      <c r="AX43" s="202" t="n"/>
      <c r="AY43" s="202" t="n"/>
      <c r="AZ43" s="202" t="n"/>
      <c r="BA43" s="202" t="n"/>
      <c r="BB43" s="202" t="n"/>
      <c r="BC43" s="202" t="n"/>
      <c r="BD43" s="202" t="n"/>
      <c r="BE43" s="202" t="n"/>
      <c r="BF43" s="202" t="n"/>
      <c r="BG43" s="202" t="n"/>
      <c r="BH43" s="202" t="n"/>
      <c r="BI43" s="202" t="n"/>
      <c r="BJ43" s="202" t="n"/>
      <c r="BK43" s="202" t="n"/>
      <c r="BL43" s="202" t="n"/>
      <c r="BM43" s="202" t="n"/>
      <c r="BN43" s="202" t="n"/>
      <c r="BO43" s="202" t="n"/>
      <c r="BP43" s="202" t="n"/>
      <c r="BQ43" s="202" t="n"/>
      <c r="BR43" s="202" t="n"/>
    </row>
    <row r="44">
      <c r="A44" s="202" t="n"/>
      <c r="B44" s="202" t="n"/>
      <c r="C44" s="202" t="n"/>
      <c r="D44" s="202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2" t="n"/>
      <c r="Y44" s="202" t="n"/>
      <c r="Z44" s="202" t="n"/>
      <c r="AA44" s="202" t="n"/>
      <c r="AB44" s="202" t="n"/>
      <c r="AC44" s="202" t="n"/>
      <c r="AD44" s="202" t="n"/>
      <c r="AE44" s="202" t="n"/>
      <c r="AF44" s="202" t="n"/>
      <c r="AG44" s="202" t="n"/>
      <c r="AH44" s="202" t="n"/>
      <c r="AI44" s="202" t="n"/>
      <c r="AJ44" s="202" t="n"/>
      <c r="AK44" s="202" t="n"/>
      <c r="AL44" s="202" t="n"/>
      <c r="AM44" s="202" t="n"/>
      <c r="AN44" s="202" t="n"/>
      <c r="AO44" s="202" t="n"/>
      <c r="AP44" s="202" t="n"/>
      <c r="AQ44" s="202" t="n"/>
      <c r="AR44" s="202" t="n"/>
      <c r="AS44" s="202" t="n"/>
      <c r="AT44" s="202" t="n"/>
      <c r="AU44" s="202" t="n"/>
      <c r="AV44" s="202" t="n"/>
      <c r="AW44" s="202" t="n"/>
      <c r="AX44" s="202" t="n"/>
      <c r="AY44" s="202" t="n"/>
      <c r="AZ44" s="202" t="n"/>
      <c r="BA44" s="202" t="n"/>
      <c r="BB44" s="202" t="n"/>
      <c r="BC44" s="202" t="n"/>
      <c r="BD44" s="202" t="n"/>
      <c r="BE44" s="202" t="n"/>
      <c r="BF44" s="202" t="n"/>
      <c r="BG44" s="202" t="n"/>
      <c r="BH44" s="202" t="n"/>
      <c r="BI44" s="202" t="n"/>
      <c r="BJ44" s="202" t="n"/>
      <c r="BK44" s="202" t="n"/>
      <c r="BL44" s="202" t="n"/>
      <c r="BM44" s="202" t="n"/>
      <c r="BN44" s="202" t="n"/>
      <c r="BO44" s="202" t="n"/>
      <c r="BP44" s="202" t="n"/>
      <c r="BQ44" s="202" t="n"/>
      <c r="BR44" s="202" t="n"/>
    </row>
    <row r="45">
      <c r="A45" s="202" t="n"/>
      <c r="B45" s="202" t="n"/>
      <c r="C45" s="202" t="n"/>
      <c r="D45" s="202" t="n"/>
      <c r="E45" s="202" t="n"/>
      <c r="F45" s="202" t="n"/>
      <c r="G45" s="202" t="n"/>
      <c r="H45" s="202" t="n"/>
      <c r="I45" s="202" t="n"/>
      <c r="J45" s="202" t="n"/>
      <c r="K45" s="202" t="n"/>
      <c r="L45" s="202" t="n"/>
      <c r="M45" s="202" t="n"/>
      <c r="N45" s="202" t="n"/>
      <c r="O45" s="202" t="n"/>
      <c r="P45" s="202" t="n"/>
      <c r="Q45" s="202" t="n"/>
      <c r="R45" s="202" t="n"/>
      <c r="S45" s="202" t="n"/>
      <c r="T45" s="202" t="n"/>
      <c r="U45" s="202" t="n"/>
      <c r="V45" s="202" t="n"/>
      <c r="W45" s="202" t="n"/>
      <c r="X45" s="202" t="n"/>
      <c r="Y45" s="202" t="n"/>
      <c r="Z45" s="202" t="n"/>
      <c r="AA45" s="202" t="n"/>
      <c r="AB45" s="202" t="n"/>
      <c r="AC45" s="202" t="n"/>
      <c r="AD45" s="202" t="n"/>
      <c r="AE45" s="202" t="n"/>
      <c r="AF45" s="202" t="n"/>
      <c r="AG45" s="202" t="n"/>
      <c r="AH45" s="202" t="n"/>
      <c r="AI45" s="202" t="n"/>
      <c r="AJ45" s="202" t="n"/>
      <c r="AK45" s="202" t="n"/>
      <c r="AL45" s="202" t="n"/>
      <c r="AM45" s="202" t="n"/>
      <c r="AN45" s="202" t="n"/>
      <c r="AO45" s="202" t="n"/>
      <c r="AP45" s="202" t="n"/>
      <c r="AQ45" s="202" t="n"/>
      <c r="AR45" s="202" t="n"/>
      <c r="AS45" s="202" t="n"/>
      <c r="AT45" s="202" t="n"/>
      <c r="AU45" s="202" t="n"/>
      <c r="AV45" s="202" t="n"/>
      <c r="AW45" s="202" t="n"/>
      <c r="AX45" s="202" t="n"/>
      <c r="AY45" s="202" t="n"/>
      <c r="AZ45" s="202" t="n"/>
      <c r="BA45" s="202" t="n"/>
      <c r="BB45" s="202" t="n"/>
      <c r="BC45" s="202" t="n"/>
      <c r="BD45" s="202" t="n"/>
      <c r="BE45" s="202" t="n"/>
      <c r="BF45" s="202" t="n"/>
      <c r="BG45" s="202" t="n"/>
      <c r="BH45" s="202" t="n"/>
      <c r="BI45" s="202" t="n"/>
      <c r="BJ45" s="202" t="n"/>
      <c r="BK45" s="202" t="n"/>
      <c r="BL45" s="202" t="n"/>
      <c r="BM45" s="202" t="n"/>
      <c r="BN45" s="202" t="n"/>
      <c r="BO45" s="202" t="n"/>
      <c r="BP45" s="202" t="n"/>
      <c r="BQ45" s="202" t="n"/>
      <c r="BR45" s="202" t="n"/>
    </row>
    <row r="46">
      <c r="A46" s="202" t="n"/>
      <c r="B46" s="202" t="n"/>
      <c r="C46" s="202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2" t="n"/>
      <c r="Y46" s="202" t="n"/>
      <c r="Z46" s="202" t="n"/>
      <c r="AA46" s="202" t="n"/>
      <c r="AB46" s="202" t="n"/>
      <c r="AC46" s="202" t="n"/>
      <c r="AD46" s="202" t="n"/>
      <c r="AE46" s="202" t="n"/>
      <c r="AF46" s="202" t="n"/>
      <c r="AG46" s="202" t="n"/>
      <c r="AH46" s="202" t="n"/>
      <c r="AI46" s="202" t="n"/>
      <c r="AJ46" s="202" t="n"/>
      <c r="AK46" s="202" t="n"/>
      <c r="AL46" s="202" t="n"/>
      <c r="AM46" s="202" t="n"/>
      <c r="AN46" s="202" t="n"/>
      <c r="AO46" s="202" t="n"/>
      <c r="AP46" s="202" t="n"/>
      <c r="AQ46" s="202" t="n"/>
      <c r="AR46" s="202" t="n"/>
      <c r="AS46" s="202" t="n"/>
      <c r="AT46" s="202" t="n"/>
      <c r="AU46" s="202" t="n"/>
      <c r="AV46" s="202" t="n"/>
      <c r="AW46" s="202" t="n"/>
      <c r="AX46" s="202" t="n"/>
      <c r="AY46" s="202" t="n"/>
      <c r="AZ46" s="202" t="n"/>
      <c r="BA46" s="202" t="n"/>
      <c r="BB46" s="202" t="n"/>
      <c r="BC46" s="202" t="n"/>
      <c r="BD46" s="202" t="n"/>
      <c r="BE46" s="202" t="n"/>
      <c r="BF46" s="202" t="n"/>
      <c r="BG46" s="202" t="n"/>
      <c r="BH46" s="202" t="n"/>
      <c r="BI46" s="202" t="n"/>
      <c r="BJ46" s="202" t="n"/>
      <c r="BK46" s="202" t="n"/>
      <c r="BL46" s="202" t="n"/>
      <c r="BM46" s="202" t="n"/>
      <c r="BN46" s="202" t="n"/>
      <c r="BO46" s="202" t="n"/>
      <c r="BP46" s="202" t="n"/>
      <c r="BQ46" s="202" t="n"/>
      <c r="BR46" s="202" t="n"/>
    </row>
    <row r="47">
      <c r="A47" s="202" t="n"/>
      <c r="B47" s="202" t="n"/>
      <c r="C47" s="202" t="n"/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2" t="n"/>
      <c r="Y47" s="202" t="n"/>
      <c r="Z47" s="202" t="n"/>
      <c r="AA47" s="202" t="n"/>
      <c r="AB47" s="202" t="n"/>
      <c r="AC47" s="202" t="n"/>
      <c r="AD47" s="202" t="n"/>
      <c r="AE47" s="202" t="n"/>
      <c r="AF47" s="202" t="n"/>
      <c r="AG47" s="202" t="n"/>
      <c r="AH47" s="202" t="n"/>
      <c r="AI47" s="202" t="n"/>
      <c r="AJ47" s="202" t="n"/>
      <c r="AK47" s="202" t="n"/>
      <c r="AL47" s="202" t="n"/>
      <c r="AM47" s="202" t="n"/>
      <c r="AN47" s="202" t="n"/>
      <c r="AO47" s="202" t="n"/>
      <c r="AP47" s="202" t="n"/>
      <c r="AQ47" s="202" t="n"/>
      <c r="AR47" s="202" t="n"/>
      <c r="AS47" s="202" t="n"/>
      <c r="AT47" s="202" t="n"/>
      <c r="AU47" s="202" t="n"/>
      <c r="AV47" s="202" t="n"/>
      <c r="AW47" s="202" t="n"/>
      <c r="AX47" s="202" t="n"/>
      <c r="AY47" s="202" t="n"/>
      <c r="AZ47" s="202" t="n"/>
      <c r="BA47" s="202" t="n"/>
      <c r="BB47" s="202" t="n"/>
      <c r="BC47" s="202" t="n"/>
      <c r="BD47" s="202" t="n"/>
      <c r="BE47" s="202" t="n"/>
      <c r="BF47" s="202" t="n"/>
      <c r="BG47" s="202" t="n"/>
      <c r="BH47" s="202" t="n"/>
      <c r="BI47" s="202" t="n"/>
      <c r="BJ47" s="202" t="n"/>
      <c r="BK47" s="202" t="n"/>
      <c r="BL47" s="202" t="n"/>
      <c r="BM47" s="202" t="n"/>
      <c r="BN47" s="202" t="n"/>
      <c r="BO47" s="202" t="n"/>
      <c r="BP47" s="202" t="n"/>
      <c r="BQ47" s="202" t="n"/>
      <c r="BR47" s="202" t="n"/>
    </row>
    <row r="48">
      <c r="A48" s="202" t="n"/>
      <c r="B48" s="202" t="n"/>
      <c r="C48" s="202" t="n"/>
      <c r="D48" s="202" t="n"/>
      <c r="E48" s="202" t="n"/>
      <c r="F48" s="202" t="n"/>
      <c r="G48" s="202" t="n"/>
      <c r="H48" s="202" t="n"/>
      <c r="I48" s="202" t="n"/>
      <c r="J48" s="202" t="n"/>
      <c r="K48" s="202" t="n"/>
      <c r="L48" s="202" t="n"/>
      <c r="M48" s="202" t="n"/>
      <c r="N48" s="202" t="n"/>
      <c r="O48" s="202" t="n"/>
      <c r="P48" s="202" t="n"/>
      <c r="Q48" s="202" t="n"/>
      <c r="R48" s="202" t="n"/>
      <c r="S48" s="202" t="n"/>
      <c r="T48" s="202" t="n"/>
      <c r="U48" s="202" t="n"/>
      <c r="V48" s="202" t="n"/>
      <c r="W48" s="202" t="n"/>
      <c r="X48" s="202" t="n"/>
      <c r="Y48" s="202" t="n"/>
      <c r="Z48" s="202" t="n"/>
      <c r="AA48" s="202" t="n"/>
      <c r="AB48" s="202" t="n"/>
      <c r="AC48" s="202" t="n"/>
      <c r="AD48" s="202" t="n"/>
      <c r="AE48" s="202" t="n"/>
      <c r="AF48" s="202" t="n"/>
      <c r="AG48" s="202" t="n"/>
      <c r="AH48" s="202" t="n"/>
      <c r="AI48" s="202" t="n"/>
      <c r="AJ48" s="202" t="n"/>
      <c r="AK48" s="202" t="n"/>
      <c r="AL48" s="202" t="n"/>
      <c r="AM48" s="202" t="n"/>
      <c r="AN48" s="202" t="n"/>
      <c r="AO48" s="202" t="n"/>
      <c r="AP48" s="202" t="n"/>
      <c r="AQ48" s="202" t="n"/>
      <c r="AR48" s="202" t="n"/>
      <c r="AS48" s="202" t="n"/>
      <c r="AT48" s="202" t="n"/>
      <c r="AU48" s="202" t="n"/>
      <c r="AV48" s="202" t="n"/>
      <c r="AW48" s="202" t="n"/>
      <c r="AX48" s="202" t="n"/>
      <c r="AY48" s="202" t="n"/>
      <c r="AZ48" s="202" t="n"/>
      <c r="BA48" s="202" t="n"/>
      <c r="BB48" s="202" t="n"/>
      <c r="BC48" s="202" t="n"/>
      <c r="BD48" s="202" t="n"/>
      <c r="BE48" s="202" t="n"/>
      <c r="BF48" s="202" t="n"/>
      <c r="BG48" s="202" t="n"/>
      <c r="BH48" s="202" t="n"/>
      <c r="BI48" s="202" t="n"/>
      <c r="BJ48" s="202" t="n"/>
      <c r="BK48" s="202" t="n"/>
      <c r="BL48" s="202" t="n"/>
      <c r="BM48" s="202" t="n"/>
      <c r="BN48" s="202" t="n"/>
      <c r="BO48" s="202" t="n"/>
      <c r="BP48" s="202" t="n"/>
      <c r="BQ48" s="202" t="n"/>
      <c r="BR48" s="202" t="n"/>
    </row>
    <row r="49">
      <c r="A49" s="202" t="n"/>
      <c r="B49" s="202" t="n"/>
      <c r="C49" s="202" t="n"/>
      <c r="D49" s="202" t="n"/>
      <c r="E49" s="202" t="n"/>
      <c r="F49" s="202" t="n"/>
      <c r="G49" s="202" t="n"/>
      <c r="H49" s="202" t="n"/>
      <c r="I49" s="202" t="n"/>
      <c r="J49" s="202" t="n"/>
      <c r="K49" s="202" t="n"/>
      <c r="L49" s="202" t="n"/>
      <c r="M49" s="202" t="n"/>
      <c r="N49" s="202" t="n"/>
      <c r="O49" s="202" t="n"/>
      <c r="P49" s="202" t="n"/>
      <c r="Q49" s="202" t="n"/>
      <c r="R49" s="202" t="n"/>
      <c r="S49" s="202" t="n"/>
      <c r="T49" s="202" t="n"/>
      <c r="U49" s="202" t="n"/>
      <c r="V49" s="202" t="n"/>
      <c r="W49" s="202" t="n"/>
      <c r="X49" s="202" t="n"/>
      <c r="Y49" s="202" t="n"/>
      <c r="Z49" s="202" t="n"/>
      <c r="AA49" s="202" t="n"/>
      <c r="AB49" s="202" t="n"/>
      <c r="AC49" s="202" t="n"/>
      <c r="AD49" s="202" t="n"/>
      <c r="AE49" s="202" t="n"/>
      <c r="AF49" s="202" t="n"/>
      <c r="AG49" s="202" t="n"/>
      <c r="AH49" s="202" t="n"/>
      <c r="AI49" s="202" t="n"/>
      <c r="AJ49" s="202" t="n"/>
      <c r="AK49" s="202" t="n"/>
      <c r="AL49" s="202" t="n"/>
      <c r="AM49" s="202" t="n"/>
      <c r="AN49" s="202" t="n"/>
      <c r="AO49" s="202" t="n"/>
      <c r="AP49" s="202" t="n"/>
      <c r="AQ49" s="202" t="n"/>
      <c r="AR49" s="202" t="n"/>
      <c r="AS49" s="202" t="n"/>
      <c r="AT49" s="202" t="n"/>
      <c r="AU49" s="202" t="n"/>
      <c r="AV49" s="202" t="n"/>
      <c r="AW49" s="202" t="n"/>
      <c r="AX49" s="202" t="n"/>
      <c r="AY49" s="202" t="n"/>
      <c r="AZ49" s="202" t="n"/>
      <c r="BA49" s="202" t="n"/>
      <c r="BB49" s="202" t="n"/>
      <c r="BC49" s="202" t="n"/>
      <c r="BD49" s="202" t="n"/>
      <c r="BE49" s="202" t="n"/>
      <c r="BF49" s="202" t="n"/>
      <c r="BG49" s="202" t="n"/>
      <c r="BH49" s="202" t="n"/>
      <c r="BI49" s="202" t="n"/>
      <c r="BJ49" s="202" t="n"/>
      <c r="BK49" s="202" t="n"/>
      <c r="BL49" s="202" t="n"/>
      <c r="BM49" s="202" t="n"/>
      <c r="BN49" s="202" t="n"/>
      <c r="BO49" s="202" t="n"/>
      <c r="BP49" s="202" t="n"/>
      <c r="BQ49" s="202" t="n"/>
      <c r="BR49" s="202" t="n"/>
    </row>
    <row r="50">
      <c r="A50" s="202" t="n"/>
      <c r="B50" s="202" t="n"/>
      <c r="C50" s="202" t="n"/>
      <c r="D50" s="202" t="n"/>
      <c r="E50" s="202" t="n"/>
      <c r="F50" s="202" t="n"/>
      <c r="G50" s="202" t="n"/>
      <c r="H50" s="202" t="n"/>
      <c r="I50" s="202" t="n"/>
      <c r="J50" s="202" t="n"/>
      <c r="K50" s="202" t="n"/>
      <c r="L50" s="202" t="n"/>
      <c r="M50" s="202" t="n"/>
      <c r="N50" s="202" t="n"/>
      <c r="O50" s="202" t="n"/>
      <c r="P50" s="202" t="n"/>
      <c r="Q50" s="202" t="n"/>
      <c r="R50" s="202" t="n"/>
      <c r="S50" s="202" t="n"/>
      <c r="T50" s="202" t="n"/>
      <c r="U50" s="202" t="n"/>
      <c r="V50" s="202" t="n"/>
      <c r="W50" s="202" t="n"/>
      <c r="X50" s="202" t="n"/>
      <c r="Y50" s="202" t="n"/>
      <c r="Z50" s="202" t="n"/>
      <c r="AA50" s="202" t="n"/>
      <c r="AB50" s="202" t="n"/>
      <c r="AC50" s="202" t="n"/>
      <c r="AD50" s="202" t="n"/>
      <c r="AE50" s="202" t="n"/>
      <c r="AF50" s="202" t="n"/>
      <c r="AG50" s="202" t="n"/>
      <c r="AH50" s="202" t="n"/>
      <c r="AI50" s="202" t="n"/>
      <c r="AJ50" s="202" t="n"/>
      <c r="AK50" s="202" t="n"/>
      <c r="AL50" s="202" t="n"/>
      <c r="AM50" s="202" t="n"/>
      <c r="AN50" s="202" t="n"/>
      <c r="AO50" s="202" t="n"/>
      <c r="AP50" s="202" t="n"/>
      <c r="AQ50" s="202" t="n"/>
      <c r="AR50" s="202" t="n"/>
      <c r="AS50" s="202" t="n"/>
      <c r="AT50" s="202" t="n"/>
      <c r="AU50" s="202" t="n"/>
      <c r="AV50" s="202" t="n"/>
      <c r="AW50" s="202" t="n"/>
      <c r="AX50" s="202" t="n"/>
      <c r="AY50" s="202" t="n"/>
      <c r="AZ50" s="202" t="n"/>
      <c r="BA50" s="202" t="n"/>
      <c r="BB50" s="202" t="n"/>
      <c r="BC50" s="202" t="n"/>
      <c r="BD50" s="202" t="n"/>
      <c r="BE50" s="202" t="n"/>
      <c r="BF50" s="202" t="n"/>
      <c r="BG50" s="202" t="n"/>
      <c r="BH50" s="202" t="n"/>
      <c r="BI50" s="202" t="n"/>
      <c r="BJ50" s="202" t="n"/>
      <c r="BK50" s="202" t="n"/>
      <c r="BL50" s="202" t="n"/>
      <c r="BM50" s="202" t="n"/>
      <c r="BN50" s="202" t="n"/>
      <c r="BO50" s="202" t="n"/>
      <c r="BP50" s="202" t="n"/>
      <c r="BQ50" s="202" t="n"/>
      <c r="BR50" s="202" t="n"/>
    </row>
    <row r="51">
      <c r="A51" s="202" t="n"/>
      <c r="B51" s="202" t="n"/>
      <c r="C51" s="202" t="n"/>
      <c r="D51" s="202" t="n"/>
      <c r="E51" s="20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2" t="n"/>
      <c r="Y51" s="202" t="n"/>
      <c r="Z51" s="202" t="n"/>
      <c r="AA51" s="202" t="n"/>
      <c r="AB51" s="202" t="n"/>
      <c r="AC51" s="202" t="n"/>
      <c r="AD51" s="202" t="n"/>
      <c r="AE51" s="202" t="n"/>
      <c r="AF51" s="202" t="n"/>
      <c r="AG51" s="202" t="n"/>
      <c r="AH51" s="202" t="n"/>
      <c r="AI51" s="202" t="n"/>
      <c r="AJ51" s="202" t="n"/>
      <c r="AK51" s="202" t="n"/>
      <c r="AL51" s="202" t="n"/>
      <c r="AM51" s="202" t="n"/>
      <c r="AN51" s="202" t="n"/>
      <c r="AO51" s="202" t="n"/>
      <c r="AP51" s="202" t="n"/>
      <c r="AQ51" s="202" t="n"/>
      <c r="AR51" s="202" t="n"/>
      <c r="AS51" s="202" t="n"/>
      <c r="AT51" s="202" t="n"/>
      <c r="AU51" s="202" t="n"/>
      <c r="AV51" s="202" t="n"/>
      <c r="AW51" s="202" t="n"/>
      <c r="AX51" s="202" t="n"/>
      <c r="AY51" s="202" t="n"/>
      <c r="AZ51" s="202" t="n"/>
      <c r="BA51" s="202" t="n"/>
      <c r="BB51" s="202" t="n"/>
      <c r="BC51" s="202" t="n"/>
      <c r="BD51" s="202" t="n"/>
      <c r="BE51" s="202" t="n"/>
      <c r="BF51" s="202" t="n"/>
      <c r="BG51" s="202" t="n"/>
      <c r="BH51" s="202" t="n"/>
      <c r="BI51" s="202" t="n"/>
      <c r="BJ51" s="202" t="n"/>
      <c r="BK51" s="202" t="n"/>
      <c r="BL51" s="202" t="n"/>
      <c r="BM51" s="202" t="n"/>
      <c r="BN51" s="202" t="n"/>
      <c r="BO51" s="202" t="n"/>
      <c r="BP51" s="202" t="n"/>
      <c r="BQ51" s="202" t="n"/>
      <c r="BR51" s="202" t="n"/>
    </row>
    <row r="52">
      <c r="A52" s="202" t="n"/>
      <c r="B52" s="202" t="n"/>
      <c r="C52" s="202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2" t="n"/>
      <c r="Y52" s="202" t="n"/>
      <c r="Z52" s="202" t="n"/>
      <c r="AA52" s="202" t="n"/>
      <c r="AB52" s="202" t="n"/>
      <c r="AC52" s="202" t="n"/>
      <c r="AD52" s="202" t="n"/>
      <c r="AE52" s="202" t="n"/>
      <c r="AF52" s="202" t="n"/>
      <c r="AG52" s="202" t="n"/>
      <c r="AH52" s="202" t="n"/>
      <c r="AI52" s="202" t="n"/>
      <c r="AJ52" s="202" t="n"/>
      <c r="AK52" s="202" t="n"/>
      <c r="AL52" s="202" t="n"/>
      <c r="AM52" s="202" t="n"/>
      <c r="AN52" s="202" t="n"/>
      <c r="AO52" s="202" t="n"/>
      <c r="AP52" s="202" t="n"/>
      <c r="AQ52" s="202" t="n"/>
      <c r="AR52" s="202" t="n"/>
      <c r="AS52" s="202" t="n"/>
      <c r="AT52" s="202" t="n"/>
      <c r="AU52" s="202" t="n"/>
      <c r="AV52" s="202" t="n"/>
      <c r="AW52" s="202" t="n"/>
      <c r="AX52" s="202" t="n"/>
      <c r="AY52" s="202" t="n"/>
      <c r="AZ52" s="202" t="n"/>
      <c r="BA52" s="202" t="n"/>
      <c r="BB52" s="202" t="n"/>
      <c r="BC52" s="202" t="n"/>
      <c r="BD52" s="202" t="n"/>
      <c r="BE52" s="202" t="n"/>
      <c r="BF52" s="202" t="n"/>
      <c r="BG52" s="202" t="n"/>
      <c r="BH52" s="202" t="n"/>
      <c r="BI52" s="202" t="n"/>
      <c r="BJ52" s="202" t="n"/>
      <c r="BK52" s="202" t="n"/>
      <c r="BL52" s="202" t="n"/>
      <c r="BM52" s="202" t="n"/>
      <c r="BN52" s="202" t="n"/>
      <c r="BO52" s="202" t="n"/>
      <c r="BP52" s="202" t="n"/>
      <c r="BQ52" s="202" t="n"/>
      <c r="BR52" s="202" t="n"/>
    </row>
    <row r="53">
      <c r="A53" s="202" t="n"/>
      <c r="B53" s="202" t="n"/>
      <c r="C53" s="202" t="n"/>
      <c r="D53" s="202" t="n"/>
      <c r="E53" s="202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2" t="n"/>
      <c r="Y53" s="202" t="n"/>
      <c r="Z53" s="202" t="n"/>
      <c r="AA53" s="202" t="n"/>
      <c r="AB53" s="202" t="n"/>
      <c r="AC53" s="202" t="n"/>
      <c r="AD53" s="202" t="n"/>
      <c r="AE53" s="202" t="n"/>
      <c r="AF53" s="202" t="n"/>
      <c r="AG53" s="202" t="n"/>
      <c r="AH53" s="202" t="n"/>
      <c r="AI53" s="202" t="n"/>
      <c r="AJ53" s="202" t="n"/>
      <c r="AK53" s="202" t="n"/>
      <c r="AL53" s="202" t="n"/>
      <c r="AM53" s="202" t="n"/>
      <c r="AN53" s="202" t="n"/>
      <c r="AO53" s="202" t="n"/>
      <c r="AP53" s="202" t="n"/>
      <c r="AQ53" s="202" t="n"/>
      <c r="AR53" s="202" t="n"/>
      <c r="AS53" s="202" t="n"/>
      <c r="AT53" s="202" t="n"/>
      <c r="AU53" s="202" t="n"/>
      <c r="AV53" s="202" t="n"/>
      <c r="AW53" s="202" t="n"/>
      <c r="AX53" s="202" t="n"/>
      <c r="AY53" s="202" t="n"/>
      <c r="AZ53" s="202" t="n"/>
      <c r="BA53" s="202" t="n"/>
      <c r="BB53" s="202" t="n"/>
      <c r="BC53" s="202" t="n"/>
      <c r="BD53" s="202" t="n"/>
      <c r="BE53" s="202" t="n"/>
      <c r="BF53" s="202" t="n"/>
      <c r="BG53" s="202" t="n"/>
      <c r="BH53" s="202" t="n"/>
      <c r="BI53" s="202" t="n"/>
      <c r="BJ53" s="202" t="n"/>
      <c r="BK53" s="202" t="n"/>
      <c r="BL53" s="202" t="n"/>
      <c r="BM53" s="202" t="n"/>
      <c r="BN53" s="202" t="n"/>
      <c r="BO53" s="202" t="n"/>
      <c r="BP53" s="202" t="n"/>
      <c r="BQ53" s="202" t="n"/>
      <c r="BR53" s="202" t="n"/>
    </row>
    <row r="54">
      <c r="A54" s="202" t="n"/>
      <c r="B54" s="202" t="n"/>
      <c r="C54" s="202" t="n"/>
      <c r="D54" s="202" t="n"/>
      <c r="E54" s="202" t="n"/>
      <c r="F54" s="202" t="n"/>
      <c r="G54" s="202" t="n"/>
      <c r="H54" s="202" t="n"/>
      <c r="I54" s="202" t="n"/>
      <c r="J54" s="202" t="n"/>
      <c r="K54" s="202" t="n"/>
      <c r="L54" s="202" t="n"/>
      <c r="M54" s="202" t="n"/>
      <c r="N54" s="202" t="n"/>
      <c r="O54" s="202" t="n"/>
      <c r="P54" s="202" t="n"/>
      <c r="Q54" s="202" t="n"/>
      <c r="R54" s="202" t="n"/>
      <c r="S54" s="202" t="n"/>
      <c r="T54" s="202" t="n"/>
      <c r="U54" s="202" t="n"/>
      <c r="V54" s="202" t="n"/>
      <c r="W54" s="202" t="n"/>
      <c r="X54" s="202" t="n"/>
      <c r="Y54" s="202" t="n"/>
      <c r="Z54" s="202" t="n"/>
      <c r="AA54" s="202" t="n"/>
      <c r="AB54" s="202" t="n"/>
      <c r="AC54" s="202" t="n"/>
      <c r="AD54" s="202" t="n"/>
      <c r="AE54" s="202" t="n"/>
      <c r="AF54" s="202" t="n"/>
      <c r="AG54" s="202" t="n"/>
      <c r="AH54" s="202" t="n"/>
      <c r="AI54" s="202" t="n"/>
      <c r="AJ54" s="202" t="n"/>
      <c r="AK54" s="202" t="n"/>
      <c r="AL54" s="202" t="n"/>
      <c r="AM54" s="202" t="n"/>
      <c r="AN54" s="202" t="n"/>
      <c r="AO54" s="202" t="n"/>
      <c r="AP54" s="202" t="n"/>
      <c r="AQ54" s="202" t="n"/>
      <c r="AR54" s="202" t="n"/>
      <c r="AS54" s="202" t="n"/>
      <c r="AT54" s="202" t="n"/>
      <c r="AU54" s="202" t="n"/>
      <c r="AV54" s="202" t="n"/>
      <c r="AW54" s="202" t="n"/>
      <c r="AX54" s="202" t="n"/>
      <c r="AY54" s="202" t="n"/>
      <c r="AZ54" s="202" t="n"/>
      <c r="BA54" s="202" t="n"/>
      <c r="BB54" s="202" t="n"/>
      <c r="BC54" s="202" t="n"/>
      <c r="BD54" s="202" t="n"/>
      <c r="BE54" s="202" t="n"/>
      <c r="BF54" s="202" t="n"/>
      <c r="BG54" s="202" t="n"/>
      <c r="BH54" s="202" t="n"/>
      <c r="BI54" s="202" t="n"/>
      <c r="BJ54" s="202" t="n"/>
      <c r="BK54" s="202" t="n"/>
      <c r="BL54" s="202" t="n"/>
      <c r="BM54" s="202" t="n"/>
      <c r="BN54" s="202" t="n"/>
      <c r="BO54" s="202" t="n"/>
      <c r="BP54" s="202" t="n"/>
      <c r="BQ54" s="202" t="n"/>
      <c r="BR54" s="202" t="n"/>
    </row>
    <row r="55">
      <c r="A55" s="202" t="n"/>
      <c r="B55" s="202" t="n"/>
      <c r="C55" s="202" t="n"/>
      <c r="D55" s="202" t="n"/>
      <c r="E55" s="202" t="n"/>
      <c r="F55" s="202" t="n"/>
      <c r="G55" s="202" t="n"/>
      <c r="H55" s="202" t="n"/>
      <c r="I55" s="202" t="n"/>
      <c r="J55" s="202" t="n"/>
      <c r="K55" s="202" t="n"/>
      <c r="L55" s="202" t="n"/>
      <c r="M55" s="202" t="n"/>
      <c r="N55" s="202" t="n"/>
      <c r="O55" s="202" t="n"/>
      <c r="P55" s="202" t="n"/>
      <c r="Q55" s="202" t="n"/>
      <c r="R55" s="202" t="n"/>
      <c r="S55" s="202" t="n"/>
      <c r="T55" s="202" t="n"/>
      <c r="U55" s="202" t="n"/>
      <c r="V55" s="202" t="n"/>
      <c r="W55" s="202" t="n"/>
      <c r="X55" s="202" t="n"/>
      <c r="Y55" s="202" t="n"/>
      <c r="Z55" s="202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  <c r="AK55" s="202" t="n"/>
      <c r="AL55" s="202" t="n"/>
      <c r="AM55" s="202" t="n"/>
      <c r="AN55" s="202" t="n"/>
      <c r="AO55" s="202" t="n"/>
      <c r="AP55" s="202" t="n"/>
      <c r="AQ55" s="202" t="n"/>
      <c r="AR55" s="202" t="n"/>
      <c r="AS55" s="202" t="n"/>
      <c r="AT55" s="202" t="n"/>
      <c r="AU55" s="202" t="n"/>
      <c r="AV55" s="202" t="n"/>
      <c r="AW55" s="202" t="n"/>
      <c r="AX55" s="202" t="n"/>
      <c r="AY55" s="202" t="n"/>
      <c r="AZ55" s="202" t="n"/>
      <c r="BA55" s="202" t="n"/>
      <c r="BB55" s="202" t="n"/>
      <c r="BC55" s="202" t="n"/>
      <c r="BD55" s="202" t="n"/>
      <c r="BE55" s="202" t="n"/>
      <c r="BF55" s="202" t="n"/>
      <c r="BG55" s="202" t="n"/>
      <c r="BH55" s="202" t="n"/>
      <c r="BI55" s="202" t="n"/>
      <c r="BJ55" s="202" t="n"/>
      <c r="BK55" s="202" t="n"/>
      <c r="BL55" s="202" t="n"/>
      <c r="BM55" s="202" t="n"/>
      <c r="BN55" s="202" t="n"/>
      <c r="BO55" s="202" t="n"/>
      <c r="BP55" s="202" t="n"/>
      <c r="BQ55" s="202" t="n"/>
      <c r="BR55" s="202" t="n"/>
    </row>
    <row r="56">
      <c r="A56" s="202" t="n"/>
      <c r="B56" s="202" t="n"/>
      <c r="C56" s="202" t="n"/>
      <c r="D56" s="202" t="n"/>
      <c r="E56" s="202" t="n"/>
      <c r="F56" s="202" t="n"/>
      <c r="G56" s="202" t="n"/>
      <c r="H56" s="202" t="n"/>
      <c r="I56" s="202" t="n"/>
      <c r="J56" s="202" t="n"/>
      <c r="K56" s="202" t="n"/>
      <c r="L56" s="202" t="n"/>
      <c r="M56" s="202" t="n"/>
      <c r="N56" s="202" t="n"/>
      <c r="O56" s="202" t="n"/>
      <c r="P56" s="202" t="n"/>
      <c r="Q56" s="202" t="n"/>
      <c r="R56" s="202" t="n"/>
      <c r="S56" s="202" t="n"/>
      <c r="T56" s="202" t="n"/>
      <c r="U56" s="202" t="n"/>
      <c r="V56" s="202" t="n"/>
      <c r="W56" s="202" t="n"/>
      <c r="X56" s="202" t="n"/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  <c r="AK56" s="202" t="n"/>
      <c r="AL56" s="202" t="n"/>
      <c r="AM56" s="202" t="n"/>
      <c r="AN56" s="202" t="n"/>
      <c r="AO56" s="202" t="n"/>
      <c r="AP56" s="202" t="n"/>
      <c r="AQ56" s="202" t="n"/>
      <c r="AR56" s="202" t="n"/>
      <c r="AS56" s="202" t="n"/>
      <c r="AT56" s="202" t="n"/>
      <c r="AU56" s="202" t="n"/>
      <c r="AV56" s="202" t="n"/>
      <c r="AW56" s="202" t="n"/>
      <c r="AX56" s="202" t="n"/>
      <c r="AY56" s="202" t="n"/>
      <c r="AZ56" s="202" t="n"/>
      <c r="BA56" s="202" t="n"/>
      <c r="BB56" s="202" t="n"/>
      <c r="BC56" s="202" t="n"/>
      <c r="BD56" s="202" t="n"/>
      <c r="BE56" s="202" t="n"/>
      <c r="BF56" s="202" t="n"/>
      <c r="BG56" s="202" t="n"/>
      <c r="BH56" s="202" t="n"/>
      <c r="BI56" s="202" t="n"/>
      <c r="BJ56" s="202" t="n"/>
      <c r="BK56" s="202" t="n"/>
      <c r="BL56" s="202" t="n"/>
      <c r="BM56" s="202" t="n"/>
      <c r="BN56" s="202" t="n"/>
      <c r="BO56" s="202" t="n"/>
      <c r="BP56" s="202" t="n"/>
      <c r="BQ56" s="202" t="n"/>
      <c r="BR56" s="202" t="n"/>
    </row>
    <row r="57">
      <c r="A57" s="202" t="n"/>
      <c r="B57" s="202" t="n"/>
      <c r="C57" s="202" t="n"/>
      <c r="D57" s="202" t="n"/>
      <c r="E57" s="202" t="n"/>
      <c r="F57" s="202" t="n"/>
      <c r="G57" s="202" t="n"/>
      <c r="H57" s="202" t="n"/>
      <c r="I57" s="202" t="n"/>
      <c r="J57" s="202" t="n"/>
      <c r="K57" s="202" t="n"/>
      <c r="L57" s="202" t="n"/>
      <c r="M57" s="202" t="n"/>
      <c r="N57" s="202" t="n"/>
      <c r="O57" s="202" t="n"/>
      <c r="P57" s="202" t="n"/>
      <c r="Q57" s="202" t="n"/>
      <c r="R57" s="202" t="n"/>
      <c r="S57" s="202" t="n"/>
      <c r="T57" s="202" t="n"/>
      <c r="U57" s="202" t="n"/>
      <c r="V57" s="202" t="n"/>
      <c r="W57" s="202" t="n"/>
      <c r="X57" s="202" t="n"/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  <c r="AK57" s="202" t="n"/>
      <c r="AL57" s="202" t="n"/>
      <c r="AM57" s="202" t="n"/>
      <c r="AN57" s="202" t="n"/>
      <c r="AO57" s="202" t="n"/>
      <c r="AP57" s="202" t="n"/>
      <c r="AQ57" s="202" t="n"/>
      <c r="AR57" s="202" t="n"/>
      <c r="AS57" s="202" t="n"/>
      <c r="AT57" s="202" t="n"/>
      <c r="AU57" s="202" t="n"/>
      <c r="AV57" s="202" t="n"/>
      <c r="AW57" s="202" t="n"/>
      <c r="AX57" s="202" t="n"/>
      <c r="AY57" s="202" t="n"/>
      <c r="AZ57" s="202" t="n"/>
      <c r="BA57" s="202" t="n"/>
      <c r="BB57" s="202" t="n"/>
      <c r="BC57" s="202" t="n"/>
      <c r="BD57" s="202" t="n"/>
      <c r="BE57" s="202" t="n"/>
      <c r="BF57" s="202" t="n"/>
      <c r="BG57" s="202" t="n"/>
      <c r="BH57" s="202" t="n"/>
      <c r="BI57" s="202" t="n"/>
      <c r="BJ57" s="202" t="n"/>
      <c r="BK57" s="202" t="n"/>
      <c r="BL57" s="202" t="n"/>
      <c r="BM57" s="202" t="n"/>
      <c r="BN57" s="202" t="n"/>
      <c r="BO57" s="202" t="n"/>
      <c r="BP57" s="202" t="n"/>
      <c r="BQ57" s="202" t="n"/>
      <c r="BR57" s="202" t="n"/>
    </row>
    <row r="58">
      <c r="A58" s="202" t="n"/>
      <c r="B58" s="202" t="n"/>
      <c r="C58" s="202" t="n"/>
      <c r="D58" s="202" t="n"/>
      <c r="E58" s="202" t="n"/>
      <c r="F58" s="202" t="n"/>
      <c r="G58" s="202" t="n"/>
      <c r="H58" s="202" t="n"/>
      <c r="I58" s="202" t="n"/>
      <c r="J58" s="202" t="n"/>
      <c r="K58" s="202" t="n"/>
      <c r="L58" s="202" t="n"/>
      <c r="M58" s="202" t="n"/>
      <c r="N58" s="202" t="n"/>
      <c r="O58" s="202" t="n"/>
      <c r="P58" s="202" t="n"/>
      <c r="Q58" s="202" t="n"/>
      <c r="R58" s="202" t="n"/>
      <c r="S58" s="202" t="n"/>
      <c r="T58" s="202" t="n"/>
      <c r="U58" s="202" t="n"/>
      <c r="V58" s="202" t="n"/>
      <c r="W58" s="202" t="n"/>
      <c r="X58" s="202" t="n"/>
      <c r="Y58" s="202" t="n"/>
      <c r="Z58" s="202" t="n"/>
      <c r="AA58" s="202" t="n"/>
      <c r="AB58" s="202" t="n"/>
      <c r="AC58" s="202" t="n"/>
      <c r="AD58" s="202" t="n"/>
      <c r="AE58" s="202" t="n"/>
      <c r="AF58" s="202" t="n"/>
      <c r="AG58" s="202" t="n"/>
      <c r="AH58" s="202" t="n"/>
      <c r="AI58" s="202" t="n"/>
      <c r="AJ58" s="202" t="n"/>
      <c r="AK58" s="202" t="n"/>
      <c r="AL58" s="202" t="n"/>
      <c r="AM58" s="202" t="n"/>
      <c r="AN58" s="202" t="n"/>
      <c r="AO58" s="202" t="n"/>
      <c r="AP58" s="202" t="n"/>
      <c r="AQ58" s="202" t="n"/>
      <c r="AR58" s="202" t="n"/>
      <c r="AS58" s="202" t="n"/>
      <c r="AT58" s="202" t="n"/>
      <c r="AU58" s="202" t="n"/>
      <c r="AV58" s="202" t="n"/>
      <c r="AW58" s="202" t="n"/>
      <c r="AX58" s="202" t="n"/>
      <c r="AY58" s="202" t="n"/>
      <c r="AZ58" s="202" t="n"/>
      <c r="BA58" s="202" t="n"/>
      <c r="BB58" s="202" t="n"/>
      <c r="BC58" s="202" t="n"/>
      <c r="BD58" s="202" t="n"/>
      <c r="BE58" s="202" t="n"/>
      <c r="BF58" s="202" t="n"/>
      <c r="BG58" s="202" t="n"/>
      <c r="BH58" s="202" t="n"/>
      <c r="BI58" s="202" t="n"/>
      <c r="BJ58" s="202" t="n"/>
      <c r="BK58" s="202" t="n"/>
      <c r="BL58" s="202" t="n"/>
      <c r="BM58" s="202" t="n"/>
      <c r="BN58" s="202" t="n"/>
      <c r="BO58" s="202" t="n"/>
      <c r="BP58" s="202" t="n"/>
      <c r="BQ58" s="202" t="n"/>
      <c r="BR58" s="202" t="n"/>
    </row>
    <row r="59">
      <c r="A59" s="202" t="n"/>
      <c r="B59" s="202" t="n"/>
      <c r="C59" s="202" t="n"/>
      <c r="D59" s="202" t="n"/>
      <c r="E59" s="202" t="n"/>
      <c r="F59" s="202" t="n"/>
      <c r="G59" s="202" t="n"/>
      <c r="H59" s="202" t="n"/>
      <c r="I59" s="202" t="n"/>
      <c r="J59" s="202" t="n"/>
      <c r="K59" s="202" t="n"/>
      <c r="L59" s="202" t="n"/>
      <c r="M59" s="202" t="n"/>
      <c r="N59" s="202" t="n"/>
      <c r="O59" s="202" t="n"/>
      <c r="P59" s="202" t="n"/>
      <c r="Q59" s="202" t="n"/>
      <c r="R59" s="202" t="n"/>
      <c r="S59" s="202" t="n"/>
      <c r="T59" s="202" t="n"/>
      <c r="U59" s="202" t="n"/>
      <c r="V59" s="202" t="n"/>
      <c r="W59" s="202" t="n"/>
      <c r="X59" s="202" t="n"/>
      <c r="Y59" s="202" t="n"/>
      <c r="Z59" s="202" t="n"/>
      <c r="AA59" s="202" t="n"/>
      <c r="AB59" s="202" t="n"/>
      <c r="AC59" s="202" t="n"/>
      <c r="AD59" s="202" t="n"/>
      <c r="AE59" s="202" t="n"/>
      <c r="AF59" s="202" t="n"/>
      <c r="AG59" s="202" t="n"/>
      <c r="AH59" s="202" t="n"/>
      <c r="AI59" s="202" t="n"/>
      <c r="AJ59" s="202" t="n"/>
      <c r="AK59" s="202" t="n"/>
      <c r="AL59" s="202" t="n"/>
      <c r="AM59" s="202" t="n"/>
      <c r="AN59" s="202" t="n"/>
      <c r="AO59" s="202" t="n"/>
      <c r="AP59" s="202" t="n"/>
      <c r="AQ59" s="202" t="n"/>
      <c r="AR59" s="202" t="n"/>
      <c r="AS59" s="202" t="n"/>
      <c r="AT59" s="202" t="n"/>
      <c r="AU59" s="202" t="n"/>
      <c r="AV59" s="202" t="n"/>
      <c r="AW59" s="202" t="n"/>
      <c r="AX59" s="202" t="n"/>
      <c r="AY59" s="202" t="n"/>
      <c r="AZ59" s="202" t="n"/>
      <c r="BA59" s="202" t="n"/>
      <c r="BB59" s="202" t="n"/>
      <c r="BC59" s="202" t="n"/>
      <c r="BD59" s="202" t="n"/>
      <c r="BE59" s="202" t="n"/>
      <c r="BF59" s="202" t="n"/>
      <c r="BG59" s="202" t="n"/>
      <c r="BH59" s="202" t="n"/>
      <c r="BI59" s="202" t="n"/>
      <c r="BJ59" s="202" t="n"/>
      <c r="BK59" s="202" t="n"/>
      <c r="BL59" s="202" t="n"/>
      <c r="BM59" s="202" t="n"/>
      <c r="BN59" s="202" t="n"/>
      <c r="BO59" s="202" t="n"/>
      <c r="BP59" s="202" t="n"/>
      <c r="BQ59" s="202" t="n"/>
      <c r="BR59" s="202" t="n"/>
    </row>
    <row r="60">
      <c r="A60" s="202" t="n"/>
      <c r="B60" s="202" t="n"/>
      <c r="C60" s="202" t="n"/>
      <c r="D60" s="202" t="n"/>
      <c r="E60" s="202" t="n"/>
      <c r="F60" s="202" t="n"/>
      <c r="G60" s="202" t="n"/>
      <c r="H60" s="202" t="n"/>
      <c r="I60" s="202" t="n"/>
      <c r="J60" s="202" t="n"/>
      <c r="K60" s="202" t="n"/>
      <c r="L60" s="202" t="n"/>
      <c r="M60" s="202" t="n"/>
      <c r="N60" s="202" t="n"/>
      <c r="O60" s="202" t="n"/>
      <c r="P60" s="202" t="n"/>
      <c r="Q60" s="202" t="n"/>
      <c r="R60" s="202" t="n"/>
      <c r="S60" s="202" t="n"/>
      <c r="T60" s="202" t="n"/>
      <c r="U60" s="202" t="n"/>
      <c r="V60" s="202" t="n"/>
      <c r="W60" s="202" t="n"/>
      <c r="X60" s="202" t="n"/>
      <c r="Y60" s="202" t="n"/>
      <c r="Z60" s="202" t="n"/>
      <c r="AA60" s="202" t="n"/>
      <c r="AB60" s="202" t="n"/>
      <c r="AC60" s="202" t="n"/>
      <c r="AD60" s="202" t="n"/>
      <c r="AE60" s="202" t="n"/>
      <c r="AF60" s="202" t="n"/>
      <c r="AG60" s="202" t="n"/>
      <c r="AH60" s="202" t="n"/>
      <c r="AI60" s="202" t="n"/>
      <c r="AJ60" s="202" t="n"/>
      <c r="AK60" s="202" t="n"/>
      <c r="AL60" s="202" t="n"/>
      <c r="AM60" s="202" t="n"/>
      <c r="AN60" s="202" t="n"/>
      <c r="AO60" s="202" t="n"/>
      <c r="AP60" s="202" t="n"/>
      <c r="AQ60" s="202" t="n"/>
      <c r="AR60" s="202" t="n"/>
      <c r="AS60" s="202" t="n"/>
      <c r="AT60" s="202" t="n"/>
      <c r="AU60" s="202" t="n"/>
      <c r="AV60" s="202" t="n"/>
      <c r="AW60" s="202" t="n"/>
      <c r="AX60" s="202" t="n"/>
      <c r="AY60" s="202" t="n"/>
      <c r="AZ60" s="202" t="n"/>
      <c r="BA60" s="202" t="n"/>
      <c r="BB60" s="202" t="n"/>
      <c r="BC60" s="202" t="n"/>
      <c r="BD60" s="202" t="n"/>
      <c r="BE60" s="202" t="n"/>
      <c r="BF60" s="202" t="n"/>
      <c r="BG60" s="202" t="n"/>
      <c r="BH60" s="202" t="n"/>
      <c r="BI60" s="202" t="n"/>
      <c r="BJ60" s="202" t="n"/>
      <c r="BK60" s="202" t="n"/>
      <c r="BL60" s="202" t="n"/>
      <c r="BM60" s="202" t="n"/>
      <c r="BN60" s="202" t="n"/>
      <c r="BO60" s="202" t="n"/>
      <c r="BP60" s="202" t="n"/>
      <c r="BQ60" s="202" t="n"/>
      <c r="BR60" s="202" t="n"/>
    </row>
    <row r="61">
      <c r="A61" s="202" t="n"/>
      <c r="B61" s="202" t="n"/>
      <c r="C61" s="202" t="n"/>
      <c r="D61" s="202" t="n"/>
      <c r="E61" s="202" t="n"/>
      <c r="F61" s="202" t="n"/>
      <c r="G61" s="202" t="n"/>
      <c r="H61" s="202" t="n"/>
      <c r="I61" s="202" t="n"/>
      <c r="J61" s="202" t="n"/>
      <c r="K61" s="202" t="n"/>
      <c r="L61" s="202" t="n"/>
      <c r="M61" s="202" t="n"/>
      <c r="N61" s="202" t="n"/>
      <c r="O61" s="202" t="n"/>
      <c r="P61" s="202" t="n"/>
      <c r="Q61" s="202" t="n"/>
      <c r="R61" s="202" t="n"/>
      <c r="S61" s="202" t="n"/>
      <c r="T61" s="202" t="n"/>
      <c r="U61" s="202" t="n"/>
      <c r="V61" s="202" t="n"/>
      <c r="W61" s="202" t="n"/>
      <c r="X61" s="202" t="n"/>
      <c r="Y61" s="202" t="n"/>
      <c r="Z61" s="202" t="n"/>
      <c r="AA61" s="202" t="n"/>
      <c r="AB61" s="202" t="n"/>
      <c r="AC61" s="202" t="n"/>
      <c r="AD61" s="202" t="n"/>
      <c r="AE61" s="202" t="n"/>
      <c r="AF61" s="202" t="n"/>
      <c r="AG61" s="202" t="n"/>
      <c r="AH61" s="202" t="n"/>
      <c r="AI61" s="202" t="n"/>
      <c r="AJ61" s="202" t="n"/>
      <c r="AK61" s="202" t="n"/>
      <c r="AL61" s="202" t="n"/>
      <c r="AM61" s="202" t="n"/>
      <c r="AN61" s="202" t="n"/>
      <c r="AO61" s="202" t="n"/>
      <c r="AP61" s="202" t="n"/>
      <c r="AQ61" s="202" t="n"/>
      <c r="AR61" s="202" t="n"/>
      <c r="AS61" s="202" t="n"/>
      <c r="AT61" s="202" t="n"/>
      <c r="AU61" s="202" t="n"/>
      <c r="AV61" s="202" t="n"/>
      <c r="AW61" s="202" t="n"/>
      <c r="AX61" s="202" t="n"/>
      <c r="AY61" s="202" t="n"/>
      <c r="AZ61" s="202" t="n"/>
      <c r="BA61" s="202" t="n"/>
      <c r="BB61" s="202" t="n"/>
      <c r="BC61" s="202" t="n"/>
      <c r="BD61" s="202" t="n"/>
      <c r="BE61" s="202" t="n"/>
      <c r="BF61" s="202" t="n"/>
      <c r="BG61" s="202" t="n"/>
      <c r="BH61" s="202" t="n"/>
      <c r="BI61" s="202" t="n"/>
      <c r="BJ61" s="202" t="n"/>
      <c r="BK61" s="202" t="n"/>
      <c r="BL61" s="202" t="n"/>
      <c r="BM61" s="202" t="n"/>
      <c r="BN61" s="202" t="n"/>
      <c r="BO61" s="202" t="n"/>
      <c r="BP61" s="202" t="n"/>
      <c r="BQ61" s="202" t="n"/>
      <c r="BR61" s="202" t="n"/>
    </row>
    <row r="62">
      <c r="A62" s="202" t="n"/>
      <c r="B62" s="202" t="n"/>
      <c r="C62" s="202" t="n"/>
      <c r="D62" s="202" t="n"/>
      <c r="E62" s="202" t="n"/>
      <c r="F62" s="202" t="n"/>
      <c r="G62" s="202" t="n"/>
      <c r="H62" s="202" t="n"/>
      <c r="I62" s="202" t="n"/>
      <c r="J62" s="202" t="n"/>
      <c r="K62" s="202" t="n"/>
      <c r="L62" s="202" t="n"/>
      <c r="M62" s="202" t="n"/>
      <c r="N62" s="202" t="n"/>
      <c r="O62" s="202" t="n"/>
      <c r="P62" s="202" t="n"/>
      <c r="Q62" s="202" t="n"/>
      <c r="R62" s="202" t="n"/>
      <c r="S62" s="202" t="n"/>
      <c r="T62" s="202" t="n"/>
      <c r="U62" s="202" t="n"/>
      <c r="V62" s="202" t="n"/>
      <c r="W62" s="202" t="n"/>
      <c r="X62" s="202" t="n"/>
      <c r="Y62" s="202" t="n"/>
      <c r="Z62" s="202" t="n"/>
      <c r="AA62" s="202" t="n"/>
      <c r="AB62" s="202" t="n"/>
      <c r="AC62" s="202" t="n"/>
      <c r="AD62" s="202" t="n"/>
      <c r="AE62" s="202" t="n"/>
      <c r="AF62" s="202" t="n"/>
      <c r="AG62" s="202" t="n"/>
      <c r="AH62" s="202" t="n"/>
      <c r="AI62" s="202" t="n"/>
      <c r="AJ62" s="202" t="n"/>
      <c r="AK62" s="202" t="n"/>
      <c r="AL62" s="202" t="n"/>
      <c r="AM62" s="202" t="n"/>
      <c r="AN62" s="202" t="n"/>
      <c r="AO62" s="202" t="n"/>
      <c r="AP62" s="202" t="n"/>
      <c r="AQ62" s="202" t="n"/>
      <c r="AR62" s="202" t="n"/>
      <c r="AS62" s="202" t="n"/>
      <c r="AT62" s="202" t="n"/>
      <c r="AU62" s="202" t="n"/>
      <c r="AV62" s="202" t="n"/>
      <c r="AW62" s="202" t="n"/>
      <c r="AX62" s="202" t="n"/>
      <c r="AY62" s="202" t="n"/>
      <c r="AZ62" s="202" t="n"/>
      <c r="BA62" s="202" t="n"/>
      <c r="BB62" s="202" t="n"/>
      <c r="BC62" s="202" t="n"/>
      <c r="BD62" s="202" t="n"/>
      <c r="BE62" s="202" t="n"/>
      <c r="BF62" s="202" t="n"/>
      <c r="BG62" s="202" t="n"/>
      <c r="BH62" s="202" t="n"/>
      <c r="BI62" s="202" t="n"/>
      <c r="BJ62" s="202" t="n"/>
      <c r="BK62" s="202" t="n"/>
      <c r="BL62" s="202" t="n"/>
      <c r="BM62" s="202" t="n"/>
      <c r="BN62" s="202" t="n"/>
      <c r="BO62" s="202" t="n"/>
      <c r="BP62" s="202" t="n"/>
      <c r="BQ62" s="202" t="n"/>
      <c r="BR62" s="202" t="n"/>
    </row>
    <row r="63">
      <c r="A63" s="202" t="n"/>
      <c r="B63" s="202" t="n"/>
      <c r="C63" s="202" t="n"/>
      <c r="D63" s="202" t="n"/>
      <c r="E63" s="202" t="n"/>
      <c r="F63" s="202" t="n"/>
      <c r="G63" s="202" t="n"/>
      <c r="H63" s="202" t="n"/>
      <c r="I63" s="202" t="n"/>
      <c r="J63" s="202" t="n"/>
      <c r="K63" s="202" t="n"/>
      <c r="L63" s="202" t="n"/>
      <c r="M63" s="202" t="n"/>
      <c r="N63" s="202" t="n"/>
      <c r="O63" s="202" t="n"/>
      <c r="P63" s="202" t="n"/>
      <c r="Q63" s="202" t="n"/>
      <c r="R63" s="202" t="n"/>
      <c r="S63" s="202" t="n"/>
      <c r="T63" s="202" t="n"/>
      <c r="U63" s="202" t="n"/>
      <c r="V63" s="202" t="n"/>
      <c r="W63" s="202" t="n"/>
      <c r="X63" s="202" t="n"/>
      <c r="Y63" s="202" t="n"/>
      <c r="Z63" s="202" t="n"/>
      <c r="AA63" s="202" t="n"/>
      <c r="AB63" s="202" t="n"/>
      <c r="AC63" s="202" t="n"/>
      <c r="AD63" s="202" t="n"/>
      <c r="AE63" s="202" t="n"/>
      <c r="AF63" s="202" t="n"/>
      <c r="AG63" s="202" t="n"/>
      <c r="AH63" s="202" t="n"/>
      <c r="AI63" s="202" t="n"/>
      <c r="AJ63" s="202" t="n"/>
      <c r="AK63" s="202" t="n"/>
      <c r="AL63" s="202" t="n"/>
      <c r="AM63" s="202" t="n"/>
      <c r="AN63" s="202" t="n"/>
      <c r="AO63" s="202" t="n"/>
      <c r="AP63" s="202" t="n"/>
      <c r="AQ63" s="202" t="n"/>
      <c r="AR63" s="202" t="n"/>
      <c r="AS63" s="202" t="n"/>
      <c r="AT63" s="202" t="n"/>
      <c r="AU63" s="202" t="n"/>
      <c r="AV63" s="202" t="n"/>
      <c r="AW63" s="202" t="n"/>
      <c r="AX63" s="202" t="n"/>
      <c r="AY63" s="202" t="n"/>
      <c r="AZ63" s="202" t="n"/>
      <c r="BA63" s="202" t="n"/>
      <c r="BB63" s="202" t="n"/>
      <c r="BC63" s="202" t="n"/>
      <c r="BD63" s="202" t="n"/>
      <c r="BE63" s="202" t="n"/>
      <c r="BF63" s="202" t="n"/>
      <c r="BG63" s="202" t="n"/>
      <c r="BH63" s="202" t="n"/>
      <c r="BI63" s="202" t="n"/>
      <c r="BJ63" s="202" t="n"/>
      <c r="BK63" s="202" t="n"/>
      <c r="BL63" s="202" t="n"/>
      <c r="BM63" s="202" t="n"/>
      <c r="BN63" s="202" t="n"/>
      <c r="BO63" s="202" t="n"/>
      <c r="BP63" s="202" t="n"/>
      <c r="BQ63" s="202" t="n"/>
      <c r="BR63" s="202" t="n"/>
    </row>
    <row r="64">
      <c r="A64" s="202" t="n"/>
      <c r="B64" s="202" t="n"/>
      <c r="C64" s="202" t="n"/>
      <c r="D64" s="202" t="n"/>
      <c r="E64" s="202" t="n"/>
      <c r="F64" s="202" t="n"/>
      <c r="G64" s="202" t="n"/>
      <c r="H64" s="202" t="n"/>
      <c r="I64" s="202" t="n"/>
      <c r="J64" s="202" t="n"/>
      <c r="K64" s="202" t="n"/>
      <c r="L64" s="202" t="n"/>
      <c r="M64" s="202" t="n"/>
      <c r="N64" s="202" t="n"/>
      <c r="O64" s="202" t="n"/>
      <c r="P64" s="202" t="n"/>
      <c r="Q64" s="202" t="n"/>
      <c r="R64" s="202" t="n"/>
      <c r="S64" s="202" t="n"/>
      <c r="T64" s="202" t="n"/>
      <c r="U64" s="202" t="n"/>
      <c r="V64" s="202" t="n"/>
      <c r="W64" s="202" t="n"/>
      <c r="X64" s="202" t="n"/>
      <c r="Y64" s="202" t="n"/>
      <c r="Z64" s="202" t="n"/>
      <c r="AA64" s="202" t="n"/>
      <c r="AB64" s="202" t="n"/>
      <c r="AC64" s="202" t="n"/>
      <c r="AD64" s="202" t="n"/>
      <c r="AE64" s="202" t="n"/>
      <c r="AF64" s="202" t="n"/>
      <c r="AG64" s="202" t="n"/>
      <c r="AH64" s="202" t="n"/>
      <c r="AI64" s="202" t="n"/>
      <c r="AJ64" s="202" t="n"/>
      <c r="AK64" s="202" t="n"/>
      <c r="AL64" s="202" t="n"/>
      <c r="AM64" s="202" t="n"/>
      <c r="AN64" s="202" t="n"/>
      <c r="AO64" s="202" t="n"/>
      <c r="AP64" s="202" t="n"/>
      <c r="AQ64" s="202" t="n"/>
      <c r="AR64" s="202" t="n"/>
      <c r="AS64" s="202" t="n"/>
      <c r="AT64" s="202" t="n"/>
      <c r="AU64" s="202" t="n"/>
      <c r="AV64" s="202" t="n"/>
      <c r="AW64" s="202" t="n"/>
      <c r="AX64" s="202" t="n"/>
      <c r="AY64" s="202" t="n"/>
      <c r="AZ64" s="202" t="n"/>
      <c r="BA64" s="202" t="n"/>
      <c r="BB64" s="202" t="n"/>
      <c r="BC64" s="202" t="n"/>
      <c r="BD64" s="202" t="n"/>
      <c r="BE64" s="202" t="n"/>
      <c r="BF64" s="202" t="n"/>
      <c r="BG64" s="202" t="n"/>
      <c r="BH64" s="202" t="n"/>
      <c r="BI64" s="202" t="n"/>
      <c r="BJ64" s="202" t="n"/>
      <c r="BK64" s="202" t="n"/>
      <c r="BL64" s="202" t="n"/>
      <c r="BM64" s="202" t="n"/>
      <c r="BN64" s="202" t="n"/>
      <c r="BO64" s="202" t="n"/>
      <c r="BP64" s="202" t="n"/>
      <c r="BQ64" s="202" t="n"/>
      <c r="BR64" s="202" t="n"/>
    </row>
    <row r="65">
      <c r="A65" s="202" t="n"/>
      <c r="B65" s="202" t="n"/>
      <c r="C65" s="202" t="n"/>
      <c r="D65" s="202" t="n"/>
      <c r="E65" s="202" t="n"/>
      <c r="F65" s="202" t="n"/>
      <c r="G65" s="202" t="n"/>
      <c r="H65" s="202" t="n"/>
      <c r="I65" s="202" t="n"/>
      <c r="J65" s="202" t="n"/>
      <c r="K65" s="202" t="n"/>
      <c r="L65" s="202" t="n"/>
      <c r="M65" s="202" t="n"/>
      <c r="N65" s="202" t="n"/>
      <c r="O65" s="202" t="n"/>
      <c r="P65" s="202" t="n"/>
      <c r="Q65" s="202" t="n"/>
      <c r="R65" s="202" t="n"/>
      <c r="S65" s="202" t="n"/>
      <c r="T65" s="202" t="n"/>
      <c r="U65" s="202" t="n"/>
      <c r="V65" s="202" t="n"/>
      <c r="W65" s="202" t="n"/>
      <c r="X65" s="202" t="n"/>
      <c r="Y65" s="202" t="n"/>
      <c r="Z65" s="202" t="n"/>
      <c r="AA65" s="202" t="n"/>
      <c r="AB65" s="202" t="n"/>
      <c r="AC65" s="202" t="n"/>
      <c r="AD65" s="202" t="n"/>
      <c r="AE65" s="202" t="n"/>
      <c r="AF65" s="202" t="n"/>
      <c r="AG65" s="202" t="n"/>
      <c r="AH65" s="202" t="n"/>
      <c r="AI65" s="202" t="n"/>
      <c r="AJ65" s="202" t="n"/>
      <c r="AK65" s="202" t="n"/>
      <c r="AL65" s="202" t="n"/>
      <c r="AM65" s="202" t="n"/>
      <c r="AN65" s="202" t="n"/>
      <c r="AO65" s="202" t="n"/>
      <c r="AP65" s="202" t="n"/>
      <c r="AQ65" s="202" t="n"/>
      <c r="AR65" s="202" t="n"/>
      <c r="AS65" s="202" t="n"/>
      <c r="AT65" s="202" t="n"/>
      <c r="AU65" s="202" t="n"/>
      <c r="AV65" s="202" t="n"/>
      <c r="AW65" s="202" t="n"/>
      <c r="AX65" s="202" t="n"/>
      <c r="AY65" s="202" t="n"/>
      <c r="AZ65" s="202" t="n"/>
      <c r="BA65" s="202" t="n"/>
      <c r="BB65" s="202" t="n"/>
      <c r="BC65" s="202" t="n"/>
      <c r="BD65" s="202" t="n"/>
      <c r="BE65" s="202" t="n"/>
      <c r="BF65" s="202" t="n"/>
      <c r="BG65" s="202" t="n"/>
      <c r="BH65" s="202" t="n"/>
      <c r="BI65" s="202" t="n"/>
      <c r="BJ65" s="202" t="n"/>
      <c r="BK65" s="202" t="n"/>
      <c r="BL65" s="202" t="n"/>
      <c r="BM65" s="202" t="n"/>
      <c r="BN65" s="202" t="n"/>
      <c r="BO65" s="202" t="n"/>
      <c r="BP65" s="202" t="n"/>
      <c r="BQ65" s="202" t="n"/>
      <c r="BR65" s="202" t="n"/>
    </row>
    <row r="66">
      <c r="A66" s="202" t="n"/>
      <c r="B66" s="202" t="n"/>
      <c r="C66" s="202" t="n"/>
      <c r="D66" s="202" t="n"/>
      <c r="E66" s="202" t="n"/>
      <c r="F66" s="202" t="n"/>
      <c r="G66" s="202" t="n"/>
      <c r="H66" s="202" t="n"/>
      <c r="I66" s="202" t="n"/>
      <c r="J66" s="202" t="n"/>
      <c r="K66" s="202" t="n"/>
      <c r="L66" s="202" t="n"/>
      <c r="M66" s="202" t="n"/>
      <c r="N66" s="202" t="n"/>
      <c r="O66" s="202" t="n"/>
      <c r="P66" s="202" t="n"/>
      <c r="Q66" s="202" t="n"/>
      <c r="R66" s="202" t="n"/>
      <c r="S66" s="202" t="n"/>
      <c r="T66" s="202" t="n"/>
      <c r="U66" s="202" t="n"/>
      <c r="V66" s="202" t="n"/>
      <c r="W66" s="202" t="n"/>
      <c r="X66" s="202" t="n"/>
      <c r="Y66" s="202" t="n"/>
      <c r="Z66" s="202" t="n"/>
      <c r="AA66" s="202" t="n"/>
      <c r="AB66" s="202" t="n"/>
      <c r="AC66" s="202" t="n"/>
      <c r="AD66" s="202" t="n"/>
      <c r="AE66" s="202" t="n"/>
      <c r="AF66" s="202" t="n"/>
      <c r="AG66" s="202" t="n"/>
      <c r="AH66" s="202" t="n"/>
      <c r="AI66" s="202" t="n"/>
      <c r="AJ66" s="202" t="n"/>
      <c r="AK66" s="202" t="n"/>
      <c r="AL66" s="202" t="n"/>
      <c r="AM66" s="202" t="n"/>
      <c r="AN66" s="202" t="n"/>
      <c r="AO66" s="202" t="n"/>
      <c r="AP66" s="202" t="n"/>
      <c r="AQ66" s="202" t="n"/>
      <c r="AR66" s="202" t="n"/>
      <c r="AS66" s="202" t="n"/>
      <c r="AT66" s="202" t="n"/>
      <c r="AU66" s="202" t="n"/>
      <c r="AV66" s="202" t="n"/>
      <c r="AW66" s="202" t="n"/>
      <c r="AX66" s="202" t="n"/>
      <c r="AY66" s="202" t="n"/>
      <c r="AZ66" s="202" t="n"/>
      <c r="BA66" s="202" t="n"/>
      <c r="BB66" s="202" t="n"/>
      <c r="BC66" s="202" t="n"/>
      <c r="BD66" s="202" t="n"/>
      <c r="BE66" s="202" t="n"/>
      <c r="BF66" s="202" t="n"/>
      <c r="BG66" s="202" t="n"/>
      <c r="BH66" s="202" t="n"/>
      <c r="BI66" s="202" t="n"/>
      <c r="BJ66" s="202" t="n"/>
      <c r="BK66" s="202" t="n"/>
      <c r="BL66" s="202" t="n"/>
      <c r="BM66" s="202" t="n"/>
      <c r="BN66" s="202" t="n"/>
      <c r="BO66" s="202" t="n"/>
      <c r="BP66" s="202" t="n"/>
      <c r="BQ66" s="202" t="n"/>
      <c r="BR66" s="202" t="n"/>
    </row>
    <row r="67">
      <c r="A67" s="202" t="n"/>
      <c r="B67" s="202" t="n"/>
      <c r="C67" s="202" t="n"/>
      <c r="D67" s="202" t="n"/>
      <c r="E67" s="202" t="n"/>
      <c r="F67" s="202" t="n"/>
      <c r="G67" s="202" t="n"/>
      <c r="H67" s="202" t="n"/>
      <c r="I67" s="202" t="n"/>
      <c r="J67" s="202" t="n"/>
      <c r="K67" s="202" t="n"/>
      <c r="L67" s="202" t="n"/>
      <c r="M67" s="202" t="n"/>
      <c r="N67" s="202" t="n"/>
      <c r="O67" s="202" t="n"/>
      <c r="P67" s="202" t="n"/>
      <c r="Q67" s="202" t="n"/>
      <c r="R67" s="202" t="n"/>
      <c r="S67" s="202" t="n"/>
      <c r="T67" s="202" t="n"/>
      <c r="U67" s="202" t="n"/>
      <c r="V67" s="202" t="n"/>
      <c r="W67" s="202" t="n"/>
      <c r="X67" s="202" t="n"/>
      <c r="Y67" s="202" t="n"/>
      <c r="Z67" s="202" t="n"/>
      <c r="AA67" s="202" t="n"/>
      <c r="AB67" s="202" t="n"/>
      <c r="AC67" s="202" t="n"/>
      <c r="AD67" s="202" t="n"/>
      <c r="AE67" s="202" t="n"/>
      <c r="AF67" s="202" t="n"/>
      <c r="AG67" s="202" t="n"/>
      <c r="AH67" s="202" t="n"/>
      <c r="AI67" s="202" t="n"/>
      <c r="AJ67" s="202" t="n"/>
      <c r="AK67" s="202" t="n"/>
      <c r="AL67" s="202" t="n"/>
      <c r="AM67" s="202" t="n"/>
      <c r="AN67" s="202" t="n"/>
      <c r="AO67" s="202" t="n"/>
      <c r="AP67" s="202" t="n"/>
      <c r="AQ67" s="202" t="n"/>
      <c r="AR67" s="202" t="n"/>
      <c r="AS67" s="202" t="n"/>
      <c r="AT67" s="202" t="n"/>
      <c r="AU67" s="202" t="n"/>
      <c r="AV67" s="202" t="n"/>
      <c r="AW67" s="202" t="n"/>
      <c r="AX67" s="202" t="n"/>
      <c r="AY67" s="202" t="n"/>
      <c r="AZ67" s="202" t="n"/>
      <c r="BA67" s="202" t="n"/>
      <c r="BB67" s="202" t="n"/>
      <c r="BC67" s="202" t="n"/>
      <c r="BD67" s="202" t="n"/>
      <c r="BE67" s="202" t="n"/>
      <c r="BF67" s="202" t="n"/>
      <c r="BG67" s="202" t="n"/>
      <c r="BH67" s="202" t="n"/>
      <c r="BI67" s="202" t="n"/>
      <c r="BJ67" s="202" t="n"/>
      <c r="BK67" s="202" t="n"/>
      <c r="BL67" s="202" t="n"/>
      <c r="BM67" s="202" t="n"/>
      <c r="BN67" s="202" t="n"/>
      <c r="BO67" s="202" t="n"/>
      <c r="BP67" s="202" t="n"/>
      <c r="BQ67" s="202" t="n"/>
      <c r="BR67" s="202" t="n"/>
    </row>
    <row r="68">
      <c r="A68" s="202" t="n"/>
      <c r="B68" s="202" t="n"/>
      <c r="C68" s="202" t="n"/>
      <c r="D68" s="202" t="n"/>
      <c r="E68" s="202" t="n"/>
      <c r="F68" s="202" t="n"/>
      <c r="G68" s="202" t="n"/>
      <c r="H68" s="202" t="n"/>
      <c r="I68" s="202" t="n"/>
      <c r="J68" s="202" t="n"/>
      <c r="K68" s="202" t="n"/>
      <c r="L68" s="202" t="n"/>
      <c r="M68" s="202" t="n"/>
      <c r="N68" s="202" t="n"/>
      <c r="O68" s="202" t="n"/>
      <c r="P68" s="202" t="n"/>
      <c r="Q68" s="202" t="n"/>
      <c r="R68" s="202" t="n"/>
      <c r="S68" s="202" t="n"/>
      <c r="T68" s="202" t="n"/>
      <c r="U68" s="202" t="n"/>
      <c r="V68" s="202" t="n"/>
      <c r="W68" s="202" t="n"/>
      <c r="X68" s="202" t="n"/>
      <c r="Y68" s="202" t="n"/>
      <c r="Z68" s="202" t="n"/>
      <c r="AA68" s="202" t="n"/>
      <c r="AB68" s="202" t="n"/>
      <c r="AC68" s="202" t="n"/>
      <c r="AD68" s="202" t="n"/>
      <c r="AE68" s="202" t="n"/>
      <c r="AF68" s="202" t="n"/>
      <c r="AG68" s="202" t="n"/>
      <c r="AH68" s="202" t="n"/>
      <c r="AI68" s="202" t="n"/>
      <c r="AJ68" s="202" t="n"/>
      <c r="AK68" s="202" t="n"/>
      <c r="AL68" s="202" t="n"/>
      <c r="AM68" s="202" t="n"/>
      <c r="AN68" s="202" t="n"/>
      <c r="AO68" s="202" t="n"/>
      <c r="AP68" s="202" t="n"/>
      <c r="AQ68" s="202" t="n"/>
      <c r="AR68" s="202" t="n"/>
      <c r="AS68" s="202" t="n"/>
      <c r="AT68" s="202" t="n"/>
      <c r="AU68" s="202" t="n"/>
      <c r="AV68" s="202" t="n"/>
      <c r="AW68" s="202" t="n"/>
      <c r="AX68" s="202" t="n"/>
      <c r="AY68" s="202" t="n"/>
      <c r="AZ68" s="202" t="n"/>
      <c r="BA68" s="202" t="n"/>
      <c r="BB68" s="202" t="n"/>
      <c r="BC68" s="202" t="n"/>
      <c r="BD68" s="202" t="n"/>
      <c r="BE68" s="202" t="n"/>
      <c r="BF68" s="202" t="n"/>
      <c r="BG68" s="202" t="n"/>
      <c r="BH68" s="202" t="n"/>
      <c r="BI68" s="202" t="n"/>
      <c r="BJ68" s="202" t="n"/>
      <c r="BK68" s="202" t="n"/>
      <c r="BL68" s="202" t="n"/>
      <c r="BM68" s="202" t="n"/>
      <c r="BN68" s="202" t="n"/>
      <c r="BO68" s="202" t="n"/>
      <c r="BP68" s="202" t="n"/>
      <c r="BQ68" s="202" t="n"/>
      <c r="BR68" s="202" t="n"/>
    </row>
    <row r="69">
      <c r="A69" s="202" t="n"/>
      <c r="B69" s="202" t="n"/>
      <c r="C69" s="202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2" t="n"/>
      <c r="Y69" s="202" t="n"/>
      <c r="Z69" s="202" t="n"/>
      <c r="AA69" s="202" t="n"/>
      <c r="AB69" s="202" t="n"/>
      <c r="AC69" s="202" t="n"/>
      <c r="AD69" s="202" t="n"/>
      <c r="AE69" s="202" t="n"/>
      <c r="AF69" s="202" t="n"/>
      <c r="AG69" s="202" t="n"/>
      <c r="AH69" s="202" t="n"/>
      <c r="AI69" s="202" t="n"/>
      <c r="AJ69" s="202" t="n"/>
      <c r="AK69" s="202" t="n"/>
      <c r="AL69" s="202" t="n"/>
      <c r="AM69" s="202" t="n"/>
      <c r="AN69" s="202" t="n"/>
      <c r="AO69" s="202" t="n"/>
      <c r="AP69" s="202" t="n"/>
      <c r="AQ69" s="202" t="n"/>
      <c r="AR69" s="202" t="n"/>
      <c r="AS69" s="202" t="n"/>
      <c r="AT69" s="202" t="n"/>
      <c r="AU69" s="202" t="n"/>
      <c r="AV69" s="202" t="n"/>
      <c r="AW69" s="202" t="n"/>
      <c r="AX69" s="202" t="n"/>
      <c r="AY69" s="202" t="n"/>
      <c r="AZ69" s="202" t="n"/>
      <c r="BA69" s="202" t="n"/>
      <c r="BB69" s="202" t="n"/>
      <c r="BC69" s="202" t="n"/>
      <c r="BD69" s="202" t="n"/>
      <c r="BE69" s="202" t="n"/>
      <c r="BF69" s="202" t="n"/>
      <c r="BG69" s="202" t="n"/>
      <c r="BH69" s="202" t="n"/>
      <c r="BI69" s="202" t="n"/>
      <c r="BJ69" s="202" t="n"/>
      <c r="BK69" s="202" t="n"/>
      <c r="BL69" s="202" t="n"/>
      <c r="BM69" s="202" t="n"/>
      <c r="BN69" s="202" t="n"/>
      <c r="BO69" s="202" t="n"/>
      <c r="BP69" s="202" t="n"/>
      <c r="BQ69" s="202" t="n"/>
      <c r="BR69" s="202" t="n"/>
    </row>
    <row r="70">
      <c r="A70" s="202" t="n"/>
      <c r="B70" s="202" t="n"/>
      <c r="C70" s="202" t="n"/>
      <c r="D70" s="202" t="n"/>
      <c r="E70" s="202" t="n"/>
      <c r="F70" s="202" t="n"/>
      <c r="G70" s="202" t="n"/>
      <c r="H70" s="202" t="n"/>
      <c r="I70" s="202" t="n"/>
      <c r="J70" s="202" t="n"/>
      <c r="K70" s="202" t="n"/>
      <c r="L70" s="202" t="n"/>
      <c r="M70" s="202" t="n"/>
      <c r="N70" s="202" t="n"/>
      <c r="O70" s="202" t="n"/>
      <c r="P70" s="202" t="n"/>
      <c r="Q70" s="202" t="n"/>
      <c r="R70" s="202" t="n"/>
      <c r="S70" s="202" t="n"/>
      <c r="T70" s="202" t="n"/>
      <c r="U70" s="202" t="n"/>
      <c r="V70" s="202" t="n"/>
      <c r="W70" s="202" t="n"/>
      <c r="X70" s="202" t="n"/>
      <c r="Y70" s="202" t="n"/>
      <c r="Z70" s="202" t="n"/>
      <c r="AA70" s="202" t="n"/>
      <c r="AB70" s="202" t="n"/>
      <c r="AC70" s="202" t="n"/>
      <c r="AD70" s="202" t="n"/>
      <c r="AE70" s="202" t="n"/>
      <c r="AF70" s="202" t="n"/>
      <c r="AG70" s="202" t="n"/>
      <c r="AH70" s="202" t="n"/>
      <c r="AI70" s="202" t="n"/>
      <c r="AJ70" s="202" t="n"/>
      <c r="AK70" s="202" t="n"/>
      <c r="AL70" s="202" t="n"/>
      <c r="AM70" s="202" t="n"/>
      <c r="AN70" s="202" t="n"/>
      <c r="AO70" s="202" t="n"/>
      <c r="AP70" s="202" t="n"/>
      <c r="AQ70" s="202" t="n"/>
      <c r="AR70" s="202" t="n"/>
      <c r="AS70" s="202" t="n"/>
      <c r="AT70" s="202" t="n"/>
      <c r="AU70" s="202" t="n"/>
      <c r="AV70" s="202" t="n"/>
      <c r="AW70" s="202" t="n"/>
      <c r="AX70" s="202" t="n"/>
      <c r="AY70" s="202" t="n"/>
      <c r="AZ70" s="202" t="n"/>
      <c r="BA70" s="202" t="n"/>
      <c r="BB70" s="202" t="n"/>
      <c r="BC70" s="202" t="n"/>
      <c r="BD70" s="202" t="n"/>
      <c r="BE70" s="202" t="n"/>
      <c r="BF70" s="202" t="n"/>
      <c r="BG70" s="202" t="n"/>
      <c r="BH70" s="202" t="n"/>
      <c r="BI70" s="202" t="n"/>
      <c r="BJ70" s="202" t="n"/>
      <c r="BK70" s="202" t="n"/>
      <c r="BL70" s="202" t="n"/>
      <c r="BM70" s="202" t="n"/>
      <c r="BN70" s="202" t="n"/>
      <c r="BO70" s="202" t="n"/>
      <c r="BP70" s="202" t="n"/>
      <c r="BQ70" s="202" t="n"/>
      <c r="BR70" s="202" t="n"/>
    </row>
    <row r="71">
      <c r="A71" s="202" t="n"/>
      <c r="B71" s="202" t="n"/>
      <c r="C71" s="202" t="n"/>
      <c r="D71" s="202" t="n"/>
      <c r="E71" s="202" t="n"/>
      <c r="F71" s="202" t="n"/>
      <c r="G71" s="202" t="n"/>
      <c r="H71" s="202" t="n"/>
      <c r="I71" s="202" t="n"/>
      <c r="J71" s="202" t="n"/>
      <c r="K71" s="202" t="n"/>
      <c r="L71" s="202" t="n"/>
      <c r="M71" s="202" t="n"/>
      <c r="N71" s="202" t="n"/>
      <c r="O71" s="202" t="n"/>
      <c r="P71" s="202" t="n"/>
      <c r="Q71" s="202" t="n"/>
      <c r="R71" s="202" t="n"/>
      <c r="S71" s="202" t="n"/>
      <c r="T71" s="202" t="n"/>
      <c r="U71" s="202" t="n"/>
      <c r="V71" s="202" t="n"/>
      <c r="W71" s="202" t="n"/>
      <c r="X71" s="202" t="n"/>
      <c r="Y71" s="202" t="n"/>
      <c r="Z71" s="202" t="n"/>
      <c r="AA71" s="202" t="n"/>
      <c r="AB71" s="202" t="n"/>
      <c r="AC71" s="202" t="n"/>
      <c r="AD71" s="202" t="n"/>
      <c r="AE71" s="202" t="n"/>
      <c r="AF71" s="202" t="n"/>
      <c r="AG71" s="202" t="n"/>
      <c r="AH71" s="202" t="n"/>
      <c r="AI71" s="202" t="n"/>
      <c r="AJ71" s="202" t="n"/>
      <c r="AK71" s="202" t="n"/>
      <c r="AL71" s="202" t="n"/>
      <c r="AM71" s="202" t="n"/>
      <c r="AN71" s="202" t="n"/>
      <c r="AO71" s="202" t="n"/>
      <c r="AP71" s="202" t="n"/>
      <c r="AQ71" s="202" t="n"/>
      <c r="AR71" s="202" t="n"/>
      <c r="AS71" s="202" t="n"/>
      <c r="AT71" s="202" t="n"/>
      <c r="AU71" s="202" t="n"/>
      <c r="AV71" s="202" t="n"/>
      <c r="AW71" s="202" t="n"/>
      <c r="AX71" s="202" t="n"/>
      <c r="AY71" s="202" t="n"/>
      <c r="AZ71" s="202" t="n"/>
      <c r="BA71" s="202" t="n"/>
      <c r="BB71" s="202" t="n"/>
      <c r="BC71" s="202" t="n"/>
      <c r="BD71" s="202" t="n"/>
      <c r="BE71" s="202" t="n"/>
      <c r="BF71" s="202" t="n"/>
      <c r="BG71" s="202" t="n"/>
      <c r="BH71" s="202" t="n"/>
      <c r="BI71" s="202" t="n"/>
      <c r="BJ71" s="202" t="n"/>
      <c r="BK71" s="202" t="n"/>
      <c r="BL71" s="202" t="n"/>
      <c r="BM71" s="202" t="n"/>
      <c r="BN71" s="202" t="n"/>
      <c r="BO71" s="202" t="n"/>
      <c r="BP71" s="202" t="n"/>
      <c r="BQ71" s="202" t="n"/>
      <c r="BR71" s="202" t="n"/>
    </row>
    <row r="72">
      <c r="A72" s="202" t="n"/>
      <c r="B72" s="202" t="n"/>
      <c r="C72" s="202" t="n"/>
      <c r="D72" s="202" t="n"/>
      <c r="E72" s="202" t="n"/>
      <c r="F72" s="202" t="n"/>
      <c r="G72" s="202" t="n"/>
      <c r="H72" s="202" t="n"/>
      <c r="I72" s="202" t="n"/>
      <c r="J72" s="202" t="n"/>
      <c r="K72" s="202" t="n"/>
      <c r="L72" s="202" t="n"/>
      <c r="M72" s="202" t="n"/>
      <c r="N72" s="202" t="n"/>
      <c r="O72" s="202" t="n"/>
      <c r="P72" s="202" t="n"/>
      <c r="Q72" s="202" t="n"/>
      <c r="R72" s="202" t="n"/>
      <c r="S72" s="202" t="n"/>
      <c r="T72" s="202" t="n"/>
      <c r="U72" s="202" t="n"/>
      <c r="V72" s="202" t="n"/>
      <c r="W72" s="202" t="n"/>
      <c r="X72" s="202" t="n"/>
      <c r="Y72" s="202" t="n"/>
      <c r="Z72" s="202" t="n"/>
      <c r="AA72" s="202" t="n"/>
      <c r="AB72" s="202" t="n"/>
      <c r="AC72" s="202" t="n"/>
      <c r="AD72" s="202" t="n"/>
      <c r="AE72" s="202" t="n"/>
      <c r="AF72" s="202" t="n"/>
      <c r="AG72" s="202" t="n"/>
      <c r="AH72" s="202" t="n"/>
      <c r="AI72" s="202" t="n"/>
      <c r="AJ72" s="202" t="n"/>
      <c r="AK72" s="202" t="n"/>
      <c r="AL72" s="202" t="n"/>
      <c r="AM72" s="202" t="n"/>
      <c r="AN72" s="202" t="n"/>
      <c r="AO72" s="202" t="n"/>
      <c r="AP72" s="202" t="n"/>
      <c r="AQ72" s="202" t="n"/>
      <c r="AR72" s="202" t="n"/>
      <c r="AS72" s="202" t="n"/>
      <c r="AT72" s="202" t="n"/>
      <c r="AU72" s="202" t="n"/>
      <c r="AV72" s="202" t="n"/>
      <c r="AW72" s="202" t="n"/>
      <c r="AX72" s="202" t="n"/>
      <c r="AY72" s="202" t="n"/>
      <c r="AZ72" s="202" t="n"/>
      <c r="BA72" s="202" t="n"/>
      <c r="BB72" s="202" t="n"/>
      <c r="BC72" s="202" t="n"/>
      <c r="BD72" s="202" t="n"/>
      <c r="BE72" s="202" t="n"/>
      <c r="BF72" s="202" t="n"/>
      <c r="BG72" s="202" t="n"/>
      <c r="BH72" s="202" t="n"/>
      <c r="BI72" s="202" t="n"/>
      <c r="BJ72" s="202" t="n"/>
      <c r="BK72" s="202" t="n"/>
      <c r="BL72" s="202" t="n"/>
      <c r="BM72" s="202" t="n"/>
      <c r="BN72" s="202" t="n"/>
      <c r="BO72" s="202" t="n"/>
      <c r="BP72" s="202" t="n"/>
      <c r="BQ72" s="202" t="n"/>
      <c r="BR72" s="202" t="n"/>
    </row>
    <row r="73">
      <c r="A73" s="202" t="n"/>
      <c r="B73" s="202" t="n"/>
      <c r="C73" s="202" t="n"/>
      <c r="D73" s="202" t="n"/>
      <c r="E73" s="202" t="n"/>
      <c r="F73" s="202" t="n"/>
      <c r="G73" s="202" t="n"/>
      <c r="H73" s="202" t="n"/>
      <c r="I73" s="202" t="n"/>
      <c r="J73" s="202" t="n"/>
      <c r="K73" s="202" t="n"/>
      <c r="L73" s="202" t="n"/>
      <c r="M73" s="202" t="n"/>
      <c r="N73" s="202" t="n"/>
      <c r="O73" s="202" t="n"/>
      <c r="P73" s="202" t="n"/>
      <c r="Q73" s="202" t="n"/>
      <c r="R73" s="202" t="n"/>
      <c r="S73" s="202" t="n"/>
      <c r="T73" s="202" t="n"/>
      <c r="U73" s="202" t="n"/>
      <c r="V73" s="202" t="n"/>
      <c r="W73" s="202" t="n"/>
      <c r="X73" s="202" t="n"/>
      <c r="Y73" s="202" t="n"/>
      <c r="Z73" s="202" t="n"/>
      <c r="AA73" s="202" t="n"/>
      <c r="AB73" s="202" t="n"/>
      <c r="AC73" s="202" t="n"/>
      <c r="AD73" s="202" t="n"/>
      <c r="AE73" s="202" t="n"/>
      <c r="AF73" s="202" t="n"/>
      <c r="AG73" s="202" t="n"/>
      <c r="AH73" s="202" t="n"/>
      <c r="AI73" s="202" t="n"/>
      <c r="AJ73" s="202" t="n"/>
      <c r="AK73" s="202" t="n"/>
      <c r="AL73" s="202" t="n"/>
      <c r="AM73" s="202" t="n"/>
      <c r="AN73" s="202" t="n"/>
      <c r="AO73" s="202" t="n"/>
      <c r="AP73" s="202" t="n"/>
      <c r="AQ73" s="202" t="n"/>
      <c r="AR73" s="202" t="n"/>
      <c r="AS73" s="202" t="n"/>
      <c r="AT73" s="202" t="n"/>
      <c r="AU73" s="202" t="n"/>
      <c r="AV73" s="202" t="n"/>
      <c r="AW73" s="202" t="n"/>
      <c r="AX73" s="202" t="n"/>
      <c r="AY73" s="202" t="n"/>
      <c r="AZ73" s="202" t="n"/>
      <c r="BA73" s="202" t="n"/>
      <c r="BB73" s="202" t="n"/>
      <c r="BC73" s="202" t="n"/>
      <c r="BD73" s="202" t="n"/>
      <c r="BE73" s="202" t="n"/>
      <c r="BF73" s="202" t="n"/>
      <c r="BG73" s="202" t="n"/>
      <c r="BH73" s="202" t="n"/>
      <c r="BI73" s="202" t="n"/>
      <c r="BJ73" s="202" t="n"/>
      <c r="BK73" s="202" t="n"/>
      <c r="BL73" s="202" t="n"/>
      <c r="BM73" s="202" t="n"/>
      <c r="BN73" s="202" t="n"/>
      <c r="BO73" s="202" t="n"/>
      <c r="BP73" s="202" t="n"/>
      <c r="BQ73" s="202" t="n"/>
      <c r="BR73" s="202" t="n"/>
    </row>
    <row r="74">
      <c r="A74" s="202" t="n"/>
      <c r="B74" s="202" t="n"/>
      <c r="C74" s="202" t="n"/>
      <c r="D74" s="202" t="n"/>
      <c r="E74" s="20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2" t="n"/>
      <c r="Y74" s="202" t="n"/>
      <c r="Z74" s="202" t="n"/>
      <c r="AA74" s="202" t="n"/>
      <c r="AB74" s="202" t="n"/>
      <c r="AC74" s="202" t="n"/>
      <c r="AD74" s="202" t="n"/>
      <c r="AE74" s="202" t="n"/>
      <c r="AF74" s="202" t="n"/>
      <c r="AG74" s="202" t="n"/>
      <c r="AH74" s="202" t="n"/>
      <c r="AI74" s="202" t="n"/>
      <c r="AJ74" s="202" t="n"/>
      <c r="AK74" s="202" t="n"/>
      <c r="AL74" s="202" t="n"/>
      <c r="AM74" s="202" t="n"/>
      <c r="AN74" s="202" t="n"/>
      <c r="AO74" s="202" t="n"/>
      <c r="AP74" s="202" t="n"/>
      <c r="AQ74" s="202" t="n"/>
      <c r="AR74" s="202" t="n"/>
      <c r="AS74" s="202" t="n"/>
      <c r="AT74" s="202" t="n"/>
      <c r="AU74" s="202" t="n"/>
      <c r="AV74" s="202" t="n"/>
      <c r="AW74" s="202" t="n"/>
      <c r="AX74" s="202" t="n"/>
      <c r="AY74" s="202" t="n"/>
      <c r="AZ74" s="202" t="n"/>
      <c r="BA74" s="202" t="n"/>
      <c r="BB74" s="202" t="n"/>
      <c r="BC74" s="202" t="n"/>
      <c r="BD74" s="202" t="n"/>
      <c r="BE74" s="202" t="n"/>
      <c r="BF74" s="202" t="n"/>
      <c r="BG74" s="202" t="n"/>
      <c r="BH74" s="202" t="n"/>
      <c r="BI74" s="202" t="n"/>
      <c r="BJ74" s="202" t="n"/>
      <c r="BK74" s="202" t="n"/>
      <c r="BL74" s="202" t="n"/>
      <c r="BM74" s="202" t="n"/>
      <c r="BN74" s="202" t="n"/>
      <c r="BO74" s="202" t="n"/>
      <c r="BP74" s="202" t="n"/>
      <c r="BQ74" s="202" t="n"/>
      <c r="BR74" s="202" t="n"/>
    </row>
    <row r="75">
      <c r="A75" s="202" t="n"/>
      <c r="B75" s="202" t="n"/>
      <c r="C75" s="202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2" t="n"/>
      <c r="Y75" s="202" t="n"/>
      <c r="Z75" s="202" t="n"/>
      <c r="AA75" s="202" t="n"/>
      <c r="AB75" s="202" t="n"/>
      <c r="AC75" s="202" t="n"/>
      <c r="AD75" s="202" t="n"/>
      <c r="AE75" s="202" t="n"/>
      <c r="AF75" s="202" t="n"/>
      <c r="AG75" s="202" t="n"/>
      <c r="AH75" s="202" t="n"/>
      <c r="AI75" s="202" t="n"/>
      <c r="AJ75" s="202" t="n"/>
      <c r="AK75" s="202" t="n"/>
      <c r="AL75" s="202" t="n"/>
      <c r="AM75" s="202" t="n"/>
      <c r="AN75" s="202" t="n"/>
      <c r="AO75" s="202" t="n"/>
      <c r="AP75" s="202" t="n"/>
      <c r="AQ75" s="202" t="n"/>
      <c r="AR75" s="202" t="n"/>
      <c r="AS75" s="202" t="n"/>
      <c r="AT75" s="202" t="n"/>
      <c r="AU75" s="202" t="n"/>
      <c r="AV75" s="202" t="n"/>
      <c r="AW75" s="202" t="n"/>
      <c r="AX75" s="202" t="n"/>
      <c r="AY75" s="202" t="n"/>
      <c r="AZ75" s="202" t="n"/>
      <c r="BA75" s="202" t="n"/>
      <c r="BB75" s="202" t="n"/>
      <c r="BC75" s="202" t="n"/>
      <c r="BD75" s="202" t="n"/>
      <c r="BE75" s="202" t="n"/>
      <c r="BF75" s="202" t="n"/>
      <c r="BG75" s="202" t="n"/>
      <c r="BH75" s="202" t="n"/>
      <c r="BI75" s="202" t="n"/>
      <c r="BJ75" s="202" t="n"/>
      <c r="BK75" s="202" t="n"/>
      <c r="BL75" s="202" t="n"/>
      <c r="BM75" s="202" t="n"/>
      <c r="BN75" s="202" t="n"/>
      <c r="BO75" s="202" t="n"/>
      <c r="BP75" s="202" t="n"/>
      <c r="BQ75" s="202" t="n"/>
      <c r="BR75" s="202" t="n"/>
    </row>
    <row r="76">
      <c r="A76" s="202" t="n"/>
      <c r="B76" s="202" t="n"/>
      <c r="C76" s="202" t="n"/>
      <c r="D76" s="202" t="n"/>
      <c r="E76" s="202" t="n"/>
      <c r="F76" s="202" t="n"/>
      <c r="G76" s="202" t="n"/>
      <c r="H76" s="202" t="n"/>
      <c r="I76" s="202" t="n"/>
      <c r="J76" s="202" t="n"/>
      <c r="K76" s="202" t="n"/>
      <c r="L76" s="202" t="n"/>
      <c r="M76" s="202" t="n"/>
      <c r="N76" s="202" t="n"/>
      <c r="O76" s="202" t="n"/>
      <c r="P76" s="202" t="n"/>
      <c r="Q76" s="202" t="n"/>
      <c r="R76" s="202" t="n"/>
      <c r="S76" s="202" t="n"/>
      <c r="T76" s="202" t="n"/>
      <c r="U76" s="202" t="n"/>
      <c r="V76" s="202" t="n"/>
      <c r="W76" s="202" t="n"/>
      <c r="X76" s="202" t="n"/>
      <c r="Y76" s="202" t="n"/>
      <c r="Z76" s="202" t="n"/>
      <c r="AA76" s="202" t="n"/>
      <c r="AB76" s="202" t="n"/>
      <c r="AC76" s="202" t="n"/>
      <c r="AD76" s="202" t="n"/>
      <c r="AE76" s="202" t="n"/>
      <c r="AF76" s="202" t="n"/>
      <c r="AG76" s="202" t="n"/>
      <c r="AH76" s="202" t="n"/>
      <c r="AI76" s="202" t="n"/>
      <c r="AJ76" s="202" t="n"/>
      <c r="AK76" s="202" t="n"/>
      <c r="AL76" s="202" t="n"/>
      <c r="AM76" s="202" t="n"/>
      <c r="AN76" s="202" t="n"/>
      <c r="AO76" s="202" t="n"/>
      <c r="AP76" s="202" t="n"/>
      <c r="AQ76" s="202" t="n"/>
      <c r="AR76" s="202" t="n"/>
      <c r="AS76" s="202" t="n"/>
      <c r="AT76" s="202" t="n"/>
      <c r="AU76" s="202" t="n"/>
      <c r="AV76" s="202" t="n"/>
      <c r="AW76" s="202" t="n"/>
      <c r="AX76" s="202" t="n"/>
      <c r="AY76" s="202" t="n"/>
      <c r="AZ76" s="202" t="n"/>
      <c r="BA76" s="202" t="n"/>
      <c r="BB76" s="202" t="n"/>
      <c r="BC76" s="202" t="n"/>
      <c r="BD76" s="202" t="n"/>
      <c r="BE76" s="202" t="n"/>
      <c r="BF76" s="202" t="n"/>
      <c r="BG76" s="202" t="n"/>
      <c r="BH76" s="202" t="n"/>
      <c r="BI76" s="202" t="n"/>
      <c r="BJ76" s="202" t="n"/>
      <c r="BK76" s="202" t="n"/>
      <c r="BL76" s="202" t="n"/>
      <c r="BM76" s="202" t="n"/>
      <c r="BN76" s="202" t="n"/>
      <c r="BO76" s="202" t="n"/>
      <c r="BP76" s="202" t="n"/>
      <c r="BQ76" s="202" t="n"/>
      <c r="BR76" s="202" t="n"/>
    </row>
    <row r="77">
      <c r="A77" s="202" t="n"/>
      <c r="B77" s="202" t="n"/>
      <c r="C77" s="202" t="n"/>
      <c r="D77" s="202" t="n"/>
      <c r="E77" s="202" t="n"/>
      <c r="F77" s="202" t="n"/>
      <c r="G77" s="202" t="n"/>
      <c r="H77" s="202" t="n"/>
      <c r="I77" s="202" t="n"/>
      <c r="J77" s="202" t="n"/>
      <c r="K77" s="202" t="n"/>
      <c r="L77" s="202" t="n"/>
      <c r="M77" s="202" t="n"/>
      <c r="N77" s="202" t="n"/>
      <c r="O77" s="202" t="n"/>
      <c r="P77" s="202" t="n"/>
      <c r="Q77" s="202" t="n"/>
      <c r="R77" s="202" t="n"/>
      <c r="S77" s="202" t="n"/>
      <c r="T77" s="202" t="n"/>
      <c r="U77" s="202" t="n"/>
      <c r="V77" s="202" t="n"/>
      <c r="W77" s="202" t="n"/>
      <c r="X77" s="202" t="n"/>
      <c r="Y77" s="202" t="n"/>
      <c r="Z77" s="202" t="n"/>
      <c r="AA77" s="202" t="n"/>
      <c r="AB77" s="202" t="n"/>
      <c r="AC77" s="202" t="n"/>
      <c r="AD77" s="202" t="n"/>
      <c r="AE77" s="202" t="n"/>
      <c r="AF77" s="202" t="n"/>
      <c r="AG77" s="202" t="n"/>
      <c r="AH77" s="202" t="n"/>
      <c r="AI77" s="202" t="n"/>
      <c r="AJ77" s="202" t="n"/>
      <c r="AK77" s="202" t="n"/>
      <c r="AL77" s="202" t="n"/>
      <c r="AM77" s="202" t="n"/>
      <c r="AN77" s="202" t="n"/>
      <c r="AO77" s="202" t="n"/>
      <c r="AP77" s="202" t="n"/>
      <c r="AQ77" s="202" t="n"/>
      <c r="AR77" s="202" t="n"/>
      <c r="AS77" s="202" t="n"/>
      <c r="AT77" s="202" t="n"/>
      <c r="AU77" s="202" t="n"/>
      <c r="AV77" s="202" t="n"/>
      <c r="AW77" s="202" t="n"/>
      <c r="AX77" s="202" t="n"/>
      <c r="AY77" s="202" t="n"/>
      <c r="AZ77" s="202" t="n"/>
      <c r="BA77" s="202" t="n"/>
      <c r="BB77" s="202" t="n"/>
      <c r="BC77" s="202" t="n"/>
      <c r="BD77" s="202" t="n"/>
      <c r="BE77" s="202" t="n"/>
      <c r="BF77" s="202" t="n"/>
      <c r="BG77" s="202" t="n"/>
      <c r="BH77" s="202" t="n"/>
      <c r="BI77" s="202" t="n"/>
      <c r="BJ77" s="202" t="n"/>
      <c r="BK77" s="202" t="n"/>
      <c r="BL77" s="202" t="n"/>
      <c r="BM77" s="202" t="n"/>
      <c r="BN77" s="202" t="n"/>
      <c r="BO77" s="202" t="n"/>
      <c r="BP77" s="202" t="n"/>
      <c r="BQ77" s="202" t="n"/>
      <c r="BR77" s="202" t="n"/>
    </row>
    <row r="78">
      <c r="A78" s="202" t="n"/>
      <c r="B78" s="202" t="n"/>
      <c r="C78" s="202" t="n"/>
      <c r="D78" s="202" t="n"/>
      <c r="E78" s="202" t="n"/>
      <c r="F78" s="202" t="n"/>
      <c r="G78" s="202" t="n"/>
      <c r="H78" s="202" t="n"/>
      <c r="I78" s="202" t="n"/>
      <c r="J78" s="202" t="n"/>
      <c r="K78" s="202" t="n"/>
      <c r="L78" s="202" t="n"/>
      <c r="M78" s="202" t="n"/>
      <c r="N78" s="202" t="n"/>
      <c r="O78" s="202" t="n"/>
      <c r="P78" s="202" t="n"/>
      <c r="Q78" s="202" t="n"/>
      <c r="R78" s="202" t="n"/>
      <c r="S78" s="202" t="n"/>
      <c r="T78" s="202" t="n"/>
      <c r="U78" s="202" t="n"/>
      <c r="V78" s="202" t="n"/>
      <c r="W78" s="202" t="n"/>
      <c r="X78" s="202" t="n"/>
      <c r="Y78" s="202" t="n"/>
      <c r="Z78" s="202" t="n"/>
      <c r="AA78" s="202" t="n"/>
      <c r="AB78" s="202" t="n"/>
      <c r="AC78" s="202" t="n"/>
      <c r="AD78" s="202" t="n"/>
      <c r="AE78" s="202" t="n"/>
      <c r="AF78" s="202" t="n"/>
      <c r="AG78" s="202" t="n"/>
      <c r="AH78" s="202" t="n"/>
      <c r="AI78" s="202" t="n"/>
      <c r="AJ78" s="202" t="n"/>
      <c r="AK78" s="202" t="n"/>
      <c r="AL78" s="202" t="n"/>
      <c r="AM78" s="202" t="n"/>
      <c r="AN78" s="202" t="n"/>
      <c r="AO78" s="202" t="n"/>
      <c r="AP78" s="202" t="n"/>
      <c r="AQ78" s="202" t="n"/>
      <c r="AR78" s="202" t="n"/>
      <c r="AS78" s="202" t="n"/>
      <c r="AT78" s="202" t="n"/>
      <c r="AU78" s="202" t="n"/>
      <c r="AV78" s="202" t="n"/>
      <c r="AW78" s="202" t="n"/>
      <c r="AX78" s="202" t="n"/>
      <c r="AY78" s="202" t="n"/>
      <c r="AZ78" s="202" t="n"/>
      <c r="BA78" s="202" t="n"/>
      <c r="BB78" s="202" t="n"/>
      <c r="BC78" s="202" t="n"/>
      <c r="BD78" s="202" t="n"/>
      <c r="BE78" s="202" t="n"/>
      <c r="BF78" s="202" t="n"/>
      <c r="BG78" s="202" t="n"/>
      <c r="BH78" s="202" t="n"/>
      <c r="BI78" s="202" t="n"/>
      <c r="BJ78" s="202" t="n"/>
      <c r="BK78" s="202" t="n"/>
      <c r="BL78" s="202" t="n"/>
      <c r="BM78" s="202" t="n"/>
      <c r="BN78" s="202" t="n"/>
      <c r="BO78" s="202" t="n"/>
      <c r="BP78" s="202" t="n"/>
      <c r="BQ78" s="202" t="n"/>
      <c r="BR78" s="202" t="n"/>
    </row>
    <row r="79">
      <c r="A79" s="202" t="n"/>
      <c r="B79" s="202" t="n"/>
      <c r="C79" s="202" t="n"/>
      <c r="D79" s="202" t="n"/>
      <c r="E79" s="202" t="n"/>
      <c r="F79" s="202" t="n"/>
      <c r="G79" s="202" t="n"/>
      <c r="H79" s="202" t="n"/>
      <c r="I79" s="202" t="n"/>
      <c r="J79" s="202" t="n"/>
      <c r="K79" s="202" t="n"/>
      <c r="L79" s="202" t="n"/>
      <c r="M79" s="202" t="n"/>
      <c r="N79" s="202" t="n"/>
      <c r="O79" s="202" t="n"/>
      <c r="P79" s="202" t="n"/>
      <c r="Q79" s="202" t="n"/>
      <c r="R79" s="202" t="n"/>
      <c r="S79" s="202" t="n"/>
      <c r="T79" s="202" t="n"/>
      <c r="U79" s="202" t="n"/>
      <c r="V79" s="202" t="n"/>
      <c r="W79" s="202" t="n"/>
      <c r="X79" s="202" t="n"/>
      <c r="Y79" s="202" t="n"/>
      <c r="Z79" s="202" t="n"/>
      <c r="AA79" s="202" t="n"/>
      <c r="AB79" s="202" t="n"/>
      <c r="AC79" s="202" t="n"/>
      <c r="AD79" s="202" t="n"/>
      <c r="AE79" s="202" t="n"/>
      <c r="AF79" s="202" t="n"/>
      <c r="AG79" s="202" t="n"/>
      <c r="AH79" s="202" t="n"/>
      <c r="AI79" s="202" t="n"/>
      <c r="AJ79" s="202" t="n"/>
      <c r="AK79" s="202" t="n"/>
      <c r="AL79" s="202" t="n"/>
      <c r="AM79" s="202" t="n"/>
      <c r="AN79" s="202" t="n"/>
      <c r="AO79" s="202" t="n"/>
      <c r="AP79" s="202" t="n"/>
      <c r="AQ79" s="202" t="n"/>
      <c r="AR79" s="202" t="n"/>
      <c r="AS79" s="202" t="n"/>
      <c r="AT79" s="202" t="n"/>
      <c r="AU79" s="202" t="n"/>
      <c r="AV79" s="202" t="n"/>
      <c r="AW79" s="202" t="n"/>
      <c r="AX79" s="202" t="n"/>
      <c r="AY79" s="202" t="n"/>
      <c r="AZ79" s="202" t="n"/>
      <c r="BA79" s="202" t="n"/>
      <c r="BB79" s="202" t="n"/>
      <c r="BC79" s="202" t="n"/>
      <c r="BD79" s="202" t="n"/>
      <c r="BE79" s="202" t="n"/>
      <c r="BF79" s="202" t="n"/>
      <c r="BG79" s="202" t="n"/>
      <c r="BH79" s="202" t="n"/>
      <c r="BI79" s="202" t="n"/>
      <c r="BJ79" s="202" t="n"/>
      <c r="BK79" s="202" t="n"/>
      <c r="BL79" s="202" t="n"/>
      <c r="BM79" s="202" t="n"/>
      <c r="BN79" s="202" t="n"/>
      <c r="BO79" s="202" t="n"/>
      <c r="BP79" s="202" t="n"/>
      <c r="BQ79" s="202" t="n"/>
      <c r="BR79" s="202" t="n"/>
    </row>
    <row r="80">
      <c r="A80" s="202" t="n"/>
      <c r="B80" s="202" t="n"/>
      <c r="C80" s="202" t="n"/>
      <c r="D80" s="202" t="n"/>
      <c r="E80" s="202" t="n"/>
      <c r="F80" s="202" t="n"/>
      <c r="G80" s="202" t="n"/>
      <c r="H80" s="202" t="n"/>
      <c r="I80" s="202" t="n"/>
      <c r="J80" s="202" t="n"/>
      <c r="K80" s="202" t="n"/>
      <c r="L80" s="202" t="n"/>
      <c r="M80" s="202" t="n"/>
      <c r="N80" s="202" t="n"/>
      <c r="O80" s="202" t="n"/>
      <c r="P80" s="202" t="n"/>
      <c r="Q80" s="202" t="n"/>
      <c r="R80" s="202" t="n"/>
      <c r="S80" s="202" t="n"/>
      <c r="T80" s="202" t="n"/>
      <c r="U80" s="202" t="n"/>
      <c r="V80" s="202" t="n"/>
      <c r="W80" s="202" t="n"/>
      <c r="X80" s="202" t="n"/>
      <c r="Y80" s="202" t="n"/>
      <c r="Z80" s="202" t="n"/>
      <c r="AA80" s="202" t="n"/>
      <c r="AB80" s="202" t="n"/>
      <c r="AC80" s="202" t="n"/>
      <c r="AD80" s="202" t="n"/>
      <c r="AE80" s="202" t="n"/>
      <c r="AF80" s="202" t="n"/>
      <c r="AG80" s="202" t="n"/>
      <c r="AH80" s="202" t="n"/>
      <c r="AI80" s="202" t="n"/>
      <c r="AJ80" s="202" t="n"/>
      <c r="AK80" s="202" t="n"/>
      <c r="AL80" s="202" t="n"/>
      <c r="AM80" s="202" t="n"/>
      <c r="AN80" s="202" t="n"/>
      <c r="AO80" s="202" t="n"/>
      <c r="AP80" s="202" t="n"/>
      <c r="AQ80" s="202" t="n"/>
      <c r="AR80" s="202" t="n"/>
      <c r="AS80" s="202" t="n"/>
      <c r="AT80" s="202" t="n"/>
      <c r="AU80" s="202" t="n"/>
      <c r="AV80" s="202" t="n"/>
      <c r="AW80" s="202" t="n"/>
      <c r="AX80" s="202" t="n"/>
      <c r="AY80" s="202" t="n"/>
      <c r="AZ80" s="202" t="n"/>
      <c r="BA80" s="202" t="n"/>
      <c r="BB80" s="202" t="n"/>
      <c r="BC80" s="202" t="n"/>
      <c r="BD80" s="202" t="n"/>
      <c r="BE80" s="202" t="n"/>
      <c r="BF80" s="202" t="n"/>
      <c r="BG80" s="202" t="n"/>
      <c r="BH80" s="202" t="n"/>
      <c r="BI80" s="202" t="n"/>
      <c r="BJ80" s="202" t="n"/>
      <c r="BK80" s="202" t="n"/>
      <c r="BL80" s="202" t="n"/>
      <c r="BM80" s="202" t="n"/>
      <c r="BN80" s="202" t="n"/>
      <c r="BO80" s="202" t="n"/>
      <c r="BP80" s="202" t="n"/>
      <c r="BQ80" s="202" t="n"/>
      <c r="BR80" s="202" t="n"/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R8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40" customWidth="1" style="81" min="1" max="1"/>
    <col width="12" customWidth="1" style="81" min="2" max="13"/>
    <col width="12" customWidth="1" style="82" min="3" max="3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4" customWidth="1" style="81" min="14" max="14"/>
    <col hidden="1" width="12" customWidth="1" style="81" min="15" max="26"/>
    <col hidden="1" width="12" customWidth="1" style="82" min="16" max="16"/>
    <col hidden="1" width="12" customWidth="1" style="82" min="17" max="17"/>
    <col hidden="1" width="12" customWidth="1" style="82" min="18" max="18"/>
    <col hidden="1" width="12" customWidth="1" style="82" min="19" max="19"/>
    <col hidden="1" width="12" customWidth="1" style="82" min="20" max="20"/>
    <col hidden="1" width="12" customWidth="1" style="82" min="21" max="21"/>
    <col hidden="1" width="12" customWidth="1" style="82" min="22" max="22"/>
    <col hidden="1" width="12" customWidth="1" style="82" min="23" max="23"/>
    <col hidden="1" width="12" customWidth="1" style="82" min="24" max="24"/>
    <col hidden="1" width="12" customWidth="1" style="82" min="25" max="25"/>
    <col hidden="1" width="12" customWidth="1" style="82" min="26" max="26"/>
    <col hidden="1" width="14" customWidth="1" style="81" min="27" max="27"/>
    <col hidden="1" width="12" customWidth="1" style="81" min="28" max="39"/>
    <col hidden="1" width="12" customWidth="1" style="82" min="29" max="29"/>
    <col hidden="1" width="12" customWidth="1" style="82" min="30" max="30"/>
    <col hidden="1" width="12" customWidth="1" style="82" min="31" max="31"/>
    <col hidden="1" width="12" customWidth="1" style="82" min="32" max="32"/>
    <col hidden="1" width="12" customWidth="1" style="82" min="33" max="33"/>
    <col hidden="1" width="12" customWidth="1" style="82" min="34" max="34"/>
    <col hidden="1" width="12" customWidth="1" style="82" min="35" max="35"/>
    <col hidden="1" width="12" customWidth="1" style="82" min="36" max="36"/>
    <col hidden="1" width="12" customWidth="1" style="82" min="37" max="37"/>
    <col hidden="1" width="12" customWidth="1" style="82" min="38" max="38"/>
    <col hidden="1" width="12" customWidth="1" style="82" min="39" max="39"/>
    <col hidden="1" width="14" customWidth="1" style="81" min="40" max="40"/>
    <col hidden="1" width="12" customWidth="1" style="81" min="41" max="52"/>
    <col hidden="1" width="12" customWidth="1" style="82" min="42" max="42"/>
    <col hidden="1" width="12" customWidth="1" style="82" min="43" max="43"/>
    <col hidden="1" width="12" customWidth="1" style="82" min="44" max="44"/>
    <col hidden="1" width="12" customWidth="1" style="82" min="45" max="45"/>
    <col hidden="1" width="12" customWidth="1" style="82" min="46" max="46"/>
    <col hidden="1" width="12" customWidth="1" style="82" min="47" max="47"/>
    <col hidden="1" width="12" customWidth="1" style="82" min="48" max="48"/>
    <col hidden="1" width="12" customWidth="1" style="82" min="49" max="49"/>
    <col hidden="1" width="12" customWidth="1" style="82" min="50" max="50"/>
    <col hidden="1" width="12" customWidth="1" style="82" min="51" max="51"/>
    <col hidden="1" width="12" customWidth="1" style="82" min="52" max="52"/>
    <col hidden="1" width="14" customWidth="1" style="81" min="53" max="53"/>
    <col hidden="1" width="12" customWidth="1" style="81" min="54" max="65"/>
    <col hidden="1" width="12" customWidth="1" style="82" min="55" max="55"/>
    <col hidden="1" width="12" customWidth="1" style="82" min="56" max="56"/>
    <col hidden="1" width="12" customWidth="1" style="82" min="57" max="57"/>
    <col hidden="1" width="12" customWidth="1" style="82" min="58" max="58"/>
    <col hidden="1" width="12" customWidth="1" style="82" min="59" max="59"/>
    <col hidden="1" width="12" customWidth="1" style="82" min="60" max="60"/>
    <col hidden="1" width="12" customWidth="1" style="82" min="61" max="61"/>
    <col hidden="1" width="12" customWidth="1" style="82" min="62" max="62"/>
    <col hidden="1" width="12" customWidth="1" style="82" min="63" max="63"/>
    <col hidden="1" width="12" customWidth="1" style="82" min="64" max="64"/>
    <col hidden="1" width="12" customWidth="1" style="82" min="65" max="65"/>
    <col hidden="1" width="14" customWidth="1" style="81" min="66" max="66"/>
    <col hidden="1" width="13" customWidth="1" style="82" min="67" max="67"/>
    <col hidden="1" width="13" customWidth="1" style="82" min="68" max="68"/>
    <col hidden="1" width="13" customWidth="1" style="82" min="69" max="69"/>
  </cols>
  <sheetData>
    <row r="1" ht="25.5" customHeight="1" s="82">
      <c r="A1" s="300" t="inlineStr">
        <is>
          <t>SALES PLAN  —  revenue build-up</t>
        </is>
      </c>
      <c r="BO1" s="202" t="n"/>
      <c r="BP1" s="202" t="n"/>
      <c r="BQ1" s="202" t="n"/>
      <c r="BR1" s="202" t="n"/>
    </row>
    <row r="2" ht="15" customHeight="1" s="82">
      <c r="A2" s="301" t="inlineStr">
        <is>
          <t>Quantity x price for the main product, then every ancillary stream on its own volume x price. TOTAL REVENUE feeds the P&amp;L and every downstream form.</t>
        </is>
      </c>
      <c r="BO2" s="202" t="n"/>
      <c r="BP2" s="202" t="n"/>
      <c r="BQ2" s="202" t="n"/>
      <c r="BR2" s="202" t="n"/>
    </row>
    <row r="3" ht="15.75" customHeight="1" s="82">
      <c r="A3" s="262" t="n"/>
      <c r="B3" s="302" t="inlineStr">
        <is>
          <t>YEAR 1</t>
        </is>
      </c>
      <c r="O3" s="302" t="inlineStr">
        <is>
          <t>YEAR 2</t>
        </is>
      </c>
      <c r="AB3" s="302" t="inlineStr">
        <is>
          <t>YEAR 3</t>
        </is>
      </c>
      <c r="AO3" s="302" t="inlineStr">
        <is>
          <t>YEAR 4</t>
        </is>
      </c>
      <c r="BB3" s="302" t="inlineStr">
        <is>
          <t>YEAR 5</t>
        </is>
      </c>
      <c r="BO3" s="202" t="n"/>
      <c r="BP3" s="202" t="n"/>
      <c r="BQ3" s="202" t="n"/>
      <c r="BR3" s="202" t="n"/>
    </row>
    <row r="4" ht="18" customHeight="1" s="82">
      <c r="A4" s="265" t="inlineStr">
        <is>
          <t>Particulars</t>
        </is>
      </c>
      <c r="B4" s="266" t="inlineStr">
        <is>
          <t>M1</t>
        </is>
      </c>
      <c r="C4" s="266" t="inlineStr">
        <is>
          <t>M2</t>
        </is>
      </c>
      <c r="D4" s="266" t="inlineStr">
        <is>
          <t>M3</t>
        </is>
      </c>
      <c r="E4" s="266" t="inlineStr">
        <is>
          <t>M4</t>
        </is>
      </c>
      <c r="F4" s="266" t="inlineStr">
        <is>
          <t>M5</t>
        </is>
      </c>
      <c r="G4" s="266" t="inlineStr">
        <is>
          <t>M6</t>
        </is>
      </c>
      <c r="H4" s="266" t="inlineStr">
        <is>
          <t>M7</t>
        </is>
      </c>
      <c r="I4" s="266" t="inlineStr">
        <is>
          <t>M8</t>
        </is>
      </c>
      <c r="J4" s="266" t="inlineStr">
        <is>
          <t>M9</t>
        </is>
      </c>
      <c r="K4" s="266" t="inlineStr">
        <is>
          <t>M10</t>
        </is>
      </c>
      <c r="L4" s="266" t="inlineStr">
        <is>
          <t>M11</t>
        </is>
      </c>
      <c r="M4" s="266" t="inlineStr">
        <is>
          <t>M12</t>
        </is>
      </c>
      <c r="N4" s="266" t="inlineStr">
        <is>
          <t>Yr 1 Total</t>
        </is>
      </c>
      <c r="O4" s="266" t="inlineStr">
        <is>
          <t>M1</t>
        </is>
      </c>
      <c r="P4" s="266" t="inlineStr">
        <is>
          <t>M2</t>
        </is>
      </c>
      <c r="Q4" s="266" t="inlineStr">
        <is>
          <t>M3</t>
        </is>
      </c>
      <c r="R4" s="266" t="inlineStr">
        <is>
          <t>M4</t>
        </is>
      </c>
      <c r="S4" s="266" t="inlineStr">
        <is>
          <t>M5</t>
        </is>
      </c>
      <c r="T4" s="266" t="inlineStr">
        <is>
          <t>M6</t>
        </is>
      </c>
      <c r="U4" s="266" t="inlineStr">
        <is>
          <t>M7</t>
        </is>
      </c>
      <c r="V4" s="266" t="inlineStr">
        <is>
          <t>M8</t>
        </is>
      </c>
      <c r="W4" s="266" t="inlineStr">
        <is>
          <t>M9</t>
        </is>
      </c>
      <c r="X4" s="266" t="inlineStr">
        <is>
          <t>M10</t>
        </is>
      </c>
      <c r="Y4" s="266" t="inlineStr">
        <is>
          <t>M11</t>
        </is>
      </c>
      <c r="Z4" s="266" t="inlineStr">
        <is>
          <t>M12</t>
        </is>
      </c>
      <c r="AA4" s="266" t="inlineStr">
        <is>
          <t>Yr 2 Total</t>
        </is>
      </c>
      <c r="AB4" s="266" t="inlineStr">
        <is>
          <t>M1</t>
        </is>
      </c>
      <c r="AC4" s="266" t="inlineStr">
        <is>
          <t>M2</t>
        </is>
      </c>
      <c r="AD4" s="266" t="inlineStr">
        <is>
          <t>M3</t>
        </is>
      </c>
      <c r="AE4" s="266" t="inlineStr">
        <is>
          <t>M4</t>
        </is>
      </c>
      <c r="AF4" s="266" t="inlineStr">
        <is>
          <t>M5</t>
        </is>
      </c>
      <c r="AG4" s="266" t="inlineStr">
        <is>
          <t>M6</t>
        </is>
      </c>
      <c r="AH4" s="266" t="inlineStr">
        <is>
          <t>M7</t>
        </is>
      </c>
      <c r="AI4" s="266" t="inlineStr">
        <is>
          <t>M8</t>
        </is>
      </c>
      <c r="AJ4" s="266" t="inlineStr">
        <is>
          <t>M9</t>
        </is>
      </c>
      <c r="AK4" s="266" t="inlineStr">
        <is>
          <t>M10</t>
        </is>
      </c>
      <c r="AL4" s="266" t="inlineStr">
        <is>
          <t>M11</t>
        </is>
      </c>
      <c r="AM4" s="266" t="inlineStr">
        <is>
          <t>M12</t>
        </is>
      </c>
      <c r="AN4" s="266" t="inlineStr">
        <is>
          <t>Yr 3 Total</t>
        </is>
      </c>
      <c r="AO4" s="266" t="inlineStr">
        <is>
          <t>M1</t>
        </is>
      </c>
      <c r="AP4" s="266" t="inlineStr">
        <is>
          <t>M2</t>
        </is>
      </c>
      <c r="AQ4" s="266" t="inlineStr">
        <is>
          <t>M3</t>
        </is>
      </c>
      <c r="AR4" s="266" t="inlineStr">
        <is>
          <t>M4</t>
        </is>
      </c>
      <c r="AS4" s="266" t="inlineStr">
        <is>
          <t>M5</t>
        </is>
      </c>
      <c r="AT4" s="266" t="inlineStr">
        <is>
          <t>M6</t>
        </is>
      </c>
      <c r="AU4" s="266" t="inlineStr">
        <is>
          <t>M7</t>
        </is>
      </c>
      <c r="AV4" s="266" t="inlineStr">
        <is>
          <t>M8</t>
        </is>
      </c>
      <c r="AW4" s="266" t="inlineStr">
        <is>
          <t>M9</t>
        </is>
      </c>
      <c r="AX4" s="266" t="inlineStr">
        <is>
          <t>M10</t>
        </is>
      </c>
      <c r="AY4" s="266" t="inlineStr">
        <is>
          <t>M11</t>
        </is>
      </c>
      <c r="AZ4" s="266" t="inlineStr">
        <is>
          <t>M12</t>
        </is>
      </c>
      <c r="BA4" s="266" t="inlineStr">
        <is>
          <t>Yr 4 Total</t>
        </is>
      </c>
      <c r="BB4" s="266" t="inlineStr">
        <is>
          <t>M1</t>
        </is>
      </c>
      <c r="BC4" s="266" t="inlineStr">
        <is>
          <t>M2</t>
        </is>
      </c>
      <c r="BD4" s="266" t="inlineStr">
        <is>
          <t>M3</t>
        </is>
      </c>
      <c r="BE4" s="266" t="inlineStr">
        <is>
          <t>M4</t>
        </is>
      </c>
      <c r="BF4" s="266" t="inlineStr">
        <is>
          <t>M5</t>
        </is>
      </c>
      <c r="BG4" s="266" t="inlineStr">
        <is>
          <t>M6</t>
        </is>
      </c>
      <c r="BH4" s="266" t="inlineStr">
        <is>
          <t>M7</t>
        </is>
      </c>
      <c r="BI4" s="266" t="inlineStr">
        <is>
          <t>M8</t>
        </is>
      </c>
      <c r="BJ4" s="266" t="inlineStr">
        <is>
          <t>M9</t>
        </is>
      </c>
      <c r="BK4" s="266" t="inlineStr">
        <is>
          <t>M10</t>
        </is>
      </c>
      <c r="BL4" s="266" t="inlineStr">
        <is>
          <t>M11</t>
        </is>
      </c>
      <c r="BM4" s="266" t="inlineStr">
        <is>
          <t>M12</t>
        </is>
      </c>
      <c r="BN4" s="266" t="inlineStr">
        <is>
          <t>Yr 5 Total</t>
        </is>
      </c>
      <c r="BO4" s="202" t="n"/>
      <c r="BP4" s="202" t="n"/>
      <c r="BQ4" s="202" t="n"/>
      <c r="BR4" s="202" t="n"/>
    </row>
    <row r="5" ht="15" customHeight="1" s="82">
      <c r="A5" s="267" t="inlineStr">
        <is>
          <t>Capacity utilisation (%)</t>
        </is>
      </c>
      <c r="B5" s="287">
        <f>Assumptions!$C$18</f>
        <v/>
      </c>
      <c r="C5" s="287">
        <f>Assumptions!$C$18</f>
        <v/>
      </c>
      <c r="D5" s="287">
        <f>Assumptions!$C$18</f>
        <v/>
      </c>
      <c r="E5" s="287">
        <f>Assumptions!$C$18</f>
        <v/>
      </c>
      <c r="F5" s="287">
        <f>Assumptions!$C$18</f>
        <v/>
      </c>
      <c r="G5" s="287">
        <f>Assumptions!$C$18</f>
        <v/>
      </c>
      <c r="H5" s="287">
        <f>Assumptions!$C$18</f>
        <v/>
      </c>
      <c r="I5" s="287">
        <f>Assumptions!$C$18</f>
        <v/>
      </c>
      <c r="J5" s="287">
        <f>Assumptions!$C$18</f>
        <v/>
      </c>
      <c r="K5" s="287">
        <f>Assumptions!$C$18</f>
        <v/>
      </c>
      <c r="L5" s="287">
        <f>Assumptions!$C$18</f>
        <v/>
      </c>
      <c r="M5" s="287">
        <f>Assumptions!$C$18</f>
        <v/>
      </c>
      <c r="N5" s="287">
        <f>B5</f>
        <v/>
      </c>
      <c r="O5" s="270">
        <f>Assumptions!$D$18</f>
        <v/>
      </c>
      <c r="P5" s="270">
        <f>Assumptions!$D$18</f>
        <v/>
      </c>
      <c r="Q5" s="270">
        <f>Assumptions!$D$18</f>
        <v/>
      </c>
      <c r="R5" s="270">
        <f>Assumptions!$D$18</f>
        <v/>
      </c>
      <c r="S5" s="270">
        <f>Assumptions!$D$18</f>
        <v/>
      </c>
      <c r="T5" s="270">
        <f>Assumptions!$D$18</f>
        <v/>
      </c>
      <c r="U5" s="270">
        <f>Assumptions!$D$18</f>
        <v/>
      </c>
      <c r="V5" s="270">
        <f>Assumptions!$D$18</f>
        <v/>
      </c>
      <c r="W5" s="270">
        <f>Assumptions!$D$18</f>
        <v/>
      </c>
      <c r="X5" s="270">
        <f>Assumptions!$D$18</f>
        <v/>
      </c>
      <c r="Y5" s="270">
        <f>Assumptions!$D$18</f>
        <v/>
      </c>
      <c r="Z5" s="270">
        <f>Assumptions!$D$18</f>
        <v/>
      </c>
      <c r="AA5" s="270">
        <f>O5</f>
        <v/>
      </c>
      <c r="AB5" s="270">
        <f>Assumptions!$E$18</f>
        <v/>
      </c>
      <c r="AC5" s="270">
        <f>Assumptions!$E$18</f>
        <v/>
      </c>
      <c r="AD5" s="270">
        <f>Assumptions!$E$18</f>
        <v/>
      </c>
      <c r="AE5" s="270">
        <f>Assumptions!$E$18</f>
        <v/>
      </c>
      <c r="AF5" s="270">
        <f>Assumptions!$E$18</f>
        <v/>
      </c>
      <c r="AG5" s="270">
        <f>Assumptions!$E$18</f>
        <v/>
      </c>
      <c r="AH5" s="270">
        <f>Assumptions!$E$18</f>
        <v/>
      </c>
      <c r="AI5" s="270">
        <f>Assumptions!$E$18</f>
        <v/>
      </c>
      <c r="AJ5" s="270">
        <f>Assumptions!$E$18</f>
        <v/>
      </c>
      <c r="AK5" s="270">
        <f>Assumptions!$E$18</f>
        <v/>
      </c>
      <c r="AL5" s="270">
        <f>Assumptions!$E$18</f>
        <v/>
      </c>
      <c r="AM5" s="270">
        <f>Assumptions!$E$18</f>
        <v/>
      </c>
      <c r="AN5" s="270">
        <f>AB5</f>
        <v/>
      </c>
      <c r="AO5" s="270">
        <f>Assumptions!$F$18</f>
        <v/>
      </c>
      <c r="AP5" s="270">
        <f>Assumptions!$F$18</f>
        <v/>
      </c>
      <c r="AQ5" s="270">
        <f>Assumptions!$F$18</f>
        <v/>
      </c>
      <c r="AR5" s="270">
        <f>Assumptions!$F$18</f>
        <v/>
      </c>
      <c r="AS5" s="270">
        <f>Assumptions!$F$18</f>
        <v/>
      </c>
      <c r="AT5" s="270">
        <f>Assumptions!$F$18</f>
        <v/>
      </c>
      <c r="AU5" s="270">
        <f>Assumptions!$F$18</f>
        <v/>
      </c>
      <c r="AV5" s="270">
        <f>Assumptions!$F$18</f>
        <v/>
      </c>
      <c r="AW5" s="270">
        <f>Assumptions!$F$18</f>
        <v/>
      </c>
      <c r="AX5" s="270">
        <f>Assumptions!$F$18</f>
        <v/>
      </c>
      <c r="AY5" s="270">
        <f>Assumptions!$F$18</f>
        <v/>
      </c>
      <c r="AZ5" s="270">
        <f>Assumptions!$F$18</f>
        <v/>
      </c>
      <c r="BA5" s="270">
        <f>AO5</f>
        <v/>
      </c>
      <c r="BB5" s="270">
        <f>Assumptions!$G$18</f>
        <v/>
      </c>
      <c r="BC5" s="270">
        <f>Assumptions!$G$18</f>
        <v/>
      </c>
      <c r="BD5" s="270">
        <f>Assumptions!$G$18</f>
        <v/>
      </c>
      <c r="BE5" s="270">
        <f>Assumptions!$G$18</f>
        <v/>
      </c>
      <c r="BF5" s="270">
        <f>Assumptions!$G$18</f>
        <v/>
      </c>
      <c r="BG5" s="270">
        <f>Assumptions!$G$18</f>
        <v/>
      </c>
      <c r="BH5" s="270">
        <f>Assumptions!$G$18</f>
        <v/>
      </c>
      <c r="BI5" s="270">
        <f>Assumptions!$G$18</f>
        <v/>
      </c>
      <c r="BJ5" s="270">
        <f>Assumptions!$G$18</f>
        <v/>
      </c>
      <c r="BK5" s="270">
        <f>Assumptions!$G$18</f>
        <v/>
      </c>
      <c r="BL5" s="270">
        <f>Assumptions!$G$18</f>
        <v/>
      </c>
      <c r="BM5" s="270">
        <f>Assumptions!$G$18</f>
        <v/>
      </c>
      <c r="BN5" s="270">
        <f>BB5</f>
        <v/>
      </c>
      <c r="BO5" s="202" t="n"/>
      <c r="BP5" s="202" t="n"/>
      <c r="BQ5" s="202" t="n"/>
      <c r="BR5" s="202" t="n"/>
    </row>
    <row r="6" ht="15" customHeight="1" s="82">
      <c r="A6" s="267" t="inlineStr">
        <is>
          <t>Sales quantity = production (units)</t>
        </is>
      </c>
      <c r="B6" s="269">
        <f>Production!B7</f>
        <v/>
      </c>
      <c r="C6" s="269">
        <f>Production!C7</f>
        <v/>
      </c>
      <c r="D6" s="269">
        <f>Production!D7</f>
        <v/>
      </c>
      <c r="E6" s="269">
        <f>Production!E7</f>
        <v/>
      </c>
      <c r="F6" s="269">
        <f>Production!F7</f>
        <v/>
      </c>
      <c r="G6" s="269">
        <f>Production!G7</f>
        <v/>
      </c>
      <c r="H6" s="269">
        <f>Production!H7</f>
        <v/>
      </c>
      <c r="I6" s="269">
        <f>Production!I7</f>
        <v/>
      </c>
      <c r="J6" s="269">
        <f>Production!J7</f>
        <v/>
      </c>
      <c r="K6" s="269">
        <f>Production!K7</f>
        <v/>
      </c>
      <c r="L6" s="269">
        <f>Production!L7</f>
        <v/>
      </c>
      <c r="M6" s="269">
        <f>Production!M7</f>
        <v/>
      </c>
      <c r="N6" s="269">
        <f>SUM(B6:M6)</f>
        <v/>
      </c>
      <c r="O6" s="269">
        <f>Production!O7</f>
        <v/>
      </c>
      <c r="P6" s="269">
        <f>Production!P7</f>
        <v/>
      </c>
      <c r="Q6" s="269">
        <f>Production!Q7</f>
        <v/>
      </c>
      <c r="R6" s="269">
        <f>Production!R7</f>
        <v/>
      </c>
      <c r="S6" s="269">
        <f>Production!S7</f>
        <v/>
      </c>
      <c r="T6" s="269">
        <f>Production!T7</f>
        <v/>
      </c>
      <c r="U6" s="269">
        <f>Production!U7</f>
        <v/>
      </c>
      <c r="V6" s="269">
        <f>Production!V7</f>
        <v/>
      </c>
      <c r="W6" s="269">
        <f>Production!W7</f>
        <v/>
      </c>
      <c r="X6" s="269">
        <f>Production!X7</f>
        <v/>
      </c>
      <c r="Y6" s="269">
        <f>Production!Y7</f>
        <v/>
      </c>
      <c r="Z6" s="269">
        <f>Production!Z7</f>
        <v/>
      </c>
      <c r="AA6" s="269">
        <f>SUM(O6:Z6)</f>
        <v/>
      </c>
      <c r="AB6" s="269">
        <f>Production!AB7</f>
        <v/>
      </c>
      <c r="AC6" s="269">
        <f>Production!AC7</f>
        <v/>
      </c>
      <c r="AD6" s="269">
        <f>Production!AD7</f>
        <v/>
      </c>
      <c r="AE6" s="269">
        <f>Production!AE7</f>
        <v/>
      </c>
      <c r="AF6" s="269">
        <f>Production!AF7</f>
        <v/>
      </c>
      <c r="AG6" s="269">
        <f>Production!AG7</f>
        <v/>
      </c>
      <c r="AH6" s="269">
        <f>Production!AH7</f>
        <v/>
      </c>
      <c r="AI6" s="269">
        <f>Production!AI7</f>
        <v/>
      </c>
      <c r="AJ6" s="269">
        <f>Production!AJ7</f>
        <v/>
      </c>
      <c r="AK6" s="269">
        <f>Production!AK7</f>
        <v/>
      </c>
      <c r="AL6" s="269">
        <f>Production!AL7</f>
        <v/>
      </c>
      <c r="AM6" s="269">
        <f>Production!AM7</f>
        <v/>
      </c>
      <c r="AN6" s="269">
        <f>SUM(AB6:AM6)</f>
        <v/>
      </c>
      <c r="AO6" s="269">
        <f>Production!AO7</f>
        <v/>
      </c>
      <c r="AP6" s="269">
        <f>Production!AP7</f>
        <v/>
      </c>
      <c r="AQ6" s="269">
        <f>Production!AQ7</f>
        <v/>
      </c>
      <c r="AR6" s="269">
        <f>Production!AR7</f>
        <v/>
      </c>
      <c r="AS6" s="269">
        <f>Production!AS7</f>
        <v/>
      </c>
      <c r="AT6" s="269">
        <f>Production!AT7</f>
        <v/>
      </c>
      <c r="AU6" s="269">
        <f>Production!AU7</f>
        <v/>
      </c>
      <c r="AV6" s="269">
        <f>Production!AV7</f>
        <v/>
      </c>
      <c r="AW6" s="269">
        <f>Production!AW7</f>
        <v/>
      </c>
      <c r="AX6" s="269">
        <f>Production!AX7</f>
        <v/>
      </c>
      <c r="AY6" s="269">
        <f>Production!AY7</f>
        <v/>
      </c>
      <c r="AZ6" s="269">
        <f>Production!AZ7</f>
        <v/>
      </c>
      <c r="BA6" s="269">
        <f>SUM(AO6:AZ6)</f>
        <v/>
      </c>
      <c r="BB6" s="269">
        <f>Production!BB7</f>
        <v/>
      </c>
      <c r="BC6" s="269">
        <f>Production!BC7</f>
        <v/>
      </c>
      <c r="BD6" s="269">
        <f>Production!BD7</f>
        <v/>
      </c>
      <c r="BE6" s="269">
        <f>Production!BE7</f>
        <v/>
      </c>
      <c r="BF6" s="269">
        <f>Production!BF7</f>
        <v/>
      </c>
      <c r="BG6" s="269">
        <f>Production!BG7</f>
        <v/>
      </c>
      <c r="BH6" s="269">
        <f>Production!BH7</f>
        <v/>
      </c>
      <c r="BI6" s="269">
        <f>Production!BI7</f>
        <v/>
      </c>
      <c r="BJ6" s="269">
        <f>Production!BJ7</f>
        <v/>
      </c>
      <c r="BK6" s="269">
        <f>Production!BK7</f>
        <v/>
      </c>
      <c r="BL6" s="269">
        <f>Production!BL7</f>
        <v/>
      </c>
      <c r="BM6" s="269">
        <f>Production!BM7</f>
        <v/>
      </c>
      <c r="BN6" s="269">
        <f>SUM(BB6:BM6)</f>
        <v/>
      </c>
      <c r="BO6" s="202" t="n"/>
      <c r="BP6" s="202" t="n"/>
      <c r="BQ6" s="202" t="n"/>
      <c r="BR6" s="202" t="n"/>
    </row>
    <row r="7" ht="15" customHeight="1" s="82">
      <c r="A7" s="267" t="inlineStr">
        <is>
          <t>Selling price (₹ / unit)</t>
        </is>
      </c>
      <c r="B7" s="288">
        <f>Assumptions!$C$23*(1+Assumptions!$C$24)^0</f>
        <v/>
      </c>
      <c r="C7" s="288">
        <f>Assumptions!$C$23*(1+Assumptions!$C$24)^0</f>
        <v/>
      </c>
      <c r="D7" s="288">
        <f>Assumptions!$C$23*(1+Assumptions!$C$24)^0</f>
        <v/>
      </c>
      <c r="E7" s="288">
        <f>Assumptions!$C$23*(1+Assumptions!$C$24)^0</f>
        <v/>
      </c>
      <c r="F7" s="288">
        <f>Assumptions!$C$23*(1+Assumptions!$C$24)^0</f>
        <v/>
      </c>
      <c r="G7" s="288">
        <f>Assumptions!$C$23*(1+Assumptions!$C$24)^0</f>
        <v/>
      </c>
      <c r="H7" s="288">
        <f>Assumptions!$C$23*(1+Assumptions!$C$24)^0</f>
        <v/>
      </c>
      <c r="I7" s="288">
        <f>Assumptions!$C$23*(1+Assumptions!$C$24)^0</f>
        <v/>
      </c>
      <c r="J7" s="288">
        <f>Assumptions!$C$23*(1+Assumptions!$C$24)^0</f>
        <v/>
      </c>
      <c r="K7" s="288">
        <f>Assumptions!$C$23*(1+Assumptions!$C$24)^0</f>
        <v/>
      </c>
      <c r="L7" s="288">
        <f>Assumptions!$C$23*(1+Assumptions!$C$24)^0</f>
        <v/>
      </c>
      <c r="M7" s="288">
        <f>Assumptions!$C$23*(1+Assumptions!$C$24)^0</f>
        <v/>
      </c>
      <c r="N7" s="288">
        <f>B7</f>
        <v/>
      </c>
      <c r="O7" s="288">
        <f>Assumptions!$C$23*(1+Assumptions!$C$24)^1</f>
        <v/>
      </c>
      <c r="P7" s="288">
        <f>Assumptions!$C$23*(1+Assumptions!$C$24)^1</f>
        <v/>
      </c>
      <c r="Q7" s="288">
        <f>Assumptions!$C$23*(1+Assumptions!$C$24)^1</f>
        <v/>
      </c>
      <c r="R7" s="288">
        <f>Assumptions!$C$23*(1+Assumptions!$C$24)^1</f>
        <v/>
      </c>
      <c r="S7" s="288">
        <f>Assumptions!$C$23*(1+Assumptions!$C$24)^1</f>
        <v/>
      </c>
      <c r="T7" s="288">
        <f>Assumptions!$C$23*(1+Assumptions!$C$24)^1</f>
        <v/>
      </c>
      <c r="U7" s="288">
        <f>Assumptions!$C$23*(1+Assumptions!$C$24)^1</f>
        <v/>
      </c>
      <c r="V7" s="288">
        <f>Assumptions!$C$23*(1+Assumptions!$C$24)^1</f>
        <v/>
      </c>
      <c r="W7" s="288">
        <f>Assumptions!$C$23*(1+Assumptions!$C$24)^1</f>
        <v/>
      </c>
      <c r="X7" s="288">
        <f>Assumptions!$C$23*(1+Assumptions!$C$24)^1</f>
        <v/>
      </c>
      <c r="Y7" s="288">
        <f>Assumptions!$C$23*(1+Assumptions!$C$24)^1</f>
        <v/>
      </c>
      <c r="Z7" s="288">
        <f>Assumptions!$C$23*(1+Assumptions!$C$24)^1</f>
        <v/>
      </c>
      <c r="AA7" s="288">
        <f>O7</f>
        <v/>
      </c>
      <c r="AB7" s="288">
        <f>Assumptions!$C$23*(1+Assumptions!$C$24)^2</f>
        <v/>
      </c>
      <c r="AC7" s="288">
        <f>Assumptions!$C$23*(1+Assumptions!$C$24)^2</f>
        <v/>
      </c>
      <c r="AD7" s="288">
        <f>Assumptions!$C$23*(1+Assumptions!$C$24)^2</f>
        <v/>
      </c>
      <c r="AE7" s="288">
        <f>Assumptions!$C$23*(1+Assumptions!$C$24)^2</f>
        <v/>
      </c>
      <c r="AF7" s="288">
        <f>Assumptions!$C$23*(1+Assumptions!$C$24)^2</f>
        <v/>
      </c>
      <c r="AG7" s="288">
        <f>Assumptions!$C$23*(1+Assumptions!$C$24)^2</f>
        <v/>
      </c>
      <c r="AH7" s="288">
        <f>Assumptions!$C$23*(1+Assumptions!$C$24)^2</f>
        <v/>
      </c>
      <c r="AI7" s="288">
        <f>Assumptions!$C$23*(1+Assumptions!$C$24)^2</f>
        <v/>
      </c>
      <c r="AJ7" s="288">
        <f>Assumptions!$C$23*(1+Assumptions!$C$24)^2</f>
        <v/>
      </c>
      <c r="AK7" s="288">
        <f>Assumptions!$C$23*(1+Assumptions!$C$24)^2</f>
        <v/>
      </c>
      <c r="AL7" s="288">
        <f>Assumptions!$C$23*(1+Assumptions!$C$24)^2</f>
        <v/>
      </c>
      <c r="AM7" s="288">
        <f>Assumptions!$C$23*(1+Assumptions!$C$24)^2</f>
        <v/>
      </c>
      <c r="AN7" s="288">
        <f>AB7</f>
        <v/>
      </c>
      <c r="AO7" s="288">
        <f>Assumptions!$C$23*(1+Assumptions!$C$24)^3</f>
        <v/>
      </c>
      <c r="AP7" s="288">
        <f>Assumptions!$C$23*(1+Assumptions!$C$24)^3</f>
        <v/>
      </c>
      <c r="AQ7" s="288">
        <f>Assumptions!$C$23*(1+Assumptions!$C$24)^3</f>
        <v/>
      </c>
      <c r="AR7" s="288">
        <f>Assumptions!$C$23*(1+Assumptions!$C$24)^3</f>
        <v/>
      </c>
      <c r="AS7" s="288">
        <f>Assumptions!$C$23*(1+Assumptions!$C$24)^3</f>
        <v/>
      </c>
      <c r="AT7" s="288">
        <f>Assumptions!$C$23*(1+Assumptions!$C$24)^3</f>
        <v/>
      </c>
      <c r="AU7" s="288">
        <f>Assumptions!$C$23*(1+Assumptions!$C$24)^3</f>
        <v/>
      </c>
      <c r="AV7" s="288">
        <f>Assumptions!$C$23*(1+Assumptions!$C$24)^3</f>
        <v/>
      </c>
      <c r="AW7" s="288">
        <f>Assumptions!$C$23*(1+Assumptions!$C$24)^3</f>
        <v/>
      </c>
      <c r="AX7" s="288">
        <f>Assumptions!$C$23*(1+Assumptions!$C$24)^3</f>
        <v/>
      </c>
      <c r="AY7" s="288">
        <f>Assumptions!$C$23*(1+Assumptions!$C$24)^3</f>
        <v/>
      </c>
      <c r="AZ7" s="288">
        <f>Assumptions!$C$23*(1+Assumptions!$C$24)^3</f>
        <v/>
      </c>
      <c r="BA7" s="288">
        <f>AO7</f>
        <v/>
      </c>
      <c r="BB7" s="288">
        <f>Assumptions!$C$23*(1+Assumptions!$C$24)^4</f>
        <v/>
      </c>
      <c r="BC7" s="288">
        <f>Assumptions!$C$23*(1+Assumptions!$C$24)^4</f>
        <v/>
      </c>
      <c r="BD7" s="288">
        <f>Assumptions!$C$23*(1+Assumptions!$C$24)^4</f>
        <v/>
      </c>
      <c r="BE7" s="288">
        <f>Assumptions!$C$23*(1+Assumptions!$C$24)^4</f>
        <v/>
      </c>
      <c r="BF7" s="288">
        <f>Assumptions!$C$23*(1+Assumptions!$C$24)^4</f>
        <v/>
      </c>
      <c r="BG7" s="288">
        <f>Assumptions!$C$23*(1+Assumptions!$C$24)^4</f>
        <v/>
      </c>
      <c r="BH7" s="288">
        <f>Assumptions!$C$23*(1+Assumptions!$C$24)^4</f>
        <v/>
      </c>
      <c r="BI7" s="288">
        <f>Assumptions!$C$23*(1+Assumptions!$C$24)^4</f>
        <v/>
      </c>
      <c r="BJ7" s="288">
        <f>Assumptions!$C$23*(1+Assumptions!$C$24)^4</f>
        <v/>
      </c>
      <c r="BK7" s="288">
        <f>Assumptions!$C$23*(1+Assumptions!$C$24)^4</f>
        <v/>
      </c>
      <c r="BL7" s="288">
        <f>Assumptions!$C$23*(1+Assumptions!$C$24)^4</f>
        <v/>
      </c>
      <c r="BM7" s="288">
        <f>Assumptions!$C$23*(1+Assumptions!$C$24)^4</f>
        <v/>
      </c>
      <c r="BN7" s="288">
        <f>BB7</f>
        <v/>
      </c>
      <c r="BO7" s="202" t="n"/>
      <c r="BP7" s="202" t="n"/>
      <c r="BQ7" s="202" t="n"/>
      <c r="BR7" s="202" t="n"/>
    </row>
    <row r="8">
      <c r="A8" s="271" t="inlineStr">
        <is>
          <t>Revenue from production (₹)</t>
        </is>
      </c>
      <c r="B8" s="272">
        <f>B6*B7</f>
        <v/>
      </c>
      <c r="C8" s="272">
        <f>C6*C7</f>
        <v/>
      </c>
      <c r="D8" s="272">
        <f>D6*D7</f>
        <v/>
      </c>
      <c r="E8" s="272">
        <f>E6*E7</f>
        <v/>
      </c>
      <c r="F8" s="272">
        <f>F6*F7</f>
        <v/>
      </c>
      <c r="G8" s="272">
        <f>G6*G7</f>
        <v/>
      </c>
      <c r="H8" s="272">
        <f>H6*H7</f>
        <v/>
      </c>
      <c r="I8" s="272">
        <f>I6*I7</f>
        <v/>
      </c>
      <c r="J8" s="272">
        <f>J6*J7</f>
        <v/>
      </c>
      <c r="K8" s="272">
        <f>K6*K7</f>
        <v/>
      </c>
      <c r="L8" s="272">
        <f>L6*L7</f>
        <v/>
      </c>
      <c r="M8" s="272">
        <f>M6*M7</f>
        <v/>
      </c>
      <c r="N8" s="272">
        <f>SUM(B8:M8)</f>
        <v/>
      </c>
      <c r="O8" s="272">
        <f>O6*O7</f>
        <v/>
      </c>
      <c r="P8" s="272">
        <f>P6*P7</f>
        <v/>
      </c>
      <c r="Q8" s="272">
        <f>Q6*Q7</f>
        <v/>
      </c>
      <c r="R8" s="272">
        <f>R6*R7</f>
        <v/>
      </c>
      <c r="S8" s="272">
        <f>S6*S7</f>
        <v/>
      </c>
      <c r="T8" s="272">
        <f>T6*T7</f>
        <v/>
      </c>
      <c r="U8" s="272">
        <f>U6*U7</f>
        <v/>
      </c>
      <c r="V8" s="272">
        <f>V6*V7</f>
        <v/>
      </c>
      <c r="W8" s="272">
        <f>W6*W7</f>
        <v/>
      </c>
      <c r="X8" s="272">
        <f>X6*X7</f>
        <v/>
      </c>
      <c r="Y8" s="272">
        <f>Y6*Y7</f>
        <v/>
      </c>
      <c r="Z8" s="272">
        <f>Z6*Z7</f>
        <v/>
      </c>
      <c r="AA8" s="272">
        <f>SUM(O8:Z8)</f>
        <v/>
      </c>
      <c r="AB8" s="272">
        <f>AB6*AB7</f>
        <v/>
      </c>
      <c r="AC8" s="272">
        <f>AC6*AC7</f>
        <v/>
      </c>
      <c r="AD8" s="272">
        <f>AD6*AD7</f>
        <v/>
      </c>
      <c r="AE8" s="272">
        <f>AE6*AE7</f>
        <v/>
      </c>
      <c r="AF8" s="272">
        <f>AF6*AF7</f>
        <v/>
      </c>
      <c r="AG8" s="272">
        <f>AG6*AG7</f>
        <v/>
      </c>
      <c r="AH8" s="272">
        <f>AH6*AH7</f>
        <v/>
      </c>
      <c r="AI8" s="272">
        <f>AI6*AI7</f>
        <v/>
      </c>
      <c r="AJ8" s="272">
        <f>AJ6*AJ7</f>
        <v/>
      </c>
      <c r="AK8" s="272">
        <f>AK6*AK7</f>
        <v/>
      </c>
      <c r="AL8" s="272">
        <f>AL6*AL7</f>
        <v/>
      </c>
      <c r="AM8" s="272">
        <f>AM6*AM7</f>
        <v/>
      </c>
      <c r="AN8" s="272">
        <f>SUM(AB8:AM8)</f>
        <v/>
      </c>
      <c r="AO8" s="272">
        <f>AO6*AO7</f>
        <v/>
      </c>
      <c r="AP8" s="272">
        <f>AP6*AP7</f>
        <v/>
      </c>
      <c r="AQ8" s="272">
        <f>AQ6*AQ7</f>
        <v/>
      </c>
      <c r="AR8" s="272">
        <f>AR6*AR7</f>
        <v/>
      </c>
      <c r="AS8" s="272">
        <f>AS6*AS7</f>
        <v/>
      </c>
      <c r="AT8" s="272">
        <f>AT6*AT7</f>
        <v/>
      </c>
      <c r="AU8" s="272">
        <f>AU6*AU7</f>
        <v/>
      </c>
      <c r="AV8" s="272">
        <f>AV6*AV7</f>
        <v/>
      </c>
      <c r="AW8" s="272">
        <f>AW6*AW7</f>
        <v/>
      </c>
      <c r="AX8" s="272">
        <f>AX6*AX7</f>
        <v/>
      </c>
      <c r="AY8" s="272">
        <f>AY6*AY7</f>
        <v/>
      </c>
      <c r="AZ8" s="272">
        <f>AZ6*AZ7</f>
        <v/>
      </c>
      <c r="BA8" s="272">
        <f>SUM(AO8:AZ8)</f>
        <v/>
      </c>
      <c r="BB8" s="272">
        <f>BB6*BB7</f>
        <v/>
      </c>
      <c r="BC8" s="272">
        <f>BC6*BC7</f>
        <v/>
      </c>
      <c r="BD8" s="272">
        <f>BD6*BD7</f>
        <v/>
      </c>
      <c r="BE8" s="272">
        <f>BE6*BE7</f>
        <v/>
      </c>
      <c r="BF8" s="272">
        <f>BF6*BF7</f>
        <v/>
      </c>
      <c r="BG8" s="272">
        <f>BG6*BG7</f>
        <v/>
      </c>
      <c r="BH8" s="272">
        <f>BH6*BH7</f>
        <v/>
      </c>
      <c r="BI8" s="272">
        <f>BI6*BI7</f>
        <v/>
      </c>
      <c r="BJ8" s="272">
        <f>BJ6*BJ7</f>
        <v/>
      </c>
      <c r="BK8" s="272">
        <f>BK6*BK7</f>
        <v/>
      </c>
      <c r="BL8" s="272">
        <f>BL6*BL7</f>
        <v/>
      </c>
      <c r="BM8" s="272">
        <f>BM6*BM7</f>
        <v/>
      </c>
      <c r="BN8" s="272">
        <f>SUM(BB8:BM8)</f>
        <v/>
      </c>
      <c r="BO8" s="202" t="n"/>
      <c r="BP8" s="202" t="n"/>
      <c r="BQ8" s="202" t="n"/>
      <c r="BR8" s="202" t="n"/>
    </row>
    <row r="9">
      <c r="A9" s="289" t="n"/>
      <c r="B9" s="202" t="n"/>
      <c r="C9" s="202" t="n"/>
      <c r="D9" s="202" t="n"/>
      <c r="E9" s="202" t="n"/>
      <c r="F9" s="202" t="n"/>
      <c r="G9" s="202" t="n"/>
      <c r="H9" s="202" t="n"/>
      <c r="I9" s="202" t="n"/>
      <c r="J9" s="202" t="n"/>
      <c r="K9" s="202" t="n"/>
      <c r="L9" s="202" t="n"/>
      <c r="M9" s="202" t="n"/>
      <c r="N9" s="202" t="n"/>
      <c r="O9" s="202" t="n"/>
      <c r="P9" s="202" t="n"/>
      <c r="Q9" s="202" t="n"/>
      <c r="R9" s="202" t="n"/>
      <c r="S9" s="202" t="n"/>
      <c r="T9" s="202" t="n"/>
      <c r="U9" s="202" t="n"/>
      <c r="V9" s="202" t="n"/>
      <c r="W9" s="202" t="n"/>
      <c r="X9" s="202" t="n"/>
      <c r="Y9" s="202" t="n"/>
      <c r="Z9" s="202" t="n"/>
      <c r="AA9" s="202" t="n"/>
      <c r="AB9" s="202" t="n"/>
      <c r="AC9" s="202" t="n"/>
      <c r="AD9" s="202" t="n"/>
      <c r="AE9" s="202" t="n"/>
      <c r="AF9" s="202" t="n"/>
      <c r="AG9" s="202" t="n"/>
      <c r="AH9" s="202" t="n"/>
      <c r="AI9" s="202" t="n"/>
      <c r="AJ9" s="202" t="n"/>
      <c r="AK9" s="202" t="n"/>
      <c r="AL9" s="202" t="n"/>
      <c r="AM9" s="202" t="n"/>
      <c r="AN9" s="202" t="n"/>
      <c r="AO9" s="202" t="n"/>
      <c r="AP9" s="202" t="n"/>
      <c r="AQ9" s="202" t="n"/>
      <c r="AR9" s="202" t="n"/>
      <c r="AS9" s="202" t="n"/>
      <c r="AT9" s="202" t="n"/>
      <c r="AU9" s="202" t="n"/>
      <c r="AV9" s="202" t="n"/>
      <c r="AW9" s="202" t="n"/>
      <c r="AX9" s="202" t="n"/>
      <c r="AY9" s="202" t="n"/>
      <c r="AZ9" s="202" t="n"/>
      <c r="BA9" s="202" t="n"/>
      <c r="BB9" s="202" t="n"/>
      <c r="BC9" s="202" t="n"/>
      <c r="BD9" s="202" t="n"/>
      <c r="BE9" s="202" t="n"/>
      <c r="BF9" s="202" t="n"/>
      <c r="BG9" s="202" t="n"/>
      <c r="BH9" s="202" t="n"/>
      <c r="BI9" s="202" t="n"/>
      <c r="BJ9" s="202" t="n"/>
      <c r="BK9" s="202" t="n"/>
      <c r="BL9" s="202" t="n"/>
      <c r="BM9" s="202" t="n"/>
      <c r="BN9" s="202" t="n"/>
      <c r="BO9" s="202" t="n"/>
      <c r="BP9" s="202" t="n"/>
      <c r="BQ9" s="202" t="n"/>
      <c r="BR9" s="202" t="n"/>
    </row>
    <row r="10">
      <c r="A10" s="273" t="inlineStr">
        <is>
          <t>By-product / scrap sales — units</t>
        </is>
      </c>
      <c r="B10" s="274">
        <f>Production!B11</f>
        <v/>
      </c>
      <c r="C10" s="274">
        <f>Production!C11</f>
        <v/>
      </c>
      <c r="D10" s="274">
        <f>Production!D11</f>
        <v/>
      </c>
      <c r="E10" s="274">
        <f>Production!E11</f>
        <v/>
      </c>
      <c r="F10" s="274">
        <f>Production!F11</f>
        <v/>
      </c>
      <c r="G10" s="274">
        <f>Production!G11</f>
        <v/>
      </c>
      <c r="H10" s="274">
        <f>Production!H11</f>
        <v/>
      </c>
      <c r="I10" s="274">
        <f>Production!I11</f>
        <v/>
      </c>
      <c r="J10" s="274">
        <f>Production!J11</f>
        <v/>
      </c>
      <c r="K10" s="274">
        <f>Production!K11</f>
        <v/>
      </c>
      <c r="L10" s="274">
        <f>Production!L11</f>
        <v/>
      </c>
      <c r="M10" s="274">
        <f>Production!M11</f>
        <v/>
      </c>
      <c r="N10" s="268">
        <f>SUM(B10:M10)</f>
        <v/>
      </c>
      <c r="O10" s="274">
        <f>Production!O11</f>
        <v/>
      </c>
      <c r="P10" s="274">
        <f>Production!P11</f>
        <v/>
      </c>
      <c r="Q10" s="274">
        <f>Production!Q11</f>
        <v/>
      </c>
      <c r="R10" s="274">
        <f>Production!R11</f>
        <v/>
      </c>
      <c r="S10" s="274">
        <f>Production!S11</f>
        <v/>
      </c>
      <c r="T10" s="274">
        <f>Production!T11</f>
        <v/>
      </c>
      <c r="U10" s="274">
        <f>Production!U11</f>
        <v/>
      </c>
      <c r="V10" s="274">
        <f>Production!V11</f>
        <v/>
      </c>
      <c r="W10" s="274">
        <f>Production!W11</f>
        <v/>
      </c>
      <c r="X10" s="274">
        <f>Production!X11</f>
        <v/>
      </c>
      <c r="Y10" s="274">
        <f>Production!Y11</f>
        <v/>
      </c>
      <c r="Z10" s="274">
        <f>Production!Z11</f>
        <v/>
      </c>
      <c r="AA10" s="268">
        <f>SUM(O10:Z10)</f>
        <v/>
      </c>
      <c r="AB10" s="274">
        <f>Production!AB11</f>
        <v/>
      </c>
      <c r="AC10" s="274">
        <f>Production!AC11</f>
        <v/>
      </c>
      <c r="AD10" s="274">
        <f>Production!AD11</f>
        <v/>
      </c>
      <c r="AE10" s="274">
        <f>Production!AE11</f>
        <v/>
      </c>
      <c r="AF10" s="274">
        <f>Production!AF11</f>
        <v/>
      </c>
      <c r="AG10" s="274">
        <f>Production!AG11</f>
        <v/>
      </c>
      <c r="AH10" s="274">
        <f>Production!AH11</f>
        <v/>
      </c>
      <c r="AI10" s="274">
        <f>Production!AI11</f>
        <v/>
      </c>
      <c r="AJ10" s="274">
        <f>Production!AJ11</f>
        <v/>
      </c>
      <c r="AK10" s="274">
        <f>Production!AK11</f>
        <v/>
      </c>
      <c r="AL10" s="274">
        <f>Production!AL11</f>
        <v/>
      </c>
      <c r="AM10" s="274">
        <f>Production!AM11</f>
        <v/>
      </c>
      <c r="AN10" s="268">
        <f>SUM(AB10:AM10)</f>
        <v/>
      </c>
      <c r="AO10" s="274">
        <f>Production!AO11</f>
        <v/>
      </c>
      <c r="AP10" s="274">
        <f>Production!AP11</f>
        <v/>
      </c>
      <c r="AQ10" s="274">
        <f>Production!AQ11</f>
        <v/>
      </c>
      <c r="AR10" s="274">
        <f>Production!AR11</f>
        <v/>
      </c>
      <c r="AS10" s="274">
        <f>Production!AS11</f>
        <v/>
      </c>
      <c r="AT10" s="274">
        <f>Production!AT11</f>
        <v/>
      </c>
      <c r="AU10" s="274">
        <f>Production!AU11</f>
        <v/>
      </c>
      <c r="AV10" s="274">
        <f>Production!AV11</f>
        <v/>
      </c>
      <c r="AW10" s="274">
        <f>Production!AW11</f>
        <v/>
      </c>
      <c r="AX10" s="274">
        <f>Production!AX11</f>
        <v/>
      </c>
      <c r="AY10" s="274">
        <f>Production!AY11</f>
        <v/>
      </c>
      <c r="AZ10" s="274">
        <f>Production!AZ11</f>
        <v/>
      </c>
      <c r="BA10" s="268">
        <f>SUM(AO10:AZ10)</f>
        <v/>
      </c>
      <c r="BB10" s="274">
        <f>Production!BB11</f>
        <v/>
      </c>
      <c r="BC10" s="274">
        <f>Production!BC11</f>
        <v/>
      </c>
      <c r="BD10" s="274">
        <f>Production!BD11</f>
        <v/>
      </c>
      <c r="BE10" s="274">
        <f>Production!BE11</f>
        <v/>
      </c>
      <c r="BF10" s="274">
        <f>Production!BF11</f>
        <v/>
      </c>
      <c r="BG10" s="274">
        <f>Production!BG11</f>
        <v/>
      </c>
      <c r="BH10" s="274">
        <f>Production!BH11</f>
        <v/>
      </c>
      <c r="BI10" s="274">
        <f>Production!BI11</f>
        <v/>
      </c>
      <c r="BJ10" s="274">
        <f>Production!BJ11</f>
        <v/>
      </c>
      <c r="BK10" s="274">
        <f>Production!BK11</f>
        <v/>
      </c>
      <c r="BL10" s="274">
        <f>Production!BL11</f>
        <v/>
      </c>
      <c r="BM10" s="274">
        <f>Production!BM11</f>
        <v/>
      </c>
      <c r="BN10" s="268">
        <f>SUM(BB10:BM10)</f>
        <v/>
      </c>
      <c r="BO10" s="202" t="n"/>
      <c r="BP10" s="202" t="n"/>
      <c r="BQ10" s="202" t="n"/>
      <c r="BR10" s="202" t="n"/>
    </row>
    <row r="11">
      <c r="A11" s="273" t="inlineStr">
        <is>
          <t>By-product / scrap sales — ₹ / unit</t>
        </is>
      </c>
      <c r="B11" s="290">
        <f>Assumptions!$D$66*(1+Assumptions!$C$24)^0</f>
        <v/>
      </c>
      <c r="C11" s="290">
        <f>Assumptions!$D$66*(1+Assumptions!$C$24)^0</f>
        <v/>
      </c>
      <c r="D11" s="290">
        <f>Assumptions!$D$66*(1+Assumptions!$C$24)^0</f>
        <v/>
      </c>
      <c r="E11" s="290">
        <f>Assumptions!$D$66*(1+Assumptions!$C$24)^0</f>
        <v/>
      </c>
      <c r="F11" s="290">
        <f>Assumptions!$D$66*(1+Assumptions!$C$24)^0</f>
        <v/>
      </c>
      <c r="G11" s="290">
        <f>Assumptions!$D$66*(1+Assumptions!$C$24)^0</f>
        <v/>
      </c>
      <c r="H11" s="290">
        <f>Assumptions!$D$66*(1+Assumptions!$C$24)^0</f>
        <v/>
      </c>
      <c r="I11" s="290">
        <f>Assumptions!$D$66*(1+Assumptions!$C$24)^0</f>
        <v/>
      </c>
      <c r="J11" s="290">
        <f>Assumptions!$D$66*(1+Assumptions!$C$24)^0</f>
        <v/>
      </c>
      <c r="K11" s="290">
        <f>Assumptions!$D$66*(1+Assumptions!$C$24)^0</f>
        <v/>
      </c>
      <c r="L11" s="290">
        <f>Assumptions!$D$66*(1+Assumptions!$C$24)^0</f>
        <v/>
      </c>
      <c r="M11" s="290">
        <f>Assumptions!$D$66*(1+Assumptions!$C$24)^0</f>
        <v/>
      </c>
      <c r="N11" s="290">
        <f>B11</f>
        <v/>
      </c>
      <c r="O11" s="290">
        <f>Assumptions!$D$66*(1+Assumptions!$C$24)^1</f>
        <v/>
      </c>
      <c r="P11" s="290">
        <f>Assumptions!$D$66*(1+Assumptions!$C$24)^1</f>
        <v/>
      </c>
      <c r="Q11" s="290">
        <f>Assumptions!$D$66*(1+Assumptions!$C$24)^1</f>
        <v/>
      </c>
      <c r="R11" s="290">
        <f>Assumptions!$D$66*(1+Assumptions!$C$24)^1</f>
        <v/>
      </c>
      <c r="S11" s="290">
        <f>Assumptions!$D$66*(1+Assumptions!$C$24)^1</f>
        <v/>
      </c>
      <c r="T11" s="290">
        <f>Assumptions!$D$66*(1+Assumptions!$C$24)^1</f>
        <v/>
      </c>
      <c r="U11" s="290">
        <f>Assumptions!$D$66*(1+Assumptions!$C$24)^1</f>
        <v/>
      </c>
      <c r="V11" s="290">
        <f>Assumptions!$D$66*(1+Assumptions!$C$24)^1</f>
        <v/>
      </c>
      <c r="W11" s="290">
        <f>Assumptions!$D$66*(1+Assumptions!$C$24)^1</f>
        <v/>
      </c>
      <c r="X11" s="290">
        <f>Assumptions!$D$66*(1+Assumptions!$C$24)^1</f>
        <v/>
      </c>
      <c r="Y11" s="290">
        <f>Assumptions!$D$66*(1+Assumptions!$C$24)^1</f>
        <v/>
      </c>
      <c r="Z11" s="290">
        <f>Assumptions!$D$66*(1+Assumptions!$C$24)^1</f>
        <v/>
      </c>
      <c r="AA11" s="290">
        <f>O11</f>
        <v/>
      </c>
      <c r="AB11" s="290">
        <f>Assumptions!$D$66*(1+Assumptions!$C$24)^2</f>
        <v/>
      </c>
      <c r="AC11" s="290">
        <f>Assumptions!$D$66*(1+Assumptions!$C$24)^2</f>
        <v/>
      </c>
      <c r="AD11" s="290">
        <f>Assumptions!$D$66*(1+Assumptions!$C$24)^2</f>
        <v/>
      </c>
      <c r="AE11" s="290">
        <f>Assumptions!$D$66*(1+Assumptions!$C$24)^2</f>
        <v/>
      </c>
      <c r="AF11" s="290">
        <f>Assumptions!$D$66*(1+Assumptions!$C$24)^2</f>
        <v/>
      </c>
      <c r="AG11" s="290">
        <f>Assumptions!$D$66*(1+Assumptions!$C$24)^2</f>
        <v/>
      </c>
      <c r="AH11" s="290">
        <f>Assumptions!$D$66*(1+Assumptions!$C$24)^2</f>
        <v/>
      </c>
      <c r="AI11" s="290">
        <f>Assumptions!$D$66*(1+Assumptions!$C$24)^2</f>
        <v/>
      </c>
      <c r="AJ11" s="290">
        <f>Assumptions!$D$66*(1+Assumptions!$C$24)^2</f>
        <v/>
      </c>
      <c r="AK11" s="290">
        <f>Assumptions!$D$66*(1+Assumptions!$C$24)^2</f>
        <v/>
      </c>
      <c r="AL11" s="290">
        <f>Assumptions!$D$66*(1+Assumptions!$C$24)^2</f>
        <v/>
      </c>
      <c r="AM11" s="290">
        <f>Assumptions!$D$66*(1+Assumptions!$C$24)^2</f>
        <v/>
      </c>
      <c r="AN11" s="290">
        <f>AB11</f>
        <v/>
      </c>
      <c r="AO11" s="290">
        <f>Assumptions!$D$66*(1+Assumptions!$C$24)^3</f>
        <v/>
      </c>
      <c r="AP11" s="290">
        <f>Assumptions!$D$66*(1+Assumptions!$C$24)^3</f>
        <v/>
      </c>
      <c r="AQ11" s="290">
        <f>Assumptions!$D$66*(1+Assumptions!$C$24)^3</f>
        <v/>
      </c>
      <c r="AR11" s="290">
        <f>Assumptions!$D$66*(1+Assumptions!$C$24)^3</f>
        <v/>
      </c>
      <c r="AS11" s="290">
        <f>Assumptions!$D$66*(1+Assumptions!$C$24)^3</f>
        <v/>
      </c>
      <c r="AT11" s="290">
        <f>Assumptions!$D$66*(1+Assumptions!$C$24)^3</f>
        <v/>
      </c>
      <c r="AU11" s="290">
        <f>Assumptions!$D$66*(1+Assumptions!$C$24)^3</f>
        <v/>
      </c>
      <c r="AV11" s="290">
        <f>Assumptions!$D$66*(1+Assumptions!$C$24)^3</f>
        <v/>
      </c>
      <c r="AW11" s="290">
        <f>Assumptions!$D$66*(1+Assumptions!$C$24)^3</f>
        <v/>
      </c>
      <c r="AX11" s="290">
        <f>Assumptions!$D$66*(1+Assumptions!$C$24)^3</f>
        <v/>
      </c>
      <c r="AY11" s="290">
        <f>Assumptions!$D$66*(1+Assumptions!$C$24)^3</f>
        <v/>
      </c>
      <c r="AZ11" s="290">
        <f>Assumptions!$D$66*(1+Assumptions!$C$24)^3</f>
        <v/>
      </c>
      <c r="BA11" s="290">
        <f>AO11</f>
        <v/>
      </c>
      <c r="BB11" s="290">
        <f>Assumptions!$D$66*(1+Assumptions!$C$24)^4</f>
        <v/>
      </c>
      <c r="BC11" s="290">
        <f>Assumptions!$D$66*(1+Assumptions!$C$24)^4</f>
        <v/>
      </c>
      <c r="BD11" s="290">
        <f>Assumptions!$D$66*(1+Assumptions!$C$24)^4</f>
        <v/>
      </c>
      <c r="BE11" s="290">
        <f>Assumptions!$D$66*(1+Assumptions!$C$24)^4</f>
        <v/>
      </c>
      <c r="BF11" s="290">
        <f>Assumptions!$D$66*(1+Assumptions!$C$24)^4</f>
        <v/>
      </c>
      <c r="BG11" s="290">
        <f>Assumptions!$D$66*(1+Assumptions!$C$24)^4</f>
        <v/>
      </c>
      <c r="BH11" s="290">
        <f>Assumptions!$D$66*(1+Assumptions!$C$24)^4</f>
        <v/>
      </c>
      <c r="BI11" s="290">
        <f>Assumptions!$D$66*(1+Assumptions!$C$24)^4</f>
        <v/>
      </c>
      <c r="BJ11" s="290">
        <f>Assumptions!$D$66*(1+Assumptions!$C$24)^4</f>
        <v/>
      </c>
      <c r="BK11" s="290">
        <f>Assumptions!$D$66*(1+Assumptions!$C$24)^4</f>
        <v/>
      </c>
      <c r="BL11" s="290">
        <f>Assumptions!$D$66*(1+Assumptions!$C$24)^4</f>
        <v/>
      </c>
      <c r="BM11" s="290">
        <f>Assumptions!$D$66*(1+Assumptions!$C$24)^4</f>
        <v/>
      </c>
      <c r="BN11" s="290">
        <f>BB11</f>
        <v/>
      </c>
      <c r="BO11" s="202" t="n"/>
      <c r="BP11" s="202" t="n"/>
      <c r="BQ11" s="202" t="n"/>
      <c r="BR11" s="202" t="n"/>
    </row>
    <row r="12">
      <c r="A12" s="271" t="inlineStr">
        <is>
          <t>By-product / scrap sales</t>
        </is>
      </c>
      <c r="B12" s="272">
        <f>B10*B11</f>
        <v/>
      </c>
      <c r="C12" s="272">
        <f>C10*C11</f>
        <v/>
      </c>
      <c r="D12" s="272">
        <f>D10*D11</f>
        <v/>
      </c>
      <c r="E12" s="272">
        <f>E10*E11</f>
        <v/>
      </c>
      <c r="F12" s="272">
        <f>F10*F11</f>
        <v/>
      </c>
      <c r="G12" s="272">
        <f>G10*G11</f>
        <v/>
      </c>
      <c r="H12" s="272">
        <f>H10*H11</f>
        <v/>
      </c>
      <c r="I12" s="272">
        <f>I10*I11</f>
        <v/>
      </c>
      <c r="J12" s="272">
        <f>J10*J11</f>
        <v/>
      </c>
      <c r="K12" s="272">
        <f>K10*K11</f>
        <v/>
      </c>
      <c r="L12" s="272">
        <f>L10*L11</f>
        <v/>
      </c>
      <c r="M12" s="272">
        <f>M10*M11</f>
        <v/>
      </c>
      <c r="N12" s="272">
        <f>SUM(B12:M12)</f>
        <v/>
      </c>
      <c r="O12" s="272">
        <f>O10*O11</f>
        <v/>
      </c>
      <c r="P12" s="272">
        <f>P10*P11</f>
        <v/>
      </c>
      <c r="Q12" s="272">
        <f>Q10*Q11</f>
        <v/>
      </c>
      <c r="R12" s="272">
        <f>R10*R11</f>
        <v/>
      </c>
      <c r="S12" s="272">
        <f>S10*S11</f>
        <v/>
      </c>
      <c r="T12" s="272">
        <f>T10*T11</f>
        <v/>
      </c>
      <c r="U12" s="272">
        <f>U10*U11</f>
        <v/>
      </c>
      <c r="V12" s="272">
        <f>V10*V11</f>
        <v/>
      </c>
      <c r="W12" s="272">
        <f>W10*W11</f>
        <v/>
      </c>
      <c r="X12" s="272">
        <f>X10*X11</f>
        <v/>
      </c>
      <c r="Y12" s="272">
        <f>Y10*Y11</f>
        <v/>
      </c>
      <c r="Z12" s="272">
        <f>Z10*Z11</f>
        <v/>
      </c>
      <c r="AA12" s="272">
        <f>SUM(O12:Z12)</f>
        <v/>
      </c>
      <c r="AB12" s="272">
        <f>AB10*AB11</f>
        <v/>
      </c>
      <c r="AC12" s="272">
        <f>AC10*AC11</f>
        <v/>
      </c>
      <c r="AD12" s="272">
        <f>AD10*AD11</f>
        <v/>
      </c>
      <c r="AE12" s="272">
        <f>AE10*AE11</f>
        <v/>
      </c>
      <c r="AF12" s="272">
        <f>AF10*AF11</f>
        <v/>
      </c>
      <c r="AG12" s="272">
        <f>AG10*AG11</f>
        <v/>
      </c>
      <c r="AH12" s="272">
        <f>AH10*AH11</f>
        <v/>
      </c>
      <c r="AI12" s="272">
        <f>AI10*AI11</f>
        <v/>
      </c>
      <c r="AJ12" s="272">
        <f>AJ10*AJ11</f>
        <v/>
      </c>
      <c r="AK12" s="272">
        <f>AK10*AK11</f>
        <v/>
      </c>
      <c r="AL12" s="272">
        <f>AL10*AL11</f>
        <v/>
      </c>
      <c r="AM12" s="272">
        <f>AM10*AM11</f>
        <v/>
      </c>
      <c r="AN12" s="272">
        <f>SUM(AB12:AM12)</f>
        <v/>
      </c>
      <c r="AO12" s="272">
        <f>AO10*AO11</f>
        <v/>
      </c>
      <c r="AP12" s="272">
        <f>AP10*AP11</f>
        <v/>
      </c>
      <c r="AQ12" s="272">
        <f>AQ10*AQ11</f>
        <v/>
      </c>
      <c r="AR12" s="272">
        <f>AR10*AR11</f>
        <v/>
      </c>
      <c r="AS12" s="272">
        <f>AS10*AS11</f>
        <v/>
      </c>
      <c r="AT12" s="272">
        <f>AT10*AT11</f>
        <v/>
      </c>
      <c r="AU12" s="272">
        <f>AU10*AU11</f>
        <v/>
      </c>
      <c r="AV12" s="272">
        <f>AV10*AV11</f>
        <v/>
      </c>
      <c r="AW12" s="272">
        <f>AW10*AW11</f>
        <v/>
      </c>
      <c r="AX12" s="272">
        <f>AX10*AX11</f>
        <v/>
      </c>
      <c r="AY12" s="272">
        <f>AY10*AY11</f>
        <v/>
      </c>
      <c r="AZ12" s="272">
        <f>AZ10*AZ11</f>
        <v/>
      </c>
      <c r="BA12" s="272">
        <f>SUM(AO12:AZ12)</f>
        <v/>
      </c>
      <c r="BB12" s="272">
        <f>BB10*BB11</f>
        <v/>
      </c>
      <c r="BC12" s="272">
        <f>BC10*BC11</f>
        <v/>
      </c>
      <c r="BD12" s="272">
        <f>BD10*BD11</f>
        <v/>
      </c>
      <c r="BE12" s="272">
        <f>BE10*BE11</f>
        <v/>
      </c>
      <c r="BF12" s="272">
        <f>BF10*BF11</f>
        <v/>
      </c>
      <c r="BG12" s="272">
        <f>BG10*BG11</f>
        <v/>
      </c>
      <c r="BH12" s="272">
        <f>BH10*BH11</f>
        <v/>
      </c>
      <c r="BI12" s="272">
        <f>BI10*BI11</f>
        <v/>
      </c>
      <c r="BJ12" s="272">
        <f>BJ10*BJ11</f>
        <v/>
      </c>
      <c r="BK12" s="272">
        <f>BK10*BK11</f>
        <v/>
      </c>
      <c r="BL12" s="272">
        <f>BL10*BL11</f>
        <v/>
      </c>
      <c r="BM12" s="272">
        <f>BM10*BM11</f>
        <v/>
      </c>
      <c r="BN12" s="272">
        <f>SUM(BB12:BM12)</f>
        <v/>
      </c>
      <c r="BO12" s="202" t="n"/>
      <c r="BP12" s="202" t="n"/>
      <c r="BQ12" s="202" t="n"/>
      <c r="BR12" s="202" t="n"/>
    </row>
    <row r="13">
      <c r="A13" s="282" t="n"/>
      <c r="B13" s="291" t="n"/>
      <c r="C13" s="291" t="n"/>
      <c r="D13" s="291" t="n"/>
      <c r="E13" s="291" t="n"/>
      <c r="F13" s="291" t="n"/>
      <c r="G13" s="291" t="n"/>
      <c r="H13" s="291" t="n"/>
      <c r="I13" s="291" t="n"/>
      <c r="J13" s="291" t="n"/>
      <c r="K13" s="291" t="n"/>
      <c r="L13" s="291" t="n"/>
      <c r="M13" s="291" t="n"/>
      <c r="N13" s="286" t="n"/>
      <c r="O13" s="202" t="n"/>
      <c r="P13" s="202" t="n"/>
      <c r="Q13" s="202" t="n"/>
      <c r="R13" s="202" t="n"/>
      <c r="S13" s="202" t="n"/>
      <c r="T13" s="202" t="n"/>
      <c r="U13" s="202" t="n"/>
      <c r="V13" s="202" t="n"/>
      <c r="W13" s="202" t="n"/>
      <c r="X13" s="202" t="n"/>
      <c r="Y13" s="202" t="n"/>
      <c r="Z13" s="202" t="n"/>
      <c r="AA13" s="231" t="n"/>
      <c r="AB13" s="202" t="n"/>
      <c r="AC13" s="202" t="n"/>
      <c r="AD13" s="202" t="n"/>
      <c r="AE13" s="202" t="n"/>
      <c r="AF13" s="202" t="n"/>
      <c r="AG13" s="202" t="n"/>
      <c r="AH13" s="202" t="n"/>
      <c r="AI13" s="202" t="n"/>
      <c r="AJ13" s="202" t="n"/>
      <c r="AK13" s="202" t="n"/>
      <c r="AL13" s="202" t="n"/>
      <c r="AM13" s="202" t="n"/>
      <c r="AN13" s="231" t="n"/>
      <c r="AO13" s="202" t="n"/>
      <c r="AP13" s="202" t="n"/>
      <c r="AQ13" s="202" t="n"/>
      <c r="AR13" s="202" t="n"/>
      <c r="AS13" s="202" t="n"/>
      <c r="AT13" s="202" t="n"/>
      <c r="AU13" s="202" t="n"/>
      <c r="AV13" s="202" t="n"/>
      <c r="AW13" s="202" t="n"/>
      <c r="AX13" s="202" t="n"/>
      <c r="AY13" s="202" t="n"/>
      <c r="AZ13" s="202" t="n"/>
      <c r="BA13" s="231" t="n"/>
      <c r="BB13" s="202" t="n"/>
      <c r="BC13" s="202" t="n"/>
      <c r="BD13" s="202" t="n"/>
      <c r="BE13" s="202" t="n"/>
      <c r="BF13" s="202" t="n"/>
      <c r="BG13" s="202" t="n"/>
      <c r="BH13" s="202" t="n"/>
      <c r="BI13" s="202" t="n"/>
      <c r="BJ13" s="202" t="n"/>
      <c r="BK13" s="202" t="n"/>
      <c r="BL13" s="202" t="n"/>
      <c r="BM13" s="202" t="n"/>
      <c r="BN13" s="231" t="n"/>
      <c r="BO13" s="202" t="n"/>
      <c r="BP13" s="202" t="n"/>
      <c r="BQ13" s="202" t="n"/>
      <c r="BR13" s="202" t="n"/>
    </row>
    <row r="14">
      <c r="A14" s="273" t="inlineStr">
        <is>
          <t>Job work / contract manufacturing — units</t>
        </is>
      </c>
      <c r="B14" s="274">
        <f>Production!B12</f>
        <v/>
      </c>
      <c r="C14" s="274">
        <f>Production!C12</f>
        <v/>
      </c>
      <c r="D14" s="274">
        <f>Production!D12</f>
        <v/>
      </c>
      <c r="E14" s="274">
        <f>Production!E12</f>
        <v/>
      </c>
      <c r="F14" s="274">
        <f>Production!F12</f>
        <v/>
      </c>
      <c r="G14" s="274">
        <f>Production!G12</f>
        <v/>
      </c>
      <c r="H14" s="274">
        <f>Production!H12</f>
        <v/>
      </c>
      <c r="I14" s="274">
        <f>Production!I12</f>
        <v/>
      </c>
      <c r="J14" s="274">
        <f>Production!J12</f>
        <v/>
      </c>
      <c r="K14" s="274">
        <f>Production!K12</f>
        <v/>
      </c>
      <c r="L14" s="274">
        <f>Production!L12</f>
        <v/>
      </c>
      <c r="M14" s="274">
        <f>Production!M12</f>
        <v/>
      </c>
      <c r="N14" s="274">
        <f>SUM(B14:M14)</f>
        <v/>
      </c>
      <c r="O14" s="274">
        <f>Production!O12</f>
        <v/>
      </c>
      <c r="P14" s="274">
        <f>Production!P12</f>
        <v/>
      </c>
      <c r="Q14" s="274">
        <f>Production!Q12</f>
        <v/>
      </c>
      <c r="R14" s="274">
        <f>Production!R12</f>
        <v/>
      </c>
      <c r="S14" s="274">
        <f>Production!S12</f>
        <v/>
      </c>
      <c r="T14" s="274">
        <f>Production!T12</f>
        <v/>
      </c>
      <c r="U14" s="274">
        <f>Production!U12</f>
        <v/>
      </c>
      <c r="V14" s="274">
        <f>Production!V12</f>
        <v/>
      </c>
      <c r="W14" s="274">
        <f>Production!W12</f>
        <v/>
      </c>
      <c r="X14" s="274">
        <f>Production!X12</f>
        <v/>
      </c>
      <c r="Y14" s="274">
        <f>Production!Y12</f>
        <v/>
      </c>
      <c r="Z14" s="274">
        <f>Production!Z12</f>
        <v/>
      </c>
      <c r="AA14" s="274">
        <f>SUM(O14:Z14)</f>
        <v/>
      </c>
      <c r="AB14" s="274">
        <f>Production!AB12</f>
        <v/>
      </c>
      <c r="AC14" s="274">
        <f>Production!AC12</f>
        <v/>
      </c>
      <c r="AD14" s="274">
        <f>Production!AD12</f>
        <v/>
      </c>
      <c r="AE14" s="274">
        <f>Production!AE12</f>
        <v/>
      </c>
      <c r="AF14" s="274">
        <f>Production!AF12</f>
        <v/>
      </c>
      <c r="AG14" s="274">
        <f>Production!AG12</f>
        <v/>
      </c>
      <c r="AH14" s="274">
        <f>Production!AH12</f>
        <v/>
      </c>
      <c r="AI14" s="274">
        <f>Production!AI12</f>
        <v/>
      </c>
      <c r="AJ14" s="274">
        <f>Production!AJ12</f>
        <v/>
      </c>
      <c r="AK14" s="274">
        <f>Production!AK12</f>
        <v/>
      </c>
      <c r="AL14" s="274">
        <f>Production!AL12</f>
        <v/>
      </c>
      <c r="AM14" s="274">
        <f>Production!AM12</f>
        <v/>
      </c>
      <c r="AN14" s="274">
        <f>SUM(AB14:AM14)</f>
        <v/>
      </c>
      <c r="AO14" s="274">
        <f>Production!AO12</f>
        <v/>
      </c>
      <c r="AP14" s="274">
        <f>Production!AP12</f>
        <v/>
      </c>
      <c r="AQ14" s="274">
        <f>Production!AQ12</f>
        <v/>
      </c>
      <c r="AR14" s="274">
        <f>Production!AR12</f>
        <v/>
      </c>
      <c r="AS14" s="274">
        <f>Production!AS12</f>
        <v/>
      </c>
      <c r="AT14" s="274">
        <f>Production!AT12</f>
        <v/>
      </c>
      <c r="AU14" s="274">
        <f>Production!AU12</f>
        <v/>
      </c>
      <c r="AV14" s="274">
        <f>Production!AV12</f>
        <v/>
      </c>
      <c r="AW14" s="274">
        <f>Production!AW12</f>
        <v/>
      </c>
      <c r="AX14" s="274">
        <f>Production!AX12</f>
        <v/>
      </c>
      <c r="AY14" s="274">
        <f>Production!AY12</f>
        <v/>
      </c>
      <c r="AZ14" s="274">
        <f>Production!AZ12</f>
        <v/>
      </c>
      <c r="BA14" s="274">
        <f>SUM(AO14:AZ14)</f>
        <v/>
      </c>
      <c r="BB14" s="274">
        <f>Production!BB12</f>
        <v/>
      </c>
      <c r="BC14" s="274">
        <f>Production!BC12</f>
        <v/>
      </c>
      <c r="BD14" s="274">
        <f>Production!BD12</f>
        <v/>
      </c>
      <c r="BE14" s="274">
        <f>Production!BE12</f>
        <v/>
      </c>
      <c r="BF14" s="274">
        <f>Production!BF12</f>
        <v/>
      </c>
      <c r="BG14" s="274">
        <f>Production!BG12</f>
        <v/>
      </c>
      <c r="BH14" s="274">
        <f>Production!BH12</f>
        <v/>
      </c>
      <c r="BI14" s="274">
        <f>Production!BI12</f>
        <v/>
      </c>
      <c r="BJ14" s="274">
        <f>Production!BJ12</f>
        <v/>
      </c>
      <c r="BK14" s="274">
        <f>Production!BK12</f>
        <v/>
      </c>
      <c r="BL14" s="274">
        <f>Production!BL12</f>
        <v/>
      </c>
      <c r="BM14" s="274">
        <f>Production!BM12</f>
        <v/>
      </c>
      <c r="BN14" s="274">
        <f>SUM(BB14:BM14)</f>
        <v/>
      </c>
      <c r="BO14" s="202" t="n"/>
      <c r="BP14" s="202" t="n"/>
      <c r="BQ14" s="202" t="n"/>
      <c r="BR14" s="202" t="n"/>
    </row>
    <row r="15">
      <c r="A15" s="273" t="inlineStr">
        <is>
          <t>Job work / contract manufacturing — ₹ / unit</t>
        </is>
      </c>
      <c r="B15" s="290">
        <f>Assumptions!$D$67*(1+Assumptions!$C$24)^0</f>
        <v/>
      </c>
      <c r="C15" s="290">
        <f>Assumptions!$D$67*(1+Assumptions!$C$24)^0</f>
        <v/>
      </c>
      <c r="D15" s="290">
        <f>Assumptions!$D$67*(1+Assumptions!$C$24)^0</f>
        <v/>
      </c>
      <c r="E15" s="290">
        <f>Assumptions!$D$67*(1+Assumptions!$C$24)^0</f>
        <v/>
      </c>
      <c r="F15" s="290">
        <f>Assumptions!$D$67*(1+Assumptions!$C$24)^0</f>
        <v/>
      </c>
      <c r="G15" s="290">
        <f>Assumptions!$D$67*(1+Assumptions!$C$24)^0</f>
        <v/>
      </c>
      <c r="H15" s="290">
        <f>Assumptions!$D$67*(1+Assumptions!$C$24)^0</f>
        <v/>
      </c>
      <c r="I15" s="290">
        <f>Assumptions!$D$67*(1+Assumptions!$C$24)^0</f>
        <v/>
      </c>
      <c r="J15" s="290">
        <f>Assumptions!$D$67*(1+Assumptions!$C$24)^0</f>
        <v/>
      </c>
      <c r="K15" s="290">
        <f>Assumptions!$D$67*(1+Assumptions!$C$24)^0</f>
        <v/>
      </c>
      <c r="L15" s="290">
        <f>Assumptions!$D$67*(1+Assumptions!$C$24)^0</f>
        <v/>
      </c>
      <c r="M15" s="290">
        <f>Assumptions!$D$67*(1+Assumptions!$C$24)^0</f>
        <v/>
      </c>
      <c r="N15" s="290">
        <f>B15</f>
        <v/>
      </c>
      <c r="O15" s="290">
        <f>Assumptions!$D$67*(1+Assumptions!$C$24)^1</f>
        <v/>
      </c>
      <c r="P15" s="290">
        <f>Assumptions!$D$67*(1+Assumptions!$C$24)^1</f>
        <v/>
      </c>
      <c r="Q15" s="290">
        <f>Assumptions!$D$67*(1+Assumptions!$C$24)^1</f>
        <v/>
      </c>
      <c r="R15" s="290">
        <f>Assumptions!$D$67*(1+Assumptions!$C$24)^1</f>
        <v/>
      </c>
      <c r="S15" s="290">
        <f>Assumptions!$D$67*(1+Assumptions!$C$24)^1</f>
        <v/>
      </c>
      <c r="T15" s="290">
        <f>Assumptions!$D$67*(1+Assumptions!$C$24)^1</f>
        <v/>
      </c>
      <c r="U15" s="290">
        <f>Assumptions!$D$67*(1+Assumptions!$C$24)^1</f>
        <v/>
      </c>
      <c r="V15" s="290">
        <f>Assumptions!$D$67*(1+Assumptions!$C$24)^1</f>
        <v/>
      </c>
      <c r="W15" s="290">
        <f>Assumptions!$D$67*(1+Assumptions!$C$24)^1</f>
        <v/>
      </c>
      <c r="X15" s="290">
        <f>Assumptions!$D$67*(1+Assumptions!$C$24)^1</f>
        <v/>
      </c>
      <c r="Y15" s="290">
        <f>Assumptions!$D$67*(1+Assumptions!$C$24)^1</f>
        <v/>
      </c>
      <c r="Z15" s="290">
        <f>Assumptions!$D$67*(1+Assumptions!$C$24)^1</f>
        <v/>
      </c>
      <c r="AA15" s="290">
        <f>O15</f>
        <v/>
      </c>
      <c r="AB15" s="290">
        <f>Assumptions!$D$67*(1+Assumptions!$C$24)^2</f>
        <v/>
      </c>
      <c r="AC15" s="290">
        <f>Assumptions!$D$67*(1+Assumptions!$C$24)^2</f>
        <v/>
      </c>
      <c r="AD15" s="290">
        <f>Assumptions!$D$67*(1+Assumptions!$C$24)^2</f>
        <v/>
      </c>
      <c r="AE15" s="290">
        <f>Assumptions!$D$67*(1+Assumptions!$C$24)^2</f>
        <v/>
      </c>
      <c r="AF15" s="290">
        <f>Assumptions!$D$67*(1+Assumptions!$C$24)^2</f>
        <v/>
      </c>
      <c r="AG15" s="290">
        <f>Assumptions!$D$67*(1+Assumptions!$C$24)^2</f>
        <v/>
      </c>
      <c r="AH15" s="290">
        <f>Assumptions!$D$67*(1+Assumptions!$C$24)^2</f>
        <v/>
      </c>
      <c r="AI15" s="290">
        <f>Assumptions!$D$67*(1+Assumptions!$C$24)^2</f>
        <v/>
      </c>
      <c r="AJ15" s="290">
        <f>Assumptions!$D$67*(1+Assumptions!$C$24)^2</f>
        <v/>
      </c>
      <c r="AK15" s="290">
        <f>Assumptions!$D$67*(1+Assumptions!$C$24)^2</f>
        <v/>
      </c>
      <c r="AL15" s="290">
        <f>Assumptions!$D$67*(1+Assumptions!$C$24)^2</f>
        <v/>
      </c>
      <c r="AM15" s="290">
        <f>Assumptions!$D$67*(1+Assumptions!$C$24)^2</f>
        <v/>
      </c>
      <c r="AN15" s="290">
        <f>AB15</f>
        <v/>
      </c>
      <c r="AO15" s="290">
        <f>Assumptions!$D$67*(1+Assumptions!$C$24)^3</f>
        <v/>
      </c>
      <c r="AP15" s="290">
        <f>Assumptions!$D$67*(1+Assumptions!$C$24)^3</f>
        <v/>
      </c>
      <c r="AQ15" s="290">
        <f>Assumptions!$D$67*(1+Assumptions!$C$24)^3</f>
        <v/>
      </c>
      <c r="AR15" s="290">
        <f>Assumptions!$D$67*(1+Assumptions!$C$24)^3</f>
        <v/>
      </c>
      <c r="AS15" s="290">
        <f>Assumptions!$D$67*(1+Assumptions!$C$24)^3</f>
        <v/>
      </c>
      <c r="AT15" s="290">
        <f>Assumptions!$D$67*(1+Assumptions!$C$24)^3</f>
        <v/>
      </c>
      <c r="AU15" s="290">
        <f>Assumptions!$D$67*(1+Assumptions!$C$24)^3</f>
        <v/>
      </c>
      <c r="AV15" s="290">
        <f>Assumptions!$D$67*(1+Assumptions!$C$24)^3</f>
        <v/>
      </c>
      <c r="AW15" s="290">
        <f>Assumptions!$D$67*(1+Assumptions!$C$24)^3</f>
        <v/>
      </c>
      <c r="AX15" s="290">
        <f>Assumptions!$D$67*(1+Assumptions!$C$24)^3</f>
        <v/>
      </c>
      <c r="AY15" s="290">
        <f>Assumptions!$D$67*(1+Assumptions!$C$24)^3</f>
        <v/>
      </c>
      <c r="AZ15" s="290">
        <f>Assumptions!$D$67*(1+Assumptions!$C$24)^3</f>
        <v/>
      </c>
      <c r="BA15" s="290">
        <f>AO15</f>
        <v/>
      </c>
      <c r="BB15" s="290">
        <f>Assumptions!$D$67*(1+Assumptions!$C$24)^4</f>
        <v/>
      </c>
      <c r="BC15" s="290">
        <f>Assumptions!$D$67*(1+Assumptions!$C$24)^4</f>
        <v/>
      </c>
      <c r="BD15" s="290">
        <f>Assumptions!$D$67*(1+Assumptions!$C$24)^4</f>
        <v/>
      </c>
      <c r="BE15" s="290">
        <f>Assumptions!$D$67*(1+Assumptions!$C$24)^4</f>
        <v/>
      </c>
      <c r="BF15" s="290">
        <f>Assumptions!$D$67*(1+Assumptions!$C$24)^4</f>
        <v/>
      </c>
      <c r="BG15" s="290">
        <f>Assumptions!$D$67*(1+Assumptions!$C$24)^4</f>
        <v/>
      </c>
      <c r="BH15" s="290">
        <f>Assumptions!$D$67*(1+Assumptions!$C$24)^4</f>
        <v/>
      </c>
      <c r="BI15" s="290">
        <f>Assumptions!$D$67*(1+Assumptions!$C$24)^4</f>
        <v/>
      </c>
      <c r="BJ15" s="290">
        <f>Assumptions!$D$67*(1+Assumptions!$C$24)^4</f>
        <v/>
      </c>
      <c r="BK15" s="290">
        <f>Assumptions!$D$67*(1+Assumptions!$C$24)^4</f>
        <v/>
      </c>
      <c r="BL15" s="290">
        <f>Assumptions!$D$67*(1+Assumptions!$C$24)^4</f>
        <v/>
      </c>
      <c r="BM15" s="290">
        <f>Assumptions!$D$67*(1+Assumptions!$C$24)^4</f>
        <v/>
      </c>
      <c r="BN15" s="290">
        <f>BB15</f>
        <v/>
      </c>
      <c r="BO15" s="202" t="n"/>
      <c r="BP15" s="202" t="n"/>
      <c r="BQ15" s="202" t="n"/>
      <c r="BR15" s="202" t="n"/>
    </row>
    <row r="16" ht="18" customHeight="1" s="82">
      <c r="A16" s="292" t="inlineStr">
        <is>
          <t>Job work / contract manufacturing</t>
        </is>
      </c>
      <c r="B16" s="272">
        <f>B14*B15</f>
        <v/>
      </c>
      <c r="C16" s="272">
        <f>C14*C15</f>
        <v/>
      </c>
      <c r="D16" s="272">
        <f>D14*D15</f>
        <v/>
      </c>
      <c r="E16" s="272">
        <f>E14*E15</f>
        <v/>
      </c>
      <c r="F16" s="272">
        <f>F14*F15</f>
        <v/>
      </c>
      <c r="G16" s="272">
        <f>G14*G15</f>
        <v/>
      </c>
      <c r="H16" s="272">
        <f>H14*H15</f>
        <v/>
      </c>
      <c r="I16" s="272">
        <f>I14*I15</f>
        <v/>
      </c>
      <c r="J16" s="272">
        <f>J14*J15</f>
        <v/>
      </c>
      <c r="K16" s="272">
        <f>K14*K15</f>
        <v/>
      </c>
      <c r="L16" s="272">
        <f>L14*L15</f>
        <v/>
      </c>
      <c r="M16" s="272">
        <f>M14*M15</f>
        <v/>
      </c>
      <c r="N16" s="272">
        <f>SUM(B16:M16)</f>
        <v/>
      </c>
      <c r="O16" s="272">
        <f>O14*O15</f>
        <v/>
      </c>
      <c r="P16" s="272">
        <f>P14*P15</f>
        <v/>
      </c>
      <c r="Q16" s="272">
        <f>Q14*Q15</f>
        <v/>
      </c>
      <c r="R16" s="272">
        <f>R14*R15</f>
        <v/>
      </c>
      <c r="S16" s="272">
        <f>S14*S15</f>
        <v/>
      </c>
      <c r="T16" s="272">
        <f>T14*T15</f>
        <v/>
      </c>
      <c r="U16" s="272">
        <f>U14*U15</f>
        <v/>
      </c>
      <c r="V16" s="272">
        <f>V14*V15</f>
        <v/>
      </c>
      <c r="W16" s="272">
        <f>W14*W15</f>
        <v/>
      </c>
      <c r="X16" s="272">
        <f>X14*X15</f>
        <v/>
      </c>
      <c r="Y16" s="272">
        <f>Y14*Y15</f>
        <v/>
      </c>
      <c r="Z16" s="272">
        <f>Z14*Z15</f>
        <v/>
      </c>
      <c r="AA16" s="272">
        <f>SUM(O16:Z16)</f>
        <v/>
      </c>
      <c r="AB16" s="272">
        <f>AB14*AB15</f>
        <v/>
      </c>
      <c r="AC16" s="272">
        <f>AC14*AC15</f>
        <v/>
      </c>
      <c r="AD16" s="272">
        <f>AD14*AD15</f>
        <v/>
      </c>
      <c r="AE16" s="272">
        <f>AE14*AE15</f>
        <v/>
      </c>
      <c r="AF16" s="272">
        <f>AF14*AF15</f>
        <v/>
      </c>
      <c r="AG16" s="272">
        <f>AG14*AG15</f>
        <v/>
      </c>
      <c r="AH16" s="272">
        <f>AH14*AH15</f>
        <v/>
      </c>
      <c r="AI16" s="272">
        <f>AI14*AI15</f>
        <v/>
      </c>
      <c r="AJ16" s="272">
        <f>AJ14*AJ15</f>
        <v/>
      </c>
      <c r="AK16" s="272">
        <f>AK14*AK15</f>
        <v/>
      </c>
      <c r="AL16" s="272">
        <f>AL14*AL15</f>
        <v/>
      </c>
      <c r="AM16" s="272">
        <f>AM14*AM15</f>
        <v/>
      </c>
      <c r="AN16" s="272">
        <f>SUM(AB16:AM16)</f>
        <v/>
      </c>
      <c r="AO16" s="272">
        <f>AO14*AO15</f>
        <v/>
      </c>
      <c r="AP16" s="272">
        <f>AP14*AP15</f>
        <v/>
      </c>
      <c r="AQ16" s="272">
        <f>AQ14*AQ15</f>
        <v/>
      </c>
      <c r="AR16" s="272">
        <f>AR14*AR15</f>
        <v/>
      </c>
      <c r="AS16" s="272">
        <f>AS14*AS15</f>
        <v/>
      </c>
      <c r="AT16" s="272">
        <f>AT14*AT15</f>
        <v/>
      </c>
      <c r="AU16" s="272">
        <f>AU14*AU15</f>
        <v/>
      </c>
      <c r="AV16" s="272">
        <f>AV14*AV15</f>
        <v/>
      </c>
      <c r="AW16" s="272">
        <f>AW14*AW15</f>
        <v/>
      </c>
      <c r="AX16" s="272">
        <f>AX14*AX15</f>
        <v/>
      </c>
      <c r="AY16" s="272">
        <f>AY14*AY15</f>
        <v/>
      </c>
      <c r="AZ16" s="272">
        <f>AZ14*AZ15</f>
        <v/>
      </c>
      <c r="BA16" s="272">
        <f>SUM(AO16:AZ16)</f>
        <v/>
      </c>
      <c r="BB16" s="272">
        <f>BB14*BB15</f>
        <v/>
      </c>
      <c r="BC16" s="272">
        <f>BC14*BC15</f>
        <v/>
      </c>
      <c r="BD16" s="272">
        <f>BD14*BD15</f>
        <v/>
      </c>
      <c r="BE16" s="272">
        <f>BE14*BE15</f>
        <v/>
      </c>
      <c r="BF16" s="272">
        <f>BF14*BF15</f>
        <v/>
      </c>
      <c r="BG16" s="272">
        <f>BG14*BG15</f>
        <v/>
      </c>
      <c r="BH16" s="272">
        <f>BH14*BH15</f>
        <v/>
      </c>
      <c r="BI16" s="272">
        <f>BI14*BI15</f>
        <v/>
      </c>
      <c r="BJ16" s="272">
        <f>BJ14*BJ15</f>
        <v/>
      </c>
      <c r="BK16" s="272">
        <f>BK14*BK15</f>
        <v/>
      </c>
      <c r="BL16" s="272">
        <f>BL14*BL15</f>
        <v/>
      </c>
      <c r="BM16" s="272">
        <f>BM14*BM15</f>
        <v/>
      </c>
      <c r="BN16" s="272">
        <f>SUM(BB16:BM16)</f>
        <v/>
      </c>
      <c r="BO16" s="202" t="n"/>
      <c r="BP16" s="202" t="n"/>
      <c r="BQ16" s="202" t="n"/>
      <c r="BR16" s="202" t="n"/>
    </row>
    <row r="17">
      <c r="A17" s="280" t="n"/>
      <c r="B17" s="281" t="n"/>
      <c r="C17" s="281" t="n"/>
      <c r="D17" s="281" t="n"/>
      <c r="E17" s="281" t="n"/>
      <c r="F17" s="281" t="n"/>
      <c r="G17" s="281" t="n"/>
      <c r="H17" s="281" t="n"/>
      <c r="I17" s="281" t="n"/>
      <c r="J17" s="281" t="n"/>
      <c r="K17" s="281" t="n"/>
      <c r="L17" s="281" t="n"/>
      <c r="M17" s="281" t="n"/>
      <c r="N17" s="281" t="n"/>
      <c r="O17" s="202" t="n"/>
      <c r="P17" s="202" t="n"/>
      <c r="Q17" s="202" t="n"/>
      <c r="R17" s="202" t="n"/>
      <c r="S17" s="202" t="n"/>
      <c r="T17" s="202" t="n"/>
      <c r="U17" s="202" t="n"/>
      <c r="V17" s="202" t="n"/>
      <c r="W17" s="202" t="n"/>
      <c r="X17" s="202" t="n"/>
      <c r="Y17" s="202" t="n"/>
      <c r="Z17" s="202" t="n"/>
      <c r="AA17" s="202" t="n"/>
      <c r="AB17" s="202" t="n"/>
      <c r="AC17" s="202" t="n"/>
      <c r="AD17" s="202" t="n"/>
      <c r="AE17" s="202" t="n"/>
      <c r="AF17" s="202" t="n"/>
      <c r="AG17" s="202" t="n"/>
      <c r="AH17" s="202" t="n"/>
      <c r="AI17" s="202" t="n"/>
      <c r="AJ17" s="202" t="n"/>
      <c r="AK17" s="202" t="n"/>
      <c r="AL17" s="202" t="n"/>
      <c r="AM17" s="202" t="n"/>
      <c r="AN17" s="202" t="n"/>
      <c r="AO17" s="202" t="n"/>
      <c r="AP17" s="202" t="n"/>
      <c r="AQ17" s="202" t="n"/>
      <c r="AR17" s="202" t="n"/>
      <c r="AS17" s="202" t="n"/>
      <c r="AT17" s="202" t="n"/>
      <c r="AU17" s="202" t="n"/>
      <c r="AV17" s="202" t="n"/>
      <c r="AW17" s="202" t="n"/>
      <c r="AX17" s="202" t="n"/>
      <c r="AY17" s="202" t="n"/>
      <c r="AZ17" s="202" t="n"/>
      <c r="BA17" s="202" t="n"/>
      <c r="BB17" s="202" t="n"/>
      <c r="BC17" s="202" t="n"/>
      <c r="BD17" s="202" t="n"/>
      <c r="BE17" s="202" t="n"/>
      <c r="BF17" s="202" t="n"/>
      <c r="BG17" s="202" t="n"/>
      <c r="BH17" s="202" t="n"/>
      <c r="BI17" s="202" t="n"/>
      <c r="BJ17" s="202" t="n"/>
      <c r="BK17" s="202" t="n"/>
      <c r="BL17" s="202" t="n"/>
      <c r="BM17" s="202" t="n"/>
      <c r="BN17" s="202" t="n"/>
      <c r="BO17" s="202" t="n"/>
      <c r="BP17" s="202" t="n"/>
      <c r="BQ17" s="202" t="n"/>
      <c r="BR17" s="202" t="n"/>
    </row>
    <row r="18">
      <c r="A18" s="273" t="inlineStr">
        <is>
          <t>Trading of bought-out items — units</t>
        </is>
      </c>
      <c r="B18" s="274">
        <f>Production!B13</f>
        <v/>
      </c>
      <c r="C18" s="274">
        <f>Production!C13</f>
        <v/>
      </c>
      <c r="D18" s="274">
        <f>Production!D13</f>
        <v/>
      </c>
      <c r="E18" s="274">
        <f>Production!E13</f>
        <v/>
      </c>
      <c r="F18" s="274">
        <f>Production!F13</f>
        <v/>
      </c>
      <c r="G18" s="274">
        <f>Production!G13</f>
        <v/>
      </c>
      <c r="H18" s="274">
        <f>Production!H13</f>
        <v/>
      </c>
      <c r="I18" s="274">
        <f>Production!I13</f>
        <v/>
      </c>
      <c r="J18" s="274">
        <f>Production!J13</f>
        <v/>
      </c>
      <c r="K18" s="274">
        <f>Production!K13</f>
        <v/>
      </c>
      <c r="L18" s="274">
        <f>Production!L13</f>
        <v/>
      </c>
      <c r="M18" s="274">
        <f>Production!M13</f>
        <v/>
      </c>
      <c r="N18" s="274">
        <f>SUM(B18:M18)</f>
        <v/>
      </c>
      <c r="O18" s="274">
        <f>Production!O13</f>
        <v/>
      </c>
      <c r="P18" s="274">
        <f>Production!P13</f>
        <v/>
      </c>
      <c r="Q18" s="274">
        <f>Production!Q13</f>
        <v/>
      </c>
      <c r="R18" s="274">
        <f>Production!R13</f>
        <v/>
      </c>
      <c r="S18" s="274">
        <f>Production!S13</f>
        <v/>
      </c>
      <c r="T18" s="274">
        <f>Production!T13</f>
        <v/>
      </c>
      <c r="U18" s="274">
        <f>Production!U13</f>
        <v/>
      </c>
      <c r="V18" s="274">
        <f>Production!V13</f>
        <v/>
      </c>
      <c r="W18" s="274">
        <f>Production!W13</f>
        <v/>
      </c>
      <c r="X18" s="274">
        <f>Production!X13</f>
        <v/>
      </c>
      <c r="Y18" s="274">
        <f>Production!Y13</f>
        <v/>
      </c>
      <c r="Z18" s="274">
        <f>Production!Z13</f>
        <v/>
      </c>
      <c r="AA18" s="274">
        <f>SUM(O18:Z18)</f>
        <v/>
      </c>
      <c r="AB18" s="274">
        <f>Production!AB13</f>
        <v/>
      </c>
      <c r="AC18" s="274">
        <f>Production!AC13</f>
        <v/>
      </c>
      <c r="AD18" s="274">
        <f>Production!AD13</f>
        <v/>
      </c>
      <c r="AE18" s="274">
        <f>Production!AE13</f>
        <v/>
      </c>
      <c r="AF18" s="274">
        <f>Production!AF13</f>
        <v/>
      </c>
      <c r="AG18" s="274">
        <f>Production!AG13</f>
        <v/>
      </c>
      <c r="AH18" s="274">
        <f>Production!AH13</f>
        <v/>
      </c>
      <c r="AI18" s="274">
        <f>Production!AI13</f>
        <v/>
      </c>
      <c r="AJ18" s="274">
        <f>Production!AJ13</f>
        <v/>
      </c>
      <c r="AK18" s="274">
        <f>Production!AK13</f>
        <v/>
      </c>
      <c r="AL18" s="274">
        <f>Production!AL13</f>
        <v/>
      </c>
      <c r="AM18" s="274">
        <f>Production!AM13</f>
        <v/>
      </c>
      <c r="AN18" s="274">
        <f>SUM(AB18:AM18)</f>
        <v/>
      </c>
      <c r="AO18" s="274">
        <f>Production!AO13</f>
        <v/>
      </c>
      <c r="AP18" s="274">
        <f>Production!AP13</f>
        <v/>
      </c>
      <c r="AQ18" s="274">
        <f>Production!AQ13</f>
        <v/>
      </c>
      <c r="AR18" s="274">
        <f>Production!AR13</f>
        <v/>
      </c>
      <c r="AS18" s="274">
        <f>Production!AS13</f>
        <v/>
      </c>
      <c r="AT18" s="274">
        <f>Production!AT13</f>
        <v/>
      </c>
      <c r="AU18" s="274">
        <f>Production!AU13</f>
        <v/>
      </c>
      <c r="AV18" s="274">
        <f>Production!AV13</f>
        <v/>
      </c>
      <c r="AW18" s="274">
        <f>Production!AW13</f>
        <v/>
      </c>
      <c r="AX18" s="274">
        <f>Production!AX13</f>
        <v/>
      </c>
      <c r="AY18" s="274">
        <f>Production!AY13</f>
        <v/>
      </c>
      <c r="AZ18" s="274">
        <f>Production!AZ13</f>
        <v/>
      </c>
      <c r="BA18" s="274">
        <f>SUM(AO18:AZ18)</f>
        <v/>
      </c>
      <c r="BB18" s="274">
        <f>Production!BB13</f>
        <v/>
      </c>
      <c r="BC18" s="274">
        <f>Production!BC13</f>
        <v/>
      </c>
      <c r="BD18" s="274">
        <f>Production!BD13</f>
        <v/>
      </c>
      <c r="BE18" s="274">
        <f>Production!BE13</f>
        <v/>
      </c>
      <c r="BF18" s="274">
        <f>Production!BF13</f>
        <v/>
      </c>
      <c r="BG18" s="274">
        <f>Production!BG13</f>
        <v/>
      </c>
      <c r="BH18" s="274">
        <f>Production!BH13</f>
        <v/>
      </c>
      <c r="BI18" s="274">
        <f>Production!BI13</f>
        <v/>
      </c>
      <c r="BJ18" s="274">
        <f>Production!BJ13</f>
        <v/>
      </c>
      <c r="BK18" s="274">
        <f>Production!BK13</f>
        <v/>
      </c>
      <c r="BL18" s="274">
        <f>Production!BL13</f>
        <v/>
      </c>
      <c r="BM18" s="274">
        <f>Production!BM13</f>
        <v/>
      </c>
      <c r="BN18" s="274">
        <f>SUM(BB18:BM18)</f>
        <v/>
      </c>
      <c r="BO18" s="202" t="n"/>
      <c r="BP18" s="202" t="n"/>
      <c r="BQ18" s="202" t="n"/>
      <c r="BR18" s="202" t="n"/>
    </row>
    <row r="19">
      <c r="A19" s="273" t="inlineStr">
        <is>
          <t>Trading of bought-out items — ₹ / unit</t>
        </is>
      </c>
      <c r="B19" s="290">
        <f>Assumptions!$D$68*(1+Assumptions!$C$24)^0</f>
        <v/>
      </c>
      <c r="C19" s="290">
        <f>Assumptions!$D$68*(1+Assumptions!$C$24)^0</f>
        <v/>
      </c>
      <c r="D19" s="290">
        <f>Assumptions!$D$68*(1+Assumptions!$C$24)^0</f>
        <v/>
      </c>
      <c r="E19" s="290">
        <f>Assumptions!$D$68*(1+Assumptions!$C$24)^0</f>
        <v/>
      </c>
      <c r="F19" s="290">
        <f>Assumptions!$D$68*(1+Assumptions!$C$24)^0</f>
        <v/>
      </c>
      <c r="G19" s="290">
        <f>Assumptions!$D$68*(1+Assumptions!$C$24)^0</f>
        <v/>
      </c>
      <c r="H19" s="290">
        <f>Assumptions!$D$68*(1+Assumptions!$C$24)^0</f>
        <v/>
      </c>
      <c r="I19" s="290">
        <f>Assumptions!$D$68*(1+Assumptions!$C$24)^0</f>
        <v/>
      </c>
      <c r="J19" s="290">
        <f>Assumptions!$D$68*(1+Assumptions!$C$24)^0</f>
        <v/>
      </c>
      <c r="K19" s="290">
        <f>Assumptions!$D$68*(1+Assumptions!$C$24)^0</f>
        <v/>
      </c>
      <c r="L19" s="290">
        <f>Assumptions!$D$68*(1+Assumptions!$C$24)^0</f>
        <v/>
      </c>
      <c r="M19" s="290">
        <f>Assumptions!$D$68*(1+Assumptions!$C$24)^0</f>
        <v/>
      </c>
      <c r="N19" s="290">
        <f>B19</f>
        <v/>
      </c>
      <c r="O19" s="290">
        <f>Assumptions!$D$68*(1+Assumptions!$C$24)^1</f>
        <v/>
      </c>
      <c r="P19" s="290">
        <f>Assumptions!$D$68*(1+Assumptions!$C$24)^1</f>
        <v/>
      </c>
      <c r="Q19" s="290">
        <f>Assumptions!$D$68*(1+Assumptions!$C$24)^1</f>
        <v/>
      </c>
      <c r="R19" s="290">
        <f>Assumptions!$D$68*(1+Assumptions!$C$24)^1</f>
        <v/>
      </c>
      <c r="S19" s="290">
        <f>Assumptions!$D$68*(1+Assumptions!$C$24)^1</f>
        <v/>
      </c>
      <c r="T19" s="290">
        <f>Assumptions!$D$68*(1+Assumptions!$C$24)^1</f>
        <v/>
      </c>
      <c r="U19" s="290">
        <f>Assumptions!$D$68*(1+Assumptions!$C$24)^1</f>
        <v/>
      </c>
      <c r="V19" s="290">
        <f>Assumptions!$D$68*(1+Assumptions!$C$24)^1</f>
        <v/>
      </c>
      <c r="W19" s="290">
        <f>Assumptions!$D$68*(1+Assumptions!$C$24)^1</f>
        <v/>
      </c>
      <c r="X19" s="290">
        <f>Assumptions!$D$68*(1+Assumptions!$C$24)^1</f>
        <v/>
      </c>
      <c r="Y19" s="290">
        <f>Assumptions!$D$68*(1+Assumptions!$C$24)^1</f>
        <v/>
      </c>
      <c r="Z19" s="290">
        <f>Assumptions!$D$68*(1+Assumptions!$C$24)^1</f>
        <v/>
      </c>
      <c r="AA19" s="290">
        <f>O19</f>
        <v/>
      </c>
      <c r="AB19" s="290">
        <f>Assumptions!$D$68*(1+Assumptions!$C$24)^2</f>
        <v/>
      </c>
      <c r="AC19" s="290">
        <f>Assumptions!$D$68*(1+Assumptions!$C$24)^2</f>
        <v/>
      </c>
      <c r="AD19" s="290">
        <f>Assumptions!$D$68*(1+Assumptions!$C$24)^2</f>
        <v/>
      </c>
      <c r="AE19" s="290">
        <f>Assumptions!$D$68*(1+Assumptions!$C$24)^2</f>
        <v/>
      </c>
      <c r="AF19" s="290">
        <f>Assumptions!$D$68*(1+Assumptions!$C$24)^2</f>
        <v/>
      </c>
      <c r="AG19" s="290">
        <f>Assumptions!$D$68*(1+Assumptions!$C$24)^2</f>
        <v/>
      </c>
      <c r="AH19" s="290">
        <f>Assumptions!$D$68*(1+Assumptions!$C$24)^2</f>
        <v/>
      </c>
      <c r="AI19" s="290">
        <f>Assumptions!$D$68*(1+Assumptions!$C$24)^2</f>
        <v/>
      </c>
      <c r="AJ19" s="290">
        <f>Assumptions!$D$68*(1+Assumptions!$C$24)^2</f>
        <v/>
      </c>
      <c r="AK19" s="290">
        <f>Assumptions!$D$68*(1+Assumptions!$C$24)^2</f>
        <v/>
      </c>
      <c r="AL19" s="290">
        <f>Assumptions!$D$68*(1+Assumptions!$C$24)^2</f>
        <v/>
      </c>
      <c r="AM19" s="290">
        <f>Assumptions!$D$68*(1+Assumptions!$C$24)^2</f>
        <v/>
      </c>
      <c r="AN19" s="290">
        <f>AB19</f>
        <v/>
      </c>
      <c r="AO19" s="290">
        <f>Assumptions!$D$68*(1+Assumptions!$C$24)^3</f>
        <v/>
      </c>
      <c r="AP19" s="290">
        <f>Assumptions!$D$68*(1+Assumptions!$C$24)^3</f>
        <v/>
      </c>
      <c r="AQ19" s="290">
        <f>Assumptions!$D$68*(1+Assumptions!$C$24)^3</f>
        <v/>
      </c>
      <c r="AR19" s="290">
        <f>Assumptions!$D$68*(1+Assumptions!$C$24)^3</f>
        <v/>
      </c>
      <c r="AS19" s="290">
        <f>Assumptions!$D$68*(1+Assumptions!$C$24)^3</f>
        <v/>
      </c>
      <c r="AT19" s="290">
        <f>Assumptions!$D$68*(1+Assumptions!$C$24)^3</f>
        <v/>
      </c>
      <c r="AU19" s="290">
        <f>Assumptions!$D$68*(1+Assumptions!$C$24)^3</f>
        <v/>
      </c>
      <c r="AV19" s="290">
        <f>Assumptions!$D$68*(1+Assumptions!$C$24)^3</f>
        <v/>
      </c>
      <c r="AW19" s="290">
        <f>Assumptions!$D$68*(1+Assumptions!$C$24)^3</f>
        <v/>
      </c>
      <c r="AX19" s="290">
        <f>Assumptions!$D$68*(1+Assumptions!$C$24)^3</f>
        <v/>
      </c>
      <c r="AY19" s="290">
        <f>Assumptions!$D$68*(1+Assumptions!$C$24)^3</f>
        <v/>
      </c>
      <c r="AZ19" s="290">
        <f>Assumptions!$D$68*(1+Assumptions!$C$24)^3</f>
        <v/>
      </c>
      <c r="BA19" s="290">
        <f>AO19</f>
        <v/>
      </c>
      <c r="BB19" s="290">
        <f>Assumptions!$D$68*(1+Assumptions!$C$24)^4</f>
        <v/>
      </c>
      <c r="BC19" s="290">
        <f>Assumptions!$D$68*(1+Assumptions!$C$24)^4</f>
        <v/>
      </c>
      <c r="BD19" s="290">
        <f>Assumptions!$D$68*(1+Assumptions!$C$24)^4</f>
        <v/>
      </c>
      <c r="BE19" s="290">
        <f>Assumptions!$D$68*(1+Assumptions!$C$24)^4</f>
        <v/>
      </c>
      <c r="BF19" s="290">
        <f>Assumptions!$D$68*(1+Assumptions!$C$24)^4</f>
        <v/>
      </c>
      <c r="BG19" s="290">
        <f>Assumptions!$D$68*(1+Assumptions!$C$24)^4</f>
        <v/>
      </c>
      <c r="BH19" s="290">
        <f>Assumptions!$D$68*(1+Assumptions!$C$24)^4</f>
        <v/>
      </c>
      <c r="BI19" s="290">
        <f>Assumptions!$D$68*(1+Assumptions!$C$24)^4</f>
        <v/>
      </c>
      <c r="BJ19" s="290">
        <f>Assumptions!$D$68*(1+Assumptions!$C$24)^4</f>
        <v/>
      </c>
      <c r="BK19" s="290">
        <f>Assumptions!$D$68*(1+Assumptions!$C$24)^4</f>
        <v/>
      </c>
      <c r="BL19" s="290">
        <f>Assumptions!$D$68*(1+Assumptions!$C$24)^4</f>
        <v/>
      </c>
      <c r="BM19" s="290">
        <f>Assumptions!$D$68*(1+Assumptions!$C$24)^4</f>
        <v/>
      </c>
      <c r="BN19" s="290">
        <f>BB19</f>
        <v/>
      </c>
      <c r="BO19" s="202" t="n"/>
      <c r="BP19" s="202" t="n"/>
      <c r="BQ19" s="202" t="n"/>
      <c r="BR19" s="202" t="n"/>
    </row>
    <row r="20">
      <c r="A20" s="271" t="inlineStr">
        <is>
          <t>Trading of bought-out items</t>
        </is>
      </c>
      <c r="B20" s="272">
        <f>B18*B19</f>
        <v/>
      </c>
      <c r="C20" s="272">
        <f>C18*C19</f>
        <v/>
      </c>
      <c r="D20" s="272">
        <f>D18*D19</f>
        <v/>
      </c>
      <c r="E20" s="272">
        <f>E18*E19</f>
        <v/>
      </c>
      <c r="F20" s="272">
        <f>F18*F19</f>
        <v/>
      </c>
      <c r="G20" s="272">
        <f>G18*G19</f>
        <v/>
      </c>
      <c r="H20" s="272">
        <f>H18*H19</f>
        <v/>
      </c>
      <c r="I20" s="272">
        <f>I18*I19</f>
        <v/>
      </c>
      <c r="J20" s="272">
        <f>J18*J19</f>
        <v/>
      </c>
      <c r="K20" s="272">
        <f>K18*K19</f>
        <v/>
      </c>
      <c r="L20" s="272">
        <f>L18*L19</f>
        <v/>
      </c>
      <c r="M20" s="272">
        <f>M18*M19</f>
        <v/>
      </c>
      <c r="N20" s="272">
        <f>SUM(B20:M20)</f>
        <v/>
      </c>
      <c r="O20" s="272">
        <f>O18*O19</f>
        <v/>
      </c>
      <c r="P20" s="272">
        <f>P18*P19</f>
        <v/>
      </c>
      <c r="Q20" s="272">
        <f>Q18*Q19</f>
        <v/>
      </c>
      <c r="R20" s="272">
        <f>R18*R19</f>
        <v/>
      </c>
      <c r="S20" s="272">
        <f>S18*S19</f>
        <v/>
      </c>
      <c r="T20" s="272">
        <f>T18*T19</f>
        <v/>
      </c>
      <c r="U20" s="272">
        <f>U18*U19</f>
        <v/>
      </c>
      <c r="V20" s="272">
        <f>V18*V19</f>
        <v/>
      </c>
      <c r="W20" s="272">
        <f>W18*W19</f>
        <v/>
      </c>
      <c r="X20" s="272">
        <f>X18*X19</f>
        <v/>
      </c>
      <c r="Y20" s="272">
        <f>Y18*Y19</f>
        <v/>
      </c>
      <c r="Z20" s="272">
        <f>Z18*Z19</f>
        <v/>
      </c>
      <c r="AA20" s="272">
        <f>SUM(O20:Z20)</f>
        <v/>
      </c>
      <c r="AB20" s="272">
        <f>AB18*AB19</f>
        <v/>
      </c>
      <c r="AC20" s="272">
        <f>AC18*AC19</f>
        <v/>
      </c>
      <c r="AD20" s="272">
        <f>AD18*AD19</f>
        <v/>
      </c>
      <c r="AE20" s="272">
        <f>AE18*AE19</f>
        <v/>
      </c>
      <c r="AF20" s="272">
        <f>AF18*AF19</f>
        <v/>
      </c>
      <c r="AG20" s="272">
        <f>AG18*AG19</f>
        <v/>
      </c>
      <c r="AH20" s="272">
        <f>AH18*AH19</f>
        <v/>
      </c>
      <c r="AI20" s="272">
        <f>AI18*AI19</f>
        <v/>
      </c>
      <c r="AJ20" s="272">
        <f>AJ18*AJ19</f>
        <v/>
      </c>
      <c r="AK20" s="272">
        <f>AK18*AK19</f>
        <v/>
      </c>
      <c r="AL20" s="272">
        <f>AL18*AL19</f>
        <v/>
      </c>
      <c r="AM20" s="272">
        <f>AM18*AM19</f>
        <v/>
      </c>
      <c r="AN20" s="272">
        <f>SUM(AB20:AM20)</f>
        <v/>
      </c>
      <c r="AO20" s="272">
        <f>AO18*AO19</f>
        <v/>
      </c>
      <c r="AP20" s="272">
        <f>AP18*AP19</f>
        <v/>
      </c>
      <c r="AQ20" s="272">
        <f>AQ18*AQ19</f>
        <v/>
      </c>
      <c r="AR20" s="272">
        <f>AR18*AR19</f>
        <v/>
      </c>
      <c r="AS20" s="272">
        <f>AS18*AS19</f>
        <v/>
      </c>
      <c r="AT20" s="272">
        <f>AT18*AT19</f>
        <v/>
      </c>
      <c r="AU20" s="272">
        <f>AU18*AU19</f>
        <v/>
      </c>
      <c r="AV20" s="272">
        <f>AV18*AV19</f>
        <v/>
      </c>
      <c r="AW20" s="272">
        <f>AW18*AW19</f>
        <v/>
      </c>
      <c r="AX20" s="272">
        <f>AX18*AX19</f>
        <v/>
      </c>
      <c r="AY20" s="272">
        <f>AY18*AY19</f>
        <v/>
      </c>
      <c r="AZ20" s="272">
        <f>AZ18*AZ19</f>
        <v/>
      </c>
      <c r="BA20" s="272">
        <f>SUM(AO20:AZ20)</f>
        <v/>
      </c>
      <c r="BB20" s="272">
        <f>BB18*BB19</f>
        <v/>
      </c>
      <c r="BC20" s="272">
        <f>BC18*BC19</f>
        <v/>
      </c>
      <c r="BD20" s="272">
        <f>BD18*BD19</f>
        <v/>
      </c>
      <c r="BE20" s="272">
        <f>BE18*BE19</f>
        <v/>
      </c>
      <c r="BF20" s="272">
        <f>BF18*BF19</f>
        <v/>
      </c>
      <c r="BG20" s="272">
        <f>BG18*BG19</f>
        <v/>
      </c>
      <c r="BH20" s="272">
        <f>BH18*BH19</f>
        <v/>
      </c>
      <c r="BI20" s="272">
        <f>BI18*BI19</f>
        <v/>
      </c>
      <c r="BJ20" s="272">
        <f>BJ18*BJ19</f>
        <v/>
      </c>
      <c r="BK20" s="272">
        <f>BK18*BK19</f>
        <v/>
      </c>
      <c r="BL20" s="272">
        <f>BL18*BL19</f>
        <v/>
      </c>
      <c r="BM20" s="272">
        <f>BM18*BM19</f>
        <v/>
      </c>
      <c r="BN20" s="272">
        <f>SUM(BB20:BM20)</f>
        <v/>
      </c>
      <c r="BO20" s="202" t="n"/>
      <c r="BP20" s="202" t="n"/>
      <c r="BQ20" s="202" t="n"/>
      <c r="BR20" s="202" t="n"/>
    </row>
    <row r="21">
      <c r="A21" s="289" t="n"/>
      <c r="B21" s="202" t="n"/>
      <c r="C21" s="202" t="n"/>
      <c r="D21" s="202" t="n"/>
      <c r="E21" s="202" t="n"/>
      <c r="F21" s="202" t="n"/>
      <c r="G21" s="202" t="n"/>
      <c r="H21" s="202" t="n"/>
      <c r="I21" s="202" t="n"/>
      <c r="J21" s="202" t="n"/>
      <c r="K21" s="202" t="n"/>
      <c r="L21" s="202" t="n"/>
      <c r="M21" s="202" t="n"/>
      <c r="N21" s="202" t="n"/>
      <c r="O21" s="202" t="n"/>
      <c r="P21" s="202" t="n"/>
      <c r="Q21" s="202" t="n"/>
      <c r="R21" s="202" t="n"/>
      <c r="S21" s="202" t="n"/>
      <c r="T21" s="202" t="n"/>
      <c r="U21" s="202" t="n"/>
      <c r="V21" s="202" t="n"/>
      <c r="W21" s="202" t="n"/>
      <c r="X21" s="202" t="n"/>
      <c r="Y21" s="202" t="n"/>
      <c r="Z21" s="202" t="n"/>
      <c r="AA21" s="202" t="n"/>
      <c r="AB21" s="202" t="n"/>
      <c r="AC21" s="202" t="n"/>
      <c r="AD21" s="202" t="n"/>
      <c r="AE21" s="202" t="n"/>
      <c r="AF21" s="202" t="n"/>
      <c r="AG21" s="202" t="n"/>
      <c r="AH21" s="202" t="n"/>
      <c r="AI21" s="202" t="n"/>
      <c r="AJ21" s="202" t="n"/>
      <c r="AK21" s="202" t="n"/>
      <c r="AL21" s="202" t="n"/>
      <c r="AM21" s="202" t="n"/>
      <c r="AN21" s="202" t="n"/>
      <c r="AO21" s="202" t="n"/>
      <c r="AP21" s="202" t="n"/>
      <c r="AQ21" s="202" t="n"/>
      <c r="AR21" s="202" t="n"/>
      <c r="AS21" s="202" t="n"/>
      <c r="AT21" s="202" t="n"/>
      <c r="AU21" s="202" t="n"/>
      <c r="AV21" s="202" t="n"/>
      <c r="AW21" s="202" t="n"/>
      <c r="AX21" s="202" t="n"/>
      <c r="AY21" s="202" t="n"/>
      <c r="AZ21" s="202" t="n"/>
      <c r="BA21" s="202" t="n"/>
      <c r="BB21" s="202" t="n"/>
      <c r="BC21" s="202" t="n"/>
      <c r="BD21" s="202" t="n"/>
      <c r="BE21" s="202" t="n"/>
      <c r="BF21" s="202" t="n"/>
      <c r="BG21" s="202" t="n"/>
      <c r="BH21" s="202" t="n"/>
      <c r="BI21" s="202" t="n"/>
      <c r="BJ21" s="202" t="n"/>
      <c r="BK21" s="202" t="n"/>
      <c r="BL21" s="202" t="n"/>
      <c r="BM21" s="202" t="n"/>
      <c r="BN21" s="202" t="n"/>
      <c r="BO21" s="202" t="n"/>
      <c r="BP21" s="202" t="n"/>
      <c r="BQ21" s="202" t="n"/>
      <c r="BR21" s="202" t="n"/>
    </row>
    <row r="22">
      <c r="A22" s="273" t="inlineStr">
        <is>
          <t>Other operating income — units</t>
        </is>
      </c>
      <c r="B22" s="274">
        <f>Production!B14</f>
        <v/>
      </c>
      <c r="C22" s="274">
        <f>Production!C14</f>
        <v/>
      </c>
      <c r="D22" s="274">
        <f>Production!D14</f>
        <v/>
      </c>
      <c r="E22" s="274">
        <f>Production!E14</f>
        <v/>
      </c>
      <c r="F22" s="274">
        <f>Production!F14</f>
        <v/>
      </c>
      <c r="G22" s="274">
        <f>Production!G14</f>
        <v/>
      </c>
      <c r="H22" s="274">
        <f>Production!H14</f>
        <v/>
      </c>
      <c r="I22" s="274">
        <f>Production!I14</f>
        <v/>
      </c>
      <c r="J22" s="274">
        <f>Production!J14</f>
        <v/>
      </c>
      <c r="K22" s="274">
        <f>Production!K14</f>
        <v/>
      </c>
      <c r="L22" s="274">
        <f>Production!L14</f>
        <v/>
      </c>
      <c r="M22" s="274">
        <f>Production!M14</f>
        <v/>
      </c>
      <c r="N22" s="274">
        <f>SUM(B22:M22)</f>
        <v/>
      </c>
      <c r="O22" s="274">
        <f>Production!O14</f>
        <v/>
      </c>
      <c r="P22" s="274">
        <f>Production!P14</f>
        <v/>
      </c>
      <c r="Q22" s="274">
        <f>Production!Q14</f>
        <v/>
      </c>
      <c r="R22" s="274">
        <f>Production!R14</f>
        <v/>
      </c>
      <c r="S22" s="274">
        <f>Production!S14</f>
        <v/>
      </c>
      <c r="T22" s="274">
        <f>Production!T14</f>
        <v/>
      </c>
      <c r="U22" s="274">
        <f>Production!U14</f>
        <v/>
      </c>
      <c r="V22" s="274">
        <f>Production!V14</f>
        <v/>
      </c>
      <c r="W22" s="274">
        <f>Production!W14</f>
        <v/>
      </c>
      <c r="X22" s="274">
        <f>Production!X14</f>
        <v/>
      </c>
      <c r="Y22" s="274">
        <f>Production!Y14</f>
        <v/>
      </c>
      <c r="Z22" s="274">
        <f>Production!Z14</f>
        <v/>
      </c>
      <c r="AA22" s="274">
        <f>SUM(O22:Z22)</f>
        <v/>
      </c>
      <c r="AB22" s="274">
        <f>Production!AB14</f>
        <v/>
      </c>
      <c r="AC22" s="274">
        <f>Production!AC14</f>
        <v/>
      </c>
      <c r="AD22" s="274">
        <f>Production!AD14</f>
        <v/>
      </c>
      <c r="AE22" s="274">
        <f>Production!AE14</f>
        <v/>
      </c>
      <c r="AF22" s="274">
        <f>Production!AF14</f>
        <v/>
      </c>
      <c r="AG22" s="274">
        <f>Production!AG14</f>
        <v/>
      </c>
      <c r="AH22" s="274">
        <f>Production!AH14</f>
        <v/>
      </c>
      <c r="AI22" s="274">
        <f>Production!AI14</f>
        <v/>
      </c>
      <c r="AJ22" s="274">
        <f>Production!AJ14</f>
        <v/>
      </c>
      <c r="AK22" s="274">
        <f>Production!AK14</f>
        <v/>
      </c>
      <c r="AL22" s="274">
        <f>Production!AL14</f>
        <v/>
      </c>
      <c r="AM22" s="274">
        <f>Production!AM14</f>
        <v/>
      </c>
      <c r="AN22" s="274">
        <f>SUM(AB22:AM22)</f>
        <v/>
      </c>
      <c r="AO22" s="274">
        <f>Production!AO14</f>
        <v/>
      </c>
      <c r="AP22" s="274">
        <f>Production!AP14</f>
        <v/>
      </c>
      <c r="AQ22" s="274">
        <f>Production!AQ14</f>
        <v/>
      </c>
      <c r="AR22" s="274">
        <f>Production!AR14</f>
        <v/>
      </c>
      <c r="AS22" s="274">
        <f>Production!AS14</f>
        <v/>
      </c>
      <c r="AT22" s="274">
        <f>Production!AT14</f>
        <v/>
      </c>
      <c r="AU22" s="274">
        <f>Production!AU14</f>
        <v/>
      </c>
      <c r="AV22" s="274">
        <f>Production!AV14</f>
        <v/>
      </c>
      <c r="AW22" s="274">
        <f>Production!AW14</f>
        <v/>
      </c>
      <c r="AX22" s="274">
        <f>Production!AX14</f>
        <v/>
      </c>
      <c r="AY22" s="274">
        <f>Production!AY14</f>
        <v/>
      </c>
      <c r="AZ22" s="274">
        <f>Production!AZ14</f>
        <v/>
      </c>
      <c r="BA22" s="274">
        <f>SUM(AO22:AZ22)</f>
        <v/>
      </c>
      <c r="BB22" s="274">
        <f>Production!BB14</f>
        <v/>
      </c>
      <c r="BC22" s="274">
        <f>Production!BC14</f>
        <v/>
      </c>
      <c r="BD22" s="274">
        <f>Production!BD14</f>
        <v/>
      </c>
      <c r="BE22" s="274">
        <f>Production!BE14</f>
        <v/>
      </c>
      <c r="BF22" s="274">
        <f>Production!BF14</f>
        <v/>
      </c>
      <c r="BG22" s="274">
        <f>Production!BG14</f>
        <v/>
      </c>
      <c r="BH22" s="274">
        <f>Production!BH14</f>
        <v/>
      </c>
      <c r="BI22" s="274">
        <f>Production!BI14</f>
        <v/>
      </c>
      <c r="BJ22" s="274">
        <f>Production!BJ14</f>
        <v/>
      </c>
      <c r="BK22" s="274">
        <f>Production!BK14</f>
        <v/>
      </c>
      <c r="BL22" s="274">
        <f>Production!BL14</f>
        <v/>
      </c>
      <c r="BM22" s="274">
        <f>Production!BM14</f>
        <v/>
      </c>
      <c r="BN22" s="274">
        <f>SUM(BB22:BM22)</f>
        <v/>
      </c>
      <c r="BO22" s="202" t="n"/>
      <c r="BP22" s="202" t="n"/>
      <c r="BQ22" s="202" t="n"/>
      <c r="BR22" s="202" t="n"/>
    </row>
    <row r="23">
      <c r="A23" s="273" t="inlineStr">
        <is>
          <t>Other operating income — ₹ / unit</t>
        </is>
      </c>
      <c r="B23" s="290">
        <f>Assumptions!$D$69*(1+Assumptions!$C$24)^0</f>
        <v/>
      </c>
      <c r="C23" s="290">
        <f>Assumptions!$D$69*(1+Assumptions!$C$24)^0</f>
        <v/>
      </c>
      <c r="D23" s="290">
        <f>Assumptions!$D$69*(1+Assumptions!$C$24)^0</f>
        <v/>
      </c>
      <c r="E23" s="290">
        <f>Assumptions!$D$69*(1+Assumptions!$C$24)^0</f>
        <v/>
      </c>
      <c r="F23" s="290">
        <f>Assumptions!$D$69*(1+Assumptions!$C$24)^0</f>
        <v/>
      </c>
      <c r="G23" s="290">
        <f>Assumptions!$D$69*(1+Assumptions!$C$24)^0</f>
        <v/>
      </c>
      <c r="H23" s="290">
        <f>Assumptions!$D$69*(1+Assumptions!$C$24)^0</f>
        <v/>
      </c>
      <c r="I23" s="290">
        <f>Assumptions!$D$69*(1+Assumptions!$C$24)^0</f>
        <v/>
      </c>
      <c r="J23" s="290">
        <f>Assumptions!$D$69*(1+Assumptions!$C$24)^0</f>
        <v/>
      </c>
      <c r="K23" s="290">
        <f>Assumptions!$D$69*(1+Assumptions!$C$24)^0</f>
        <v/>
      </c>
      <c r="L23" s="290">
        <f>Assumptions!$D$69*(1+Assumptions!$C$24)^0</f>
        <v/>
      </c>
      <c r="M23" s="290">
        <f>Assumptions!$D$69*(1+Assumptions!$C$24)^0</f>
        <v/>
      </c>
      <c r="N23" s="290">
        <f>B23</f>
        <v/>
      </c>
      <c r="O23" s="290">
        <f>Assumptions!$D$69*(1+Assumptions!$C$24)^1</f>
        <v/>
      </c>
      <c r="P23" s="290">
        <f>Assumptions!$D$69*(1+Assumptions!$C$24)^1</f>
        <v/>
      </c>
      <c r="Q23" s="290">
        <f>Assumptions!$D$69*(1+Assumptions!$C$24)^1</f>
        <v/>
      </c>
      <c r="R23" s="290">
        <f>Assumptions!$D$69*(1+Assumptions!$C$24)^1</f>
        <v/>
      </c>
      <c r="S23" s="290">
        <f>Assumptions!$D$69*(1+Assumptions!$C$24)^1</f>
        <v/>
      </c>
      <c r="T23" s="290">
        <f>Assumptions!$D$69*(1+Assumptions!$C$24)^1</f>
        <v/>
      </c>
      <c r="U23" s="290">
        <f>Assumptions!$D$69*(1+Assumptions!$C$24)^1</f>
        <v/>
      </c>
      <c r="V23" s="290">
        <f>Assumptions!$D$69*(1+Assumptions!$C$24)^1</f>
        <v/>
      </c>
      <c r="W23" s="290">
        <f>Assumptions!$D$69*(1+Assumptions!$C$24)^1</f>
        <v/>
      </c>
      <c r="X23" s="290">
        <f>Assumptions!$D$69*(1+Assumptions!$C$24)^1</f>
        <v/>
      </c>
      <c r="Y23" s="290">
        <f>Assumptions!$D$69*(1+Assumptions!$C$24)^1</f>
        <v/>
      </c>
      <c r="Z23" s="290">
        <f>Assumptions!$D$69*(1+Assumptions!$C$24)^1</f>
        <v/>
      </c>
      <c r="AA23" s="290">
        <f>O23</f>
        <v/>
      </c>
      <c r="AB23" s="290">
        <f>Assumptions!$D$69*(1+Assumptions!$C$24)^2</f>
        <v/>
      </c>
      <c r="AC23" s="290">
        <f>Assumptions!$D$69*(1+Assumptions!$C$24)^2</f>
        <v/>
      </c>
      <c r="AD23" s="290">
        <f>Assumptions!$D$69*(1+Assumptions!$C$24)^2</f>
        <v/>
      </c>
      <c r="AE23" s="290">
        <f>Assumptions!$D$69*(1+Assumptions!$C$24)^2</f>
        <v/>
      </c>
      <c r="AF23" s="290">
        <f>Assumptions!$D$69*(1+Assumptions!$C$24)^2</f>
        <v/>
      </c>
      <c r="AG23" s="290">
        <f>Assumptions!$D$69*(1+Assumptions!$C$24)^2</f>
        <v/>
      </c>
      <c r="AH23" s="290">
        <f>Assumptions!$D$69*(1+Assumptions!$C$24)^2</f>
        <v/>
      </c>
      <c r="AI23" s="290">
        <f>Assumptions!$D$69*(1+Assumptions!$C$24)^2</f>
        <v/>
      </c>
      <c r="AJ23" s="290">
        <f>Assumptions!$D$69*(1+Assumptions!$C$24)^2</f>
        <v/>
      </c>
      <c r="AK23" s="290">
        <f>Assumptions!$D$69*(1+Assumptions!$C$24)^2</f>
        <v/>
      </c>
      <c r="AL23" s="290">
        <f>Assumptions!$D$69*(1+Assumptions!$C$24)^2</f>
        <v/>
      </c>
      <c r="AM23" s="290">
        <f>Assumptions!$D$69*(1+Assumptions!$C$24)^2</f>
        <v/>
      </c>
      <c r="AN23" s="290">
        <f>AB23</f>
        <v/>
      </c>
      <c r="AO23" s="290">
        <f>Assumptions!$D$69*(1+Assumptions!$C$24)^3</f>
        <v/>
      </c>
      <c r="AP23" s="290">
        <f>Assumptions!$D$69*(1+Assumptions!$C$24)^3</f>
        <v/>
      </c>
      <c r="AQ23" s="290">
        <f>Assumptions!$D$69*(1+Assumptions!$C$24)^3</f>
        <v/>
      </c>
      <c r="AR23" s="290">
        <f>Assumptions!$D$69*(1+Assumptions!$C$24)^3</f>
        <v/>
      </c>
      <c r="AS23" s="290">
        <f>Assumptions!$D$69*(1+Assumptions!$C$24)^3</f>
        <v/>
      </c>
      <c r="AT23" s="290">
        <f>Assumptions!$D$69*(1+Assumptions!$C$24)^3</f>
        <v/>
      </c>
      <c r="AU23" s="290">
        <f>Assumptions!$D$69*(1+Assumptions!$C$24)^3</f>
        <v/>
      </c>
      <c r="AV23" s="290">
        <f>Assumptions!$D$69*(1+Assumptions!$C$24)^3</f>
        <v/>
      </c>
      <c r="AW23" s="290">
        <f>Assumptions!$D$69*(1+Assumptions!$C$24)^3</f>
        <v/>
      </c>
      <c r="AX23" s="290">
        <f>Assumptions!$D$69*(1+Assumptions!$C$24)^3</f>
        <v/>
      </c>
      <c r="AY23" s="290">
        <f>Assumptions!$D$69*(1+Assumptions!$C$24)^3</f>
        <v/>
      </c>
      <c r="AZ23" s="290">
        <f>Assumptions!$D$69*(1+Assumptions!$C$24)^3</f>
        <v/>
      </c>
      <c r="BA23" s="290">
        <f>AO23</f>
        <v/>
      </c>
      <c r="BB23" s="290">
        <f>Assumptions!$D$69*(1+Assumptions!$C$24)^4</f>
        <v/>
      </c>
      <c r="BC23" s="290">
        <f>Assumptions!$D$69*(1+Assumptions!$C$24)^4</f>
        <v/>
      </c>
      <c r="BD23" s="290">
        <f>Assumptions!$D$69*(1+Assumptions!$C$24)^4</f>
        <v/>
      </c>
      <c r="BE23" s="290">
        <f>Assumptions!$D$69*(1+Assumptions!$C$24)^4</f>
        <v/>
      </c>
      <c r="BF23" s="290">
        <f>Assumptions!$D$69*(1+Assumptions!$C$24)^4</f>
        <v/>
      </c>
      <c r="BG23" s="290">
        <f>Assumptions!$D$69*(1+Assumptions!$C$24)^4</f>
        <v/>
      </c>
      <c r="BH23" s="290">
        <f>Assumptions!$D$69*(1+Assumptions!$C$24)^4</f>
        <v/>
      </c>
      <c r="BI23" s="290">
        <f>Assumptions!$D$69*(1+Assumptions!$C$24)^4</f>
        <v/>
      </c>
      <c r="BJ23" s="290">
        <f>Assumptions!$D$69*(1+Assumptions!$C$24)^4</f>
        <v/>
      </c>
      <c r="BK23" s="290">
        <f>Assumptions!$D$69*(1+Assumptions!$C$24)^4</f>
        <v/>
      </c>
      <c r="BL23" s="290">
        <f>Assumptions!$D$69*(1+Assumptions!$C$24)^4</f>
        <v/>
      </c>
      <c r="BM23" s="290">
        <f>Assumptions!$D$69*(1+Assumptions!$C$24)^4</f>
        <v/>
      </c>
      <c r="BN23" s="290">
        <f>BB23</f>
        <v/>
      </c>
      <c r="BO23" s="202" t="n"/>
      <c r="BP23" s="202" t="n"/>
      <c r="BQ23" s="202" t="n"/>
      <c r="BR23" s="202" t="n"/>
    </row>
    <row r="24">
      <c r="A24" s="271" t="inlineStr">
        <is>
          <t>Other operating income</t>
        </is>
      </c>
      <c r="B24" s="272">
        <f>B22*B23</f>
        <v/>
      </c>
      <c r="C24" s="272">
        <f>C22*C23</f>
        <v/>
      </c>
      <c r="D24" s="272">
        <f>D22*D23</f>
        <v/>
      </c>
      <c r="E24" s="272">
        <f>E22*E23</f>
        <v/>
      </c>
      <c r="F24" s="272">
        <f>F22*F23</f>
        <v/>
      </c>
      <c r="G24" s="272">
        <f>G22*G23</f>
        <v/>
      </c>
      <c r="H24" s="272">
        <f>H22*H23</f>
        <v/>
      </c>
      <c r="I24" s="272">
        <f>I22*I23</f>
        <v/>
      </c>
      <c r="J24" s="272">
        <f>J22*J23</f>
        <v/>
      </c>
      <c r="K24" s="272">
        <f>K22*K23</f>
        <v/>
      </c>
      <c r="L24" s="272">
        <f>L22*L23</f>
        <v/>
      </c>
      <c r="M24" s="272">
        <f>M22*M23</f>
        <v/>
      </c>
      <c r="N24" s="272">
        <f>SUM(B24:M24)</f>
        <v/>
      </c>
      <c r="O24" s="272">
        <f>O22*O23</f>
        <v/>
      </c>
      <c r="P24" s="272">
        <f>P22*P23</f>
        <v/>
      </c>
      <c r="Q24" s="272">
        <f>Q22*Q23</f>
        <v/>
      </c>
      <c r="R24" s="272">
        <f>R22*R23</f>
        <v/>
      </c>
      <c r="S24" s="272">
        <f>S22*S23</f>
        <v/>
      </c>
      <c r="T24" s="272">
        <f>T22*T23</f>
        <v/>
      </c>
      <c r="U24" s="272">
        <f>U22*U23</f>
        <v/>
      </c>
      <c r="V24" s="272">
        <f>V22*V23</f>
        <v/>
      </c>
      <c r="W24" s="272">
        <f>W22*W23</f>
        <v/>
      </c>
      <c r="X24" s="272">
        <f>X22*X23</f>
        <v/>
      </c>
      <c r="Y24" s="272">
        <f>Y22*Y23</f>
        <v/>
      </c>
      <c r="Z24" s="272">
        <f>Z22*Z23</f>
        <v/>
      </c>
      <c r="AA24" s="272">
        <f>SUM(O24:Z24)</f>
        <v/>
      </c>
      <c r="AB24" s="272">
        <f>AB22*AB23</f>
        <v/>
      </c>
      <c r="AC24" s="272">
        <f>AC22*AC23</f>
        <v/>
      </c>
      <c r="AD24" s="272">
        <f>AD22*AD23</f>
        <v/>
      </c>
      <c r="AE24" s="272">
        <f>AE22*AE23</f>
        <v/>
      </c>
      <c r="AF24" s="272">
        <f>AF22*AF23</f>
        <v/>
      </c>
      <c r="AG24" s="272">
        <f>AG22*AG23</f>
        <v/>
      </c>
      <c r="AH24" s="272">
        <f>AH22*AH23</f>
        <v/>
      </c>
      <c r="AI24" s="272">
        <f>AI22*AI23</f>
        <v/>
      </c>
      <c r="AJ24" s="272">
        <f>AJ22*AJ23</f>
        <v/>
      </c>
      <c r="AK24" s="272">
        <f>AK22*AK23</f>
        <v/>
      </c>
      <c r="AL24" s="272">
        <f>AL22*AL23</f>
        <v/>
      </c>
      <c r="AM24" s="272">
        <f>AM22*AM23</f>
        <v/>
      </c>
      <c r="AN24" s="272">
        <f>SUM(AB24:AM24)</f>
        <v/>
      </c>
      <c r="AO24" s="272">
        <f>AO22*AO23</f>
        <v/>
      </c>
      <c r="AP24" s="272">
        <f>AP22*AP23</f>
        <v/>
      </c>
      <c r="AQ24" s="272">
        <f>AQ22*AQ23</f>
        <v/>
      </c>
      <c r="AR24" s="272">
        <f>AR22*AR23</f>
        <v/>
      </c>
      <c r="AS24" s="272">
        <f>AS22*AS23</f>
        <v/>
      </c>
      <c r="AT24" s="272">
        <f>AT22*AT23</f>
        <v/>
      </c>
      <c r="AU24" s="272">
        <f>AU22*AU23</f>
        <v/>
      </c>
      <c r="AV24" s="272">
        <f>AV22*AV23</f>
        <v/>
      </c>
      <c r="AW24" s="272">
        <f>AW22*AW23</f>
        <v/>
      </c>
      <c r="AX24" s="272">
        <f>AX22*AX23</f>
        <v/>
      </c>
      <c r="AY24" s="272">
        <f>AY22*AY23</f>
        <v/>
      </c>
      <c r="AZ24" s="272">
        <f>AZ22*AZ23</f>
        <v/>
      </c>
      <c r="BA24" s="272">
        <f>SUM(AO24:AZ24)</f>
        <v/>
      </c>
      <c r="BB24" s="272">
        <f>BB22*BB23</f>
        <v/>
      </c>
      <c r="BC24" s="272">
        <f>BC22*BC23</f>
        <v/>
      </c>
      <c r="BD24" s="272">
        <f>BD22*BD23</f>
        <v/>
      </c>
      <c r="BE24" s="272">
        <f>BE22*BE23</f>
        <v/>
      </c>
      <c r="BF24" s="272">
        <f>BF22*BF23</f>
        <v/>
      </c>
      <c r="BG24" s="272">
        <f>BG22*BG23</f>
        <v/>
      </c>
      <c r="BH24" s="272">
        <f>BH22*BH23</f>
        <v/>
      </c>
      <c r="BI24" s="272">
        <f>BI22*BI23</f>
        <v/>
      </c>
      <c r="BJ24" s="272">
        <f>BJ22*BJ23</f>
        <v/>
      </c>
      <c r="BK24" s="272">
        <f>BK22*BK23</f>
        <v/>
      </c>
      <c r="BL24" s="272">
        <f>BL22*BL23</f>
        <v/>
      </c>
      <c r="BM24" s="272">
        <f>BM22*BM23</f>
        <v/>
      </c>
      <c r="BN24" s="272">
        <f>SUM(BB24:BM24)</f>
        <v/>
      </c>
      <c r="BO24" s="202" t="n"/>
      <c r="BP24" s="202" t="n"/>
      <c r="BQ24" s="202" t="n"/>
      <c r="BR24" s="202" t="n"/>
    </row>
    <row r="25">
      <c r="A25" s="282" t="n"/>
      <c r="B25" s="291" t="n"/>
      <c r="C25" s="291" t="n"/>
      <c r="D25" s="291" t="n"/>
      <c r="E25" s="291" t="n"/>
      <c r="F25" s="291" t="n"/>
      <c r="G25" s="291" t="n"/>
      <c r="H25" s="291" t="n"/>
      <c r="I25" s="291" t="n"/>
      <c r="J25" s="291" t="n"/>
      <c r="K25" s="291" t="n"/>
      <c r="L25" s="291" t="n"/>
      <c r="M25" s="291" t="n"/>
      <c r="N25" s="286" t="n"/>
      <c r="O25" s="202" t="n"/>
      <c r="P25" s="202" t="n"/>
      <c r="Q25" s="202" t="n"/>
      <c r="R25" s="202" t="n"/>
      <c r="S25" s="202" t="n"/>
      <c r="T25" s="202" t="n"/>
      <c r="U25" s="202" t="n"/>
      <c r="V25" s="202" t="n"/>
      <c r="W25" s="202" t="n"/>
      <c r="X25" s="202" t="n"/>
      <c r="Y25" s="202" t="n"/>
      <c r="Z25" s="202" t="n"/>
      <c r="AA25" s="202" t="n"/>
      <c r="AB25" s="202" t="n"/>
      <c r="AC25" s="202" t="n"/>
      <c r="AD25" s="202" t="n"/>
      <c r="AE25" s="202" t="n"/>
      <c r="AF25" s="202" t="n"/>
      <c r="AG25" s="202" t="n"/>
      <c r="AH25" s="202" t="n"/>
      <c r="AI25" s="202" t="n"/>
      <c r="AJ25" s="202" t="n"/>
      <c r="AK25" s="202" t="n"/>
      <c r="AL25" s="202" t="n"/>
      <c r="AM25" s="202" t="n"/>
      <c r="AN25" s="202" t="n"/>
      <c r="AO25" s="202" t="n"/>
      <c r="AP25" s="202" t="n"/>
      <c r="AQ25" s="202" t="n"/>
      <c r="AR25" s="202" t="n"/>
      <c r="AS25" s="202" t="n"/>
      <c r="AT25" s="202" t="n"/>
      <c r="AU25" s="202" t="n"/>
      <c r="AV25" s="202" t="n"/>
      <c r="AW25" s="202" t="n"/>
      <c r="AX25" s="202" t="n"/>
      <c r="AY25" s="202" t="n"/>
      <c r="AZ25" s="202" t="n"/>
      <c r="BA25" s="202" t="n"/>
      <c r="BB25" s="202" t="n"/>
      <c r="BC25" s="202" t="n"/>
      <c r="BD25" s="202" t="n"/>
      <c r="BE25" s="202" t="n"/>
      <c r="BF25" s="202" t="n"/>
      <c r="BG25" s="202" t="n"/>
      <c r="BH25" s="202" t="n"/>
      <c r="BI25" s="202" t="n"/>
      <c r="BJ25" s="202" t="n"/>
      <c r="BK25" s="202" t="n"/>
      <c r="BL25" s="202" t="n"/>
      <c r="BM25" s="202" t="n"/>
      <c r="BN25" s="202" t="n"/>
      <c r="BO25" s="202" t="n"/>
      <c r="BP25" s="202" t="n"/>
      <c r="BQ25" s="202" t="n"/>
      <c r="BR25" s="202" t="n"/>
    </row>
    <row r="26">
      <c r="A26" s="293" t="inlineStr">
        <is>
          <t>TOTAL REVENUE</t>
        </is>
      </c>
      <c r="B26" s="294">
        <f>B8+B12+B16+B20+B24</f>
        <v/>
      </c>
      <c r="C26" s="294">
        <f>C8+C12+C16+C20+C24</f>
        <v/>
      </c>
      <c r="D26" s="294">
        <f>D8+D12+D16+D20+D24</f>
        <v/>
      </c>
      <c r="E26" s="294">
        <f>E8+E12+E16+E20+E24</f>
        <v/>
      </c>
      <c r="F26" s="294">
        <f>F8+F12+F16+F20+F24</f>
        <v/>
      </c>
      <c r="G26" s="294">
        <f>G8+G12+G16+G20+G24</f>
        <v/>
      </c>
      <c r="H26" s="294">
        <f>H8+H12+H16+H20+H24</f>
        <v/>
      </c>
      <c r="I26" s="294">
        <f>I8+I12+I16+I20+I24</f>
        <v/>
      </c>
      <c r="J26" s="294">
        <f>J8+J12+J16+J20+J24</f>
        <v/>
      </c>
      <c r="K26" s="294">
        <f>K8+K12+K16+K20+K24</f>
        <v/>
      </c>
      <c r="L26" s="294">
        <f>L8+L12+L16+L20+L24</f>
        <v/>
      </c>
      <c r="M26" s="294">
        <f>M8+M12+M16+M20+M24</f>
        <v/>
      </c>
      <c r="N26" s="294">
        <f>SUM(B26:M26)</f>
        <v/>
      </c>
      <c r="O26" s="294">
        <f>O8+O12+O16+O20+O24</f>
        <v/>
      </c>
      <c r="P26" s="294">
        <f>P8+P12+P16+P20+P24</f>
        <v/>
      </c>
      <c r="Q26" s="294">
        <f>Q8+Q12+Q16+Q20+Q24</f>
        <v/>
      </c>
      <c r="R26" s="294">
        <f>R8+R12+R16+R20+R24</f>
        <v/>
      </c>
      <c r="S26" s="294">
        <f>S8+S12+S16+S20+S24</f>
        <v/>
      </c>
      <c r="T26" s="294">
        <f>T8+T12+T16+T20+T24</f>
        <v/>
      </c>
      <c r="U26" s="294">
        <f>U8+U12+U16+U20+U24</f>
        <v/>
      </c>
      <c r="V26" s="294">
        <f>V8+V12+V16+V20+V24</f>
        <v/>
      </c>
      <c r="W26" s="294">
        <f>W8+W12+W16+W20+W24</f>
        <v/>
      </c>
      <c r="X26" s="294">
        <f>X8+X12+X16+X20+X24</f>
        <v/>
      </c>
      <c r="Y26" s="294">
        <f>Y8+Y12+Y16+Y20+Y24</f>
        <v/>
      </c>
      <c r="Z26" s="294">
        <f>Z8+Z12+Z16+Z20+Z24</f>
        <v/>
      </c>
      <c r="AA26" s="294">
        <f>SUM(O26:Z26)</f>
        <v/>
      </c>
      <c r="AB26" s="294">
        <f>AB8+AB12+AB16+AB20+AB24</f>
        <v/>
      </c>
      <c r="AC26" s="294">
        <f>AC8+AC12+AC16+AC20+AC24</f>
        <v/>
      </c>
      <c r="AD26" s="294">
        <f>AD8+AD12+AD16+AD20+AD24</f>
        <v/>
      </c>
      <c r="AE26" s="294">
        <f>AE8+AE12+AE16+AE20+AE24</f>
        <v/>
      </c>
      <c r="AF26" s="294">
        <f>AF8+AF12+AF16+AF20+AF24</f>
        <v/>
      </c>
      <c r="AG26" s="294">
        <f>AG8+AG12+AG16+AG20+AG24</f>
        <v/>
      </c>
      <c r="AH26" s="294">
        <f>AH8+AH12+AH16+AH20+AH24</f>
        <v/>
      </c>
      <c r="AI26" s="294">
        <f>AI8+AI12+AI16+AI20+AI24</f>
        <v/>
      </c>
      <c r="AJ26" s="294">
        <f>AJ8+AJ12+AJ16+AJ20+AJ24</f>
        <v/>
      </c>
      <c r="AK26" s="294">
        <f>AK8+AK12+AK16+AK20+AK24</f>
        <v/>
      </c>
      <c r="AL26" s="294">
        <f>AL8+AL12+AL16+AL20+AL24</f>
        <v/>
      </c>
      <c r="AM26" s="294">
        <f>AM8+AM12+AM16+AM20+AM24</f>
        <v/>
      </c>
      <c r="AN26" s="294">
        <f>SUM(AB26:AM26)</f>
        <v/>
      </c>
      <c r="AO26" s="294">
        <f>AO8+AO12+AO16+AO20+AO24</f>
        <v/>
      </c>
      <c r="AP26" s="294">
        <f>AP8+AP12+AP16+AP20+AP24</f>
        <v/>
      </c>
      <c r="AQ26" s="294">
        <f>AQ8+AQ12+AQ16+AQ20+AQ24</f>
        <v/>
      </c>
      <c r="AR26" s="294">
        <f>AR8+AR12+AR16+AR20+AR24</f>
        <v/>
      </c>
      <c r="AS26" s="294">
        <f>AS8+AS12+AS16+AS20+AS24</f>
        <v/>
      </c>
      <c r="AT26" s="294">
        <f>AT8+AT12+AT16+AT20+AT24</f>
        <v/>
      </c>
      <c r="AU26" s="294">
        <f>AU8+AU12+AU16+AU20+AU24</f>
        <v/>
      </c>
      <c r="AV26" s="294">
        <f>AV8+AV12+AV16+AV20+AV24</f>
        <v/>
      </c>
      <c r="AW26" s="294">
        <f>AW8+AW12+AW16+AW20+AW24</f>
        <v/>
      </c>
      <c r="AX26" s="294">
        <f>AX8+AX12+AX16+AX20+AX24</f>
        <v/>
      </c>
      <c r="AY26" s="294">
        <f>AY8+AY12+AY16+AY20+AY24</f>
        <v/>
      </c>
      <c r="AZ26" s="294">
        <f>AZ8+AZ12+AZ16+AZ20+AZ24</f>
        <v/>
      </c>
      <c r="BA26" s="294">
        <f>SUM(AO26:AZ26)</f>
        <v/>
      </c>
      <c r="BB26" s="294">
        <f>BB8+BB12+BB16+BB20+BB24</f>
        <v/>
      </c>
      <c r="BC26" s="294">
        <f>BC8+BC12+BC16+BC20+BC24</f>
        <v/>
      </c>
      <c r="BD26" s="294">
        <f>BD8+BD12+BD16+BD20+BD24</f>
        <v/>
      </c>
      <c r="BE26" s="294">
        <f>BE8+BE12+BE16+BE20+BE24</f>
        <v/>
      </c>
      <c r="BF26" s="294">
        <f>BF8+BF12+BF16+BF20+BF24</f>
        <v/>
      </c>
      <c r="BG26" s="294">
        <f>BG8+BG12+BG16+BG20+BG24</f>
        <v/>
      </c>
      <c r="BH26" s="294">
        <f>BH8+BH12+BH16+BH20+BH24</f>
        <v/>
      </c>
      <c r="BI26" s="294">
        <f>BI8+BI12+BI16+BI20+BI24</f>
        <v/>
      </c>
      <c r="BJ26" s="294">
        <f>BJ8+BJ12+BJ16+BJ20+BJ24</f>
        <v/>
      </c>
      <c r="BK26" s="294">
        <f>BK8+BK12+BK16+BK20+BK24</f>
        <v/>
      </c>
      <c r="BL26" s="294">
        <f>BL8+BL12+BL16+BL20+BL24</f>
        <v/>
      </c>
      <c r="BM26" s="294">
        <f>BM8+BM12+BM16+BM20+BM24</f>
        <v/>
      </c>
      <c r="BN26" s="294">
        <f>SUM(BB26:BM26)</f>
        <v/>
      </c>
      <c r="BO26" s="202" t="n"/>
      <c r="BP26" s="202" t="n"/>
      <c r="BQ26" s="202" t="n"/>
      <c r="BR26" s="202" t="n"/>
    </row>
    <row r="27">
      <c r="A27" s="285" t="n"/>
      <c r="B27" s="286" t="n"/>
      <c r="C27" s="286" t="n"/>
      <c r="D27" s="286" t="n"/>
      <c r="E27" s="286" t="n"/>
      <c r="F27" s="286" t="n"/>
      <c r="G27" s="286" t="n"/>
      <c r="H27" s="286" t="n"/>
      <c r="I27" s="286" t="n"/>
      <c r="J27" s="286" t="n"/>
      <c r="K27" s="286" t="n"/>
      <c r="L27" s="286" t="n"/>
      <c r="M27" s="286" t="n"/>
      <c r="N27" s="286" t="n"/>
      <c r="O27" s="202" t="n"/>
      <c r="P27" s="202" t="n"/>
      <c r="Q27" s="202" t="n"/>
      <c r="R27" s="202" t="n"/>
      <c r="S27" s="202" t="n"/>
      <c r="T27" s="202" t="n"/>
      <c r="U27" s="202" t="n"/>
      <c r="V27" s="202" t="n"/>
      <c r="W27" s="202" t="n"/>
      <c r="X27" s="202" t="n"/>
      <c r="Y27" s="202" t="n"/>
      <c r="Z27" s="202" t="n"/>
      <c r="AA27" s="202" t="n"/>
      <c r="AB27" s="202" t="n"/>
      <c r="AC27" s="202" t="n"/>
      <c r="AD27" s="202" t="n"/>
      <c r="AE27" s="202" t="n"/>
      <c r="AF27" s="202" t="n"/>
      <c r="AG27" s="202" t="n"/>
      <c r="AH27" s="202" t="n"/>
      <c r="AI27" s="202" t="n"/>
      <c r="AJ27" s="202" t="n"/>
      <c r="AK27" s="202" t="n"/>
      <c r="AL27" s="202" t="n"/>
      <c r="AM27" s="202" t="n"/>
      <c r="AN27" s="202" t="n"/>
      <c r="AO27" s="202" t="n"/>
      <c r="AP27" s="202" t="n"/>
      <c r="AQ27" s="202" t="n"/>
      <c r="AR27" s="202" t="n"/>
      <c r="AS27" s="202" t="n"/>
      <c r="AT27" s="202" t="n"/>
      <c r="AU27" s="202" t="n"/>
      <c r="AV27" s="202" t="n"/>
      <c r="AW27" s="202" t="n"/>
      <c r="AX27" s="202" t="n"/>
      <c r="AY27" s="202" t="n"/>
      <c r="AZ27" s="202" t="n"/>
      <c r="BA27" s="202" t="n"/>
      <c r="BB27" s="202" t="n"/>
      <c r="BC27" s="202" t="n"/>
      <c r="BD27" s="202" t="n"/>
      <c r="BE27" s="202" t="n"/>
      <c r="BF27" s="202" t="n"/>
      <c r="BG27" s="202" t="n"/>
      <c r="BH27" s="202" t="n"/>
      <c r="BI27" s="202" t="n"/>
      <c r="BJ27" s="202" t="n"/>
      <c r="BK27" s="202" t="n"/>
      <c r="BL27" s="202" t="n"/>
      <c r="BM27" s="202" t="n"/>
      <c r="BN27" s="202" t="n"/>
      <c r="BO27" s="202" t="n"/>
      <c r="BP27" s="202" t="n"/>
      <c r="BQ27" s="202" t="n"/>
      <c r="BR27" s="202" t="n"/>
    </row>
    <row r="28" ht="18" customHeight="1" s="82">
      <c r="A28" s="295" t="inlineStr">
        <is>
          <t>REVENUE BY TARGET MARKET SEGMENT  (₹)</t>
        </is>
      </c>
      <c r="B28" s="278" t="n"/>
      <c r="C28" s="278" t="n"/>
      <c r="D28" s="278" t="n"/>
      <c r="E28" s="278" t="n"/>
      <c r="F28" s="278" t="n"/>
      <c r="G28" s="278" t="n"/>
      <c r="H28" s="278" t="n"/>
      <c r="I28" s="278" t="n"/>
      <c r="J28" s="278" t="n"/>
      <c r="K28" s="278" t="n"/>
      <c r="L28" s="278" t="n"/>
      <c r="M28" s="278" t="n"/>
      <c r="N28" s="278" t="n"/>
      <c r="O28" s="278" t="n"/>
      <c r="P28" s="278" t="n"/>
      <c r="Q28" s="278" t="n"/>
      <c r="R28" s="278" t="n"/>
      <c r="S28" s="278" t="n"/>
      <c r="T28" s="278" t="n"/>
      <c r="U28" s="278" t="n"/>
      <c r="V28" s="278" t="n"/>
      <c r="W28" s="278" t="n"/>
      <c r="X28" s="278" t="n"/>
      <c r="Y28" s="278" t="n"/>
      <c r="Z28" s="278" t="n"/>
      <c r="AA28" s="278" t="n"/>
      <c r="AB28" s="278" t="n"/>
      <c r="AC28" s="278" t="n"/>
      <c r="AD28" s="278" t="n"/>
      <c r="AE28" s="278" t="n"/>
      <c r="AF28" s="278" t="n"/>
      <c r="AG28" s="278" t="n"/>
      <c r="AH28" s="278" t="n"/>
      <c r="AI28" s="278" t="n"/>
      <c r="AJ28" s="278" t="n"/>
      <c r="AK28" s="278" t="n"/>
      <c r="AL28" s="278" t="n"/>
      <c r="AM28" s="278" t="n"/>
      <c r="AN28" s="278" t="n"/>
      <c r="AO28" s="278" t="n"/>
      <c r="AP28" s="278" t="n"/>
      <c r="AQ28" s="278" t="n"/>
      <c r="AR28" s="278" t="n"/>
      <c r="AS28" s="278" t="n"/>
      <c r="AT28" s="278" t="n"/>
      <c r="AU28" s="278" t="n"/>
      <c r="AV28" s="278" t="n"/>
      <c r="AW28" s="278" t="n"/>
      <c r="AX28" s="278" t="n"/>
      <c r="AY28" s="278" t="n"/>
      <c r="AZ28" s="278" t="n"/>
      <c r="BA28" s="278" t="n"/>
      <c r="BB28" s="278" t="n"/>
      <c r="BC28" s="278" t="n"/>
      <c r="BD28" s="278" t="n"/>
      <c r="BE28" s="278" t="n"/>
      <c r="BF28" s="278" t="n"/>
      <c r="BG28" s="278" t="n"/>
      <c r="BH28" s="278" t="n"/>
      <c r="BI28" s="278" t="n"/>
      <c r="BJ28" s="278" t="n"/>
      <c r="BK28" s="278" t="n"/>
      <c r="BL28" s="278" t="n"/>
      <c r="BM28" s="278" t="n"/>
      <c r="BN28" s="278" t="n"/>
      <c r="BO28" s="202" t="n"/>
      <c r="BP28" s="202" t="n"/>
      <c r="BQ28" s="202" t="n"/>
      <c r="BR28" s="202" t="n"/>
    </row>
    <row r="29">
      <c r="A29" s="273">
        <f>IF(Assumptions!$C$58="","",Assumptions!$C$58)</f>
        <v/>
      </c>
      <c r="B29" s="268">
        <f>IF(Assumptions!$C$58="","",IFERROR(B26*Assumptions!$D$58,0))</f>
        <v/>
      </c>
      <c r="C29" s="268">
        <f>IF(Assumptions!$C$58="","",IFERROR(C26*Assumptions!$D$58,0))</f>
        <v/>
      </c>
      <c r="D29" s="268">
        <f>IF(Assumptions!$C$58="","",IFERROR(D26*Assumptions!$D$58,0))</f>
        <v/>
      </c>
      <c r="E29" s="268">
        <f>IF(Assumptions!$C$58="","",IFERROR(E26*Assumptions!$D$58,0))</f>
        <v/>
      </c>
      <c r="F29" s="268">
        <f>IF(Assumptions!$C$58="","",IFERROR(F26*Assumptions!$D$58,0))</f>
        <v/>
      </c>
      <c r="G29" s="268">
        <f>IF(Assumptions!$C$58="","",IFERROR(G26*Assumptions!$D$58,0))</f>
        <v/>
      </c>
      <c r="H29" s="268">
        <f>IF(Assumptions!$C$58="","",IFERROR(H26*Assumptions!$D$58,0))</f>
        <v/>
      </c>
      <c r="I29" s="268">
        <f>IF(Assumptions!$C$58="","",IFERROR(I26*Assumptions!$D$58,0))</f>
        <v/>
      </c>
      <c r="J29" s="268">
        <f>IF(Assumptions!$C$58="","",IFERROR(J26*Assumptions!$D$58,0))</f>
        <v/>
      </c>
      <c r="K29" s="268">
        <f>IF(Assumptions!$C$58="","",IFERROR(K26*Assumptions!$D$58,0))</f>
        <v/>
      </c>
      <c r="L29" s="268">
        <f>IF(Assumptions!$C$58="","",IFERROR(L26*Assumptions!$D$58,0))</f>
        <v/>
      </c>
      <c r="M29" s="268">
        <f>IF(Assumptions!$C$58="","",IFERROR(M26*Assumptions!$D$58,0))</f>
        <v/>
      </c>
      <c r="N29" s="268">
        <f>SUM(B29:M29)</f>
        <v/>
      </c>
      <c r="O29" s="274">
        <f>IF(Assumptions!$C$58="","",IFERROR(O26*Assumptions!$D$58,0))</f>
        <v/>
      </c>
      <c r="P29" s="274">
        <f>IF(Assumptions!$C$58="","",IFERROR(P26*Assumptions!$D$58,0))</f>
        <v/>
      </c>
      <c r="Q29" s="274">
        <f>IF(Assumptions!$C$58="","",IFERROR(Q26*Assumptions!$D$58,0))</f>
        <v/>
      </c>
      <c r="R29" s="274">
        <f>IF(Assumptions!$C$58="","",IFERROR(R26*Assumptions!$D$58,0))</f>
        <v/>
      </c>
      <c r="S29" s="274">
        <f>IF(Assumptions!$C$58="","",IFERROR(S26*Assumptions!$D$58,0))</f>
        <v/>
      </c>
      <c r="T29" s="274">
        <f>IF(Assumptions!$C$58="","",IFERROR(T26*Assumptions!$D$58,0))</f>
        <v/>
      </c>
      <c r="U29" s="274">
        <f>IF(Assumptions!$C$58="","",IFERROR(U26*Assumptions!$D$58,0))</f>
        <v/>
      </c>
      <c r="V29" s="274">
        <f>IF(Assumptions!$C$58="","",IFERROR(V26*Assumptions!$D$58,0))</f>
        <v/>
      </c>
      <c r="W29" s="274">
        <f>IF(Assumptions!$C$58="","",IFERROR(W26*Assumptions!$D$58,0))</f>
        <v/>
      </c>
      <c r="X29" s="274">
        <f>IF(Assumptions!$C$58="","",IFERROR(X26*Assumptions!$D$58,0))</f>
        <v/>
      </c>
      <c r="Y29" s="274">
        <f>IF(Assumptions!$C$58="","",IFERROR(Y26*Assumptions!$D$58,0))</f>
        <v/>
      </c>
      <c r="Z29" s="274">
        <f>IF(Assumptions!$C$58="","",IFERROR(Z26*Assumptions!$D$58,0))</f>
        <v/>
      </c>
      <c r="AA29" s="274">
        <f>SUM(O29:Z29)</f>
        <v/>
      </c>
      <c r="AB29" s="274">
        <f>IF(Assumptions!$C$58="","",IFERROR(AB26*Assumptions!$D$58,0))</f>
        <v/>
      </c>
      <c r="AC29" s="274">
        <f>IF(Assumptions!$C$58="","",IFERROR(AC26*Assumptions!$D$58,0))</f>
        <v/>
      </c>
      <c r="AD29" s="274">
        <f>IF(Assumptions!$C$58="","",IFERROR(AD26*Assumptions!$D$58,0))</f>
        <v/>
      </c>
      <c r="AE29" s="274">
        <f>IF(Assumptions!$C$58="","",IFERROR(AE26*Assumptions!$D$58,0))</f>
        <v/>
      </c>
      <c r="AF29" s="274">
        <f>IF(Assumptions!$C$58="","",IFERROR(AF26*Assumptions!$D$58,0))</f>
        <v/>
      </c>
      <c r="AG29" s="274">
        <f>IF(Assumptions!$C$58="","",IFERROR(AG26*Assumptions!$D$58,0))</f>
        <v/>
      </c>
      <c r="AH29" s="274">
        <f>IF(Assumptions!$C$58="","",IFERROR(AH26*Assumptions!$D$58,0))</f>
        <v/>
      </c>
      <c r="AI29" s="274">
        <f>IF(Assumptions!$C$58="","",IFERROR(AI26*Assumptions!$D$58,0))</f>
        <v/>
      </c>
      <c r="AJ29" s="274">
        <f>IF(Assumptions!$C$58="","",IFERROR(AJ26*Assumptions!$D$58,0))</f>
        <v/>
      </c>
      <c r="AK29" s="274">
        <f>IF(Assumptions!$C$58="","",IFERROR(AK26*Assumptions!$D$58,0))</f>
        <v/>
      </c>
      <c r="AL29" s="274">
        <f>IF(Assumptions!$C$58="","",IFERROR(AL26*Assumptions!$D$58,0))</f>
        <v/>
      </c>
      <c r="AM29" s="274">
        <f>IF(Assumptions!$C$58="","",IFERROR(AM26*Assumptions!$D$58,0))</f>
        <v/>
      </c>
      <c r="AN29" s="274">
        <f>SUM(AB29:AM29)</f>
        <v/>
      </c>
      <c r="AO29" s="274">
        <f>IF(Assumptions!$C$58="","",IFERROR(AO26*Assumptions!$D$58,0))</f>
        <v/>
      </c>
      <c r="AP29" s="274">
        <f>IF(Assumptions!$C$58="","",IFERROR(AP26*Assumptions!$D$58,0))</f>
        <v/>
      </c>
      <c r="AQ29" s="274">
        <f>IF(Assumptions!$C$58="","",IFERROR(AQ26*Assumptions!$D$58,0))</f>
        <v/>
      </c>
      <c r="AR29" s="274">
        <f>IF(Assumptions!$C$58="","",IFERROR(AR26*Assumptions!$D$58,0))</f>
        <v/>
      </c>
      <c r="AS29" s="274">
        <f>IF(Assumptions!$C$58="","",IFERROR(AS26*Assumptions!$D$58,0))</f>
        <v/>
      </c>
      <c r="AT29" s="274">
        <f>IF(Assumptions!$C$58="","",IFERROR(AT26*Assumptions!$D$58,0))</f>
        <v/>
      </c>
      <c r="AU29" s="274">
        <f>IF(Assumptions!$C$58="","",IFERROR(AU26*Assumptions!$D$58,0))</f>
        <v/>
      </c>
      <c r="AV29" s="274">
        <f>IF(Assumptions!$C$58="","",IFERROR(AV26*Assumptions!$D$58,0))</f>
        <v/>
      </c>
      <c r="AW29" s="274">
        <f>IF(Assumptions!$C$58="","",IFERROR(AW26*Assumptions!$D$58,0))</f>
        <v/>
      </c>
      <c r="AX29" s="274">
        <f>IF(Assumptions!$C$58="","",IFERROR(AX26*Assumptions!$D$58,0))</f>
        <v/>
      </c>
      <c r="AY29" s="274">
        <f>IF(Assumptions!$C$58="","",IFERROR(AY26*Assumptions!$D$58,0))</f>
        <v/>
      </c>
      <c r="AZ29" s="274">
        <f>IF(Assumptions!$C$58="","",IFERROR(AZ26*Assumptions!$D$58,0))</f>
        <v/>
      </c>
      <c r="BA29" s="274">
        <f>SUM(AO29:AZ29)</f>
        <v/>
      </c>
      <c r="BB29" s="274">
        <f>IF(Assumptions!$C$58="","",IFERROR(BB26*Assumptions!$D$58,0))</f>
        <v/>
      </c>
      <c r="BC29" s="274">
        <f>IF(Assumptions!$C$58="","",IFERROR(BC26*Assumptions!$D$58,0))</f>
        <v/>
      </c>
      <c r="BD29" s="274">
        <f>IF(Assumptions!$C$58="","",IFERROR(BD26*Assumptions!$D$58,0))</f>
        <v/>
      </c>
      <c r="BE29" s="274">
        <f>IF(Assumptions!$C$58="","",IFERROR(BE26*Assumptions!$D$58,0))</f>
        <v/>
      </c>
      <c r="BF29" s="274">
        <f>IF(Assumptions!$C$58="","",IFERROR(BF26*Assumptions!$D$58,0))</f>
        <v/>
      </c>
      <c r="BG29" s="274">
        <f>IF(Assumptions!$C$58="","",IFERROR(BG26*Assumptions!$D$58,0))</f>
        <v/>
      </c>
      <c r="BH29" s="274">
        <f>IF(Assumptions!$C$58="","",IFERROR(BH26*Assumptions!$D$58,0))</f>
        <v/>
      </c>
      <c r="BI29" s="274">
        <f>IF(Assumptions!$C$58="","",IFERROR(BI26*Assumptions!$D$58,0))</f>
        <v/>
      </c>
      <c r="BJ29" s="274">
        <f>IF(Assumptions!$C$58="","",IFERROR(BJ26*Assumptions!$D$58,0))</f>
        <v/>
      </c>
      <c r="BK29" s="274">
        <f>IF(Assumptions!$C$58="","",IFERROR(BK26*Assumptions!$D$58,0))</f>
        <v/>
      </c>
      <c r="BL29" s="274">
        <f>IF(Assumptions!$C$58="","",IFERROR(BL26*Assumptions!$D$58,0))</f>
        <v/>
      </c>
      <c r="BM29" s="274">
        <f>IF(Assumptions!$C$58="","",IFERROR(BM26*Assumptions!$D$58,0))</f>
        <v/>
      </c>
      <c r="BN29" s="274">
        <f>SUM(BB29:BM29)</f>
        <v/>
      </c>
      <c r="BO29" s="202" t="n"/>
      <c r="BP29" s="202" t="n"/>
      <c r="BQ29" s="202" t="n"/>
      <c r="BR29" s="202" t="n"/>
    </row>
    <row r="30">
      <c r="A30" s="273">
        <f>IF(Assumptions!$C$59="","",Assumptions!$C$59)</f>
        <v/>
      </c>
      <c r="B30" s="274">
        <f>IF(Assumptions!$C$59="","",IFERROR(B26*Assumptions!$D$59,0))</f>
        <v/>
      </c>
      <c r="C30" s="274">
        <f>IF(Assumptions!$C$59="","",IFERROR(C26*Assumptions!$D$59,0))</f>
        <v/>
      </c>
      <c r="D30" s="274">
        <f>IF(Assumptions!$C$59="","",IFERROR(D26*Assumptions!$D$59,0))</f>
        <v/>
      </c>
      <c r="E30" s="274">
        <f>IF(Assumptions!$C$59="","",IFERROR(E26*Assumptions!$D$59,0))</f>
        <v/>
      </c>
      <c r="F30" s="274">
        <f>IF(Assumptions!$C$59="","",IFERROR(F26*Assumptions!$D$59,0))</f>
        <v/>
      </c>
      <c r="G30" s="274">
        <f>IF(Assumptions!$C$59="","",IFERROR(G26*Assumptions!$D$59,0))</f>
        <v/>
      </c>
      <c r="H30" s="274">
        <f>IF(Assumptions!$C$59="","",IFERROR(H26*Assumptions!$D$59,0))</f>
        <v/>
      </c>
      <c r="I30" s="274">
        <f>IF(Assumptions!$C$59="","",IFERROR(I26*Assumptions!$D$59,0))</f>
        <v/>
      </c>
      <c r="J30" s="274">
        <f>IF(Assumptions!$C$59="","",IFERROR(J26*Assumptions!$D$59,0))</f>
        <v/>
      </c>
      <c r="K30" s="274">
        <f>IF(Assumptions!$C$59="","",IFERROR(K26*Assumptions!$D$59,0))</f>
        <v/>
      </c>
      <c r="L30" s="274">
        <f>IF(Assumptions!$C$59="","",IFERROR(L26*Assumptions!$D$59,0))</f>
        <v/>
      </c>
      <c r="M30" s="274">
        <f>IF(Assumptions!$C$59="","",IFERROR(M26*Assumptions!$D$59,0))</f>
        <v/>
      </c>
      <c r="N30" s="274">
        <f>SUM(B30:M30)</f>
        <v/>
      </c>
      <c r="O30" s="274">
        <f>IF(Assumptions!$C$59="","",IFERROR(O26*Assumptions!$D$59,0))</f>
        <v/>
      </c>
      <c r="P30" s="274">
        <f>IF(Assumptions!$C$59="","",IFERROR(P26*Assumptions!$D$59,0))</f>
        <v/>
      </c>
      <c r="Q30" s="274">
        <f>IF(Assumptions!$C$59="","",IFERROR(Q26*Assumptions!$D$59,0))</f>
        <v/>
      </c>
      <c r="R30" s="274">
        <f>IF(Assumptions!$C$59="","",IFERROR(R26*Assumptions!$D$59,0))</f>
        <v/>
      </c>
      <c r="S30" s="274">
        <f>IF(Assumptions!$C$59="","",IFERROR(S26*Assumptions!$D$59,0))</f>
        <v/>
      </c>
      <c r="T30" s="274">
        <f>IF(Assumptions!$C$59="","",IFERROR(T26*Assumptions!$D$59,0))</f>
        <v/>
      </c>
      <c r="U30" s="274">
        <f>IF(Assumptions!$C$59="","",IFERROR(U26*Assumptions!$D$59,0))</f>
        <v/>
      </c>
      <c r="V30" s="274">
        <f>IF(Assumptions!$C$59="","",IFERROR(V26*Assumptions!$D$59,0))</f>
        <v/>
      </c>
      <c r="W30" s="274">
        <f>IF(Assumptions!$C$59="","",IFERROR(W26*Assumptions!$D$59,0))</f>
        <v/>
      </c>
      <c r="X30" s="274">
        <f>IF(Assumptions!$C$59="","",IFERROR(X26*Assumptions!$D$59,0))</f>
        <v/>
      </c>
      <c r="Y30" s="274">
        <f>IF(Assumptions!$C$59="","",IFERROR(Y26*Assumptions!$D$59,0))</f>
        <v/>
      </c>
      <c r="Z30" s="274">
        <f>IF(Assumptions!$C$59="","",IFERROR(Z26*Assumptions!$D$59,0))</f>
        <v/>
      </c>
      <c r="AA30" s="274">
        <f>SUM(O30:Z30)</f>
        <v/>
      </c>
      <c r="AB30" s="274">
        <f>IF(Assumptions!$C$59="","",IFERROR(AB26*Assumptions!$D$59,0))</f>
        <v/>
      </c>
      <c r="AC30" s="274">
        <f>IF(Assumptions!$C$59="","",IFERROR(AC26*Assumptions!$D$59,0))</f>
        <v/>
      </c>
      <c r="AD30" s="274">
        <f>IF(Assumptions!$C$59="","",IFERROR(AD26*Assumptions!$D$59,0))</f>
        <v/>
      </c>
      <c r="AE30" s="274">
        <f>IF(Assumptions!$C$59="","",IFERROR(AE26*Assumptions!$D$59,0))</f>
        <v/>
      </c>
      <c r="AF30" s="274">
        <f>IF(Assumptions!$C$59="","",IFERROR(AF26*Assumptions!$D$59,0))</f>
        <v/>
      </c>
      <c r="AG30" s="274">
        <f>IF(Assumptions!$C$59="","",IFERROR(AG26*Assumptions!$D$59,0))</f>
        <v/>
      </c>
      <c r="AH30" s="274">
        <f>IF(Assumptions!$C$59="","",IFERROR(AH26*Assumptions!$D$59,0))</f>
        <v/>
      </c>
      <c r="AI30" s="274">
        <f>IF(Assumptions!$C$59="","",IFERROR(AI26*Assumptions!$D$59,0))</f>
        <v/>
      </c>
      <c r="AJ30" s="274">
        <f>IF(Assumptions!$C$59="","",IFERROR(AJ26*Assumptions!$D$59,0))</f>
        <v/>
      </c>
      <c r="AK30" s="274">
        <f>IF(Assumptions!$C$59="","",IFERROR(AK26*Assumptions!$D$59,0))</f>
        <v/>
      </c>
      <c r="AL30" s="274">
        <f>IF(Assumptions!$C$59="","",IFERROR(AL26*Assumptions!$D$59,0))</f>
        <v/>
      </c>
      <c r="AM30" s="274">
        <f>IF(Assumptions!$C$59="","",IFERROR(AM26*Assumptions!$D$59,0))</f>
        <v/>
      </c>
      <c r="AN30" s="274">
        <f>SUM(AB30:AM30)</f>
        <v/>
      </c>
      <c r="AO30" s="274">
        <f>IF(Assumptions!$C$59="","",IFERROR(AO26*Assumptions!$D$59,0))</f>
        <v/>
      </c>
      <c r="AP30" s="274">
        <f>IF(Assumptions!$C$59="","",IFERROR(AP26*Assumptions!$D$59,0))</f>
        <v/>
      </c>
      <c r="AQ30" s="274">
        <f>IF(Assumptions!$C$59="","",IFERROR(AQ26*Assumptions!$D$59,0))</f>
        <v/>
      </c>
      <c r="AR30" s="274">
        <f>IF(Assumptions!$C$59="","",IFERROR(AR26*Assumptions!$D$59,0))</f>
        <v/>
      </c>
      <c r="AS30" s="274">
        <f>IF(Assumptions!$C$59="","",IFERROR(AS26*Assumptions!$D$59,0))</f>
        <v/>
      </c>
      <c r="AT30" s="274">
        <f>IF(Assumptions!$C$59="","",IFERROR(AT26*Assumptions!$D$59,0))</f>
        <v/>
      </c>
      <c r="AU30" s="274">
        <f>IF(Assumptions!$C$59="","",IFERROR(AU26*Assumptions!$D$59,0))</f>
        <v/>
      </c>
      <c r="AV30" s="274">
        <f>IF(Assumptions!$C$59="","",IFERROR(AV26*Assumptions!$D$59,0))</f>
        <v/>
      </c>
      <c r="AW30" s="274">
        <f>IF(Assumptions!$C$59="","",IFERROR(AW26*Assumptions!$D$59,0))</f>
        <v/>
      </c>
      <c r="AX30" s="274">
        <f>IF(Assumptions!$C$59="","",IFERROR(AX26*Assumptions!$D$59,0))</f>
        <v/>
      </c>
      <c r="AY30" s="274">
        <f>IF(Assumptions!$C$59="","",IFERROR(AY26*Assumptions!$D$59,0))</f>
        <v/>
      </c>
      <c r="AZ30" s="274">
        <f>IF(Assumptions!$C$59="","",IFERROR(AZ26*Assumptions!$D$59,0))</f>
        <v/>
      </c>
      <c r="BA30" s="274">
        <f>SUM(AO30:AZ30)</f>
        <v/>
      </c>
      <c r="BB30" s="274">
        <f>IF(Assumptions!$C$59="","",IFERROR(BB26*Assumptions!$D$59,0))</f>
        <v/>
      </c>
      <c r="BC30" s="274">
        <f>IF(Assumptions!$C$59="","",IFERROR(BC26*Assumptions!$D$59,0))</f>
        <v/>
      </c>
      <c r="BD30" s="274">
        <f>IF(Assumptions!$C$59="","",IFERROR(BD26*Assumptions!$D$59,0))</f>
        <v/>
      </c>
      <c r="BE30" s="274">
        <f>IF(Assumptions!$C$59="","",IFERROR(BE26*Assumptions!$D$59,0))</f>
        <v/>
      </c>
      <c r="BF30" s="274">
        <f>IF(Assumptions!$C$59="","",IFERROR(BF26*Assumptions!$D$59,0))</f>
        <v/>
      </c>
      <c r="BG30" s="274">
        <f>IF(Assumptions!$C$59="","",IFERROR(BG26*Assumptions!$D$59,0))</f>
        <v/>
      </c>
      <c r="BH30" s="274">
        <f>IF(Assumptions!$C$59="","",IFERROR(BH26*Assumptions!$D$59,0))</f>
        <v/>
      </c>
      <c r="BI30" s="274">
        <f>IF(Assumptions!$C$59="","",IFERROR(BI26*Assumptions!$D$59,0))</f>
        <v/>
      </c>
      <c r="BJ30" s="274">
        <f>IF(Assumptions!$C$59="","",IFERROR(BJ26*Assumptions!$D$59,0))</f>
        <v/>
      </c>
      <c r="BK30" s="274">
        <f>IF(Assumptions!$C$59="","",IFERROR(BK26*Assumptions!$D$59,0))</f>
        <v/>
      </c>
      <c r="BL30" s="274">
        <f>IF(Assumptions!$C$59="","",IFERROR(BL26*Assumptions!$D$59,0))</f>
        <v/>
      </c>
      <c r="BM30" s="274">
        <f>IF(Assumptions!$C$59="","",IFERROR(BM26*Assumptions!$D$59,0))</f>
        <v/>
      </c>
      <c r="BN30" s="274">
        <f>SUM(BB30:BM30)</f>
        <v/>
      </c>
      <c r="BO30" s="202" t="n"/>
      <c r="BP30" s="202" t="n"/>
      <c r="BQ30" s="202" t="n"/>
      <c r="BR30" s="202" t="n"/>
    </row>
    <row r="31">
      <c r="A31" s="273">
        <f>IF(Assumptions!$C$60="","",Assumptions!$C$60)</f>
        <v/>
      </c>
      <c r="B31" s="274">
        <f>IF(Assumptions!$C$60="","",IFERROR(B26*Assumptions!$D$60,0))</f>
        <v/>
      </c>
      <c r="C31" s="274">
        <f>IF(Assumptions!$C$60="","",IFERROR(C26*Assumptions!$D$60,0))</f>
        <v/>
      </c>
      <c r="D31" s="274">
        <f>IF(Assumptions!$C$60="","",IFERROR(D26*Assumptions!$D$60,0))</f>
        <v/>
      </c>
      <c r="E31" s="274">
        <f>IF(Assumptions!$C$60="","",IFERROR(E26*Assumptions!$D$60,0))</f>
        <v/>
      </c>
      <c r="F31" s="274">
        <f>IF(Assumptions!$C$60="","",IFERROR(F26*Assumptions!$D$60,0))</f>
        <v/>
      </c>
      <c r="G31" s="274">
        <f>IF(Assumptions!$C$60="","",IFERROR(G26*Assumptions!$D$60,0))</f>
        <v/>
      </c>
      <c r="H31" s="274">
        <f>IF(Assumptions!$C$60="","",IFERROR(H26*Assumptions!$D$60,0))</f>
        <v/>
      </c>
      <c r="I31" s="274">
        <f>IF(Assumptions!$C$60="","",IFERROR(I26*Assumptions!$D$60,0))</f>
        <v/>
      </c>
      <c r="J31" s="274">
        <f>IF(Assumptions!$C$60="","",IFERROR(J26*Assumptions!$D$60,0))</f>
        <v/>
      </c>
      <c r="K31" s="274">
        <f>IF(Assumptions!$C$60="","",IFERROR(K26*Assumptions!$D$60,0))</f>
        <v/>
      </c>
      <c r="L31" s="274">
        <f>IF(Assumptions!$C$60="","",IFERROR(L26*Assumptions!$D$60,0))</f>
        <v/>
      </c>
      <c r="M31" s="274">
        <f>IF(Assumptions!$C$60="","",IFERROR(M26*Assumptions!$D$60,0))</f>
        <v/>
      </c>
      <c r="N31" s="274">
        <f>SUM(B31:M31)</f>
        <v/>
      </c>
      <c r="O31" s="274">
        <f>IF(Assumptions!$C$60="","",IFERROR(O26*Assumptions!$D$60,0))</f>
        <v/>
      </c>
      <c r="P31" s="274">
        <f>IF(Assumptions!$C$60="","",IFERROR(P26*Assumptions!$D$60,0))</f>
        <v/>
      </c>
      <c r="Q31" s="274">
        <f>IF(Assumptions!$C$60="","",IFERROR(Q26*Assumptions!$D$60,0))</f>
        <v/>
      </c>
      <c r="R31" s="274">
        <f>IF(Assumptions!$C$60="","",IFERROR(R26*Assumptions!$D$60,0))</f>
        <v/>
      </c>
      <c r="S31" s="274">
        <f>IF(Assumptions!$C$60="","",IFERROR(S26*Assumptions!$D$60,0))</f>
        <v/>
      </c>
      <c r="T31" s="274">
        <f>IF(Assumptions!$C$60="","",IFERROR(T26*Assumptions!$D$60,0))</f>
        <v/>
      </c>
      <c r="U31" s="274">
        <f>IF(Assumptions!$C$60="","",IFERROR(U26*Assumptions!$D$60,0))</f>
        <v/>
      </c>
      <c r="V31" s="274">
        <f>IF(Assumptions!$C$60="","",IFERROR(V26*Assumptions!$D$60,0))</f>
        <v/>
      </c>
      <c r="W31" s="274">
        <f>IF(Assumptions!$C$60="","",IFERROR(W26*Assumptions!$D$60,0))</f>
        <v/>
      </c>
      <c r="X31" s="274">
        <f>IF(Assumptions!$C$60="","",IFERROR(X26*Assumptions!$D$60,0))</f>
        <v/>
      </c>
      <c r="Y31" s="274">
        <f>IF(Assumptions!$C$60="","",IFERROR(Y26*Assumptions!$D$60,0))</f>
        <v/>
      </c>
      <c r="Z31" s="274">
        <f>IF(Assumptions!$C$60="","",IFERROR(Z26*Assumptions!$D$60,0))</f>
        <v/>
      </c>
      <c r="AA31" s="274">
        <f>SUM(O31:Z31)</f>
        <v/>
      </c>
      <c r="AB31" s="274">
        <f>IF(Assumptions!$C$60="","",IFERROR(AB26*Assumptions!$D$60,0))</f>
        <v/>
      </c>
      <c r="AC31" s="274">
        <f>IF(Assumptions!$C$60="","",IFERROR(AC26*Assumptions!$D$60,0))</f>
        <v/>
      </c>
      <c r="AD31" s="274">
        <f>IF(Assumptions!$C$60="","",IFERROR(AD26*Assumptions!$D$60,0))</f>
        <v/>
      </c>
      <c r="AE31" s="274">
        <f>IF(Assumptions!$C$60="","",IFERROR(AE26*Assumptions!$D$60,0))</f>
        <v/>
      </c>
      <c r="AF31" s="274">
        <f>IF(Assumptions!$C$60="","",IFERROR(AF26*Assumptions!$D$60,0))</f>
        <v/>
      </c>
      <c r="AG31" s="274">
        <f>IF(Assumptions!$C$60="","",IFERROR(AG26*Assumptions!$D$60,0))</f>
        <v/>
      </c>
      <c r="AH31" s="274">
        <f>IF(Assumptions!$C$60="","",IFERROR(AH26*Assumptions!$D$60,0))</f>
        <v/>
      </c>
      <c r="AI31" s="274">
        <f>IF(Assumptions!$C$60="","",IFERROR(AI26*Assumptions!$D$60,0))</f>
        <v/>
      </c>
      <c r="AJ31" s="274">
        <f>IF(Assumptions!$C$60="","",IFERROR(AJ26*Assumptions!$D$60,0))</f>
        <v/>
      </c>
      <c r="AK31" s="274">
        <f>IF(Assumptions!$C$60="","",IFERROR(AK26*Assumptions!$D$60,0))</f>
        <v/>
      </c>
      <c r="AL31" s="274">
        <f>IF(Assumptions!$C$60="","",IFERROR(AL26*Assumptions!$D$60,0))</f>
        <v/>
      </c>
      <c r="AM31" s="274">
        <f>IF(Assumptions!$C$60="","",IFERROR(AM26*Assumptions!$D$60,0))</f>
        <v/>
      </c>
      <c r="AN31" s="274">
        <f>SUM(AB31:AM31)</f>
        <v/>
      </c>
      <c r="AO31" s="274">
        <f>IF(Assumptions!$C$60="","",IFERROR(AO26*Assumptions!$D$60,0))</f>
        <v/>
      </c>
      <c r="AP31" s="274">
        <f>IF(Assumptions!$C$60="","",IFERROR(AP26*Assumptions!$D$60,0))</f>
        <v/>
      </c>
      <c r="AQ31" s="274">
        <f>IF(Assumptions!$C$60="","",IFERROR(AQ26*Assumptions!$D$60,0))</f>
        <v/>
      </c>
      <c r="AR31" s="274">
        <f>IF(Assumptions!$C$60="","",IFERROR(AR26*Assumptions!$D$60,0))</f>
        <v/>
      </c>
      <c r="AS31" s="274">
        <f>IF(Assumptions!$C$60="","",IFERROR(AS26*Assumptions!$D$60,0))</f>
        <v/>
      </c>
      <c r="AT31" s="274">
        <f>IF(Assumptions!$C$60="","",IFERROR(AT26*Assumptions!$D$60,0))</f>
        <v/>
      </c>
      <c r="AU31" s="274">
        <f>IF(Assumptions!$C$60="","",IFERROR(AU26*Assumptions!$D$60,0))</f>
        <v/>
      </c>
      <c r="AV31" s="274">
        <f>IF(Assumptions!$C$60="","",IFERROR(AV26*Assumptions!$D$60,0))</f>
        <v/>
      </c>
      <c r="AW31" s="274">
        <f>IF(Assumptions!$C$60="","",IFERROR(AW26*Assumptions!$D$60,0))</f>
        <v/>
      </c>
      <c r="AX31" s="274">
        <f>IF(Assumptions!$C$60="","",IFERROR(AX26*Assumptions!$D$60,0))</f>
        <v/>
      </c>
      <c r="AY31" s="274">
        <f>IF(Assumptions!$C$60="","",IFERROR(AY26*Assumptions!$D$60,0))</f>
        <v/>
      </c>
      <c r="AZ31" s="274">
        <f>IF(Assumptions!$C$60="","",IFERROR(AZ26*Assumptions!$D$60,0))</f>
        <v/>
      </c>
      <c r="BA31" s="274">
        <f>SUM(AO31:AZ31)</f>
        <v/>
      </c>
      <c r="BB31" s="274">
        <f>IF(Assumptions!$C$60="","",IFERROR(BB26*Assumptions!$D$60,0))</f>
        <v/>
      </c>
      <c r="BC31" s="274">
        <f>IF(Assumptions!$C$60="","",IFERROR(BC26*Assumptions!$D$60,0))</f>
        <v/>
      </c>
      <c r="BD31" s="274">
        <f>IF(Assumptions!$C$60="","",IFERROR(BD26*Assumptions!$D$60,0))</f>
        <v/>
      </c>
      <c r="BE31" s="274">
        <f>IF(Assumptions!$C$60="","",IFERROR(BE26*Assumptions!$D$60,0))</f>
        <v/>
      </c>
      <c r="BF31" s="274">
        <f>IF(Assumptions!$C$60="","",IFERROR(BF26*Assumptions!$D$60,0))</f>
        <v/>
      </c>
      <c r="BG31" s="274">
        <f>IF(Assumptions!$C$60="","",IFERROR(BG26*Assumptions!$D$60,0))</f>
        <v/>
      </c>
      <c r="BH31" s="274">
        <f>IF(Assumptions!$C$60="","",IFERROR(BH26*Assumptions!$D$60,0))</f>
        <v/>
      </c>
      <c r="BI31" s="274">
        <f>IF(Assumptions!$C$60="","",IFERROR(BI26*Assumptions!$D$60,0))</f>
        <v/>
      </c>
      <c r="BJ31" s="274">
        <f>IF(Assumptions!$C$60="","",IFERROR(BJ26*Assumptions!$D$60,0))</f>
        <v/>
      </c>
      <c r="BK31" s="274">
        <f>IF(Assumptions!$C$60="","",IFERROR(BK26*Assumptions!$D$60,0))</f>
        <v/>
      </c>
      <c r="BL31" s="274">
        <f>IF(Assumptions!$C$60="","",IFERROR(BL26*Assumptions!$D$60,0))</f>
        <v/>
      </c>
      <c r="BM31" s="274">
        <f>IF(Assumptions!$C$60="","",IFERROR(BM26*Assumptions!$D$60,0))</f>
        <v/>
      </c>
      <c r="BN31" s="274">
        <f>SUM(BB31:BM31)</f>
        <v/>
      </c>
      <c r="BO31" s="202" t="n"/>
      <c r="BP31" s="202" t="n"/>
      <c r="BQ31" s="202" t="n"/>
      <c r="BR31" s="202" t="n"/>
    </row>
    <row r="32">
      <c r="A32" s="273">
        <f>IF(Assumptions!$C$61="","",Assumptions!$C$61)</f>
        <v/>
      </c>
      <c r="B32" s="274">
        <f>IF(Assumptions!$C$61="","",IFERROR(B26*Assumptions!$D$61,0))</f>
        <v/>
      </c>
      <c r="C32" s="274">
        <f>IF(Assumptions!$C$61="","",IFERROR(C26*Assumptions!$D$61,0))</f>
        <v/>
      </c>
      <c r="D32" s="274">
        <f>IF(Assumptions!$C$61="","",IFERROR(D26*Assumptions!$D$61,0))</f>
        <v/>
      </c>
      <c r="E32" s="274">
        <f>IF(Assumptions!$C$61="","",IFERROR(E26*Assumptions!$D$61,0))</f>
        <v/>
      </c>
      <c r="F32" s="274">
        <f>IF(Assumptions!$C$61="","",IFERROR(F26*Assumptions!$D$61,0))</f>
        <v/>
      </c>
      <c r="G32" s="274">
        <f>IF(Assumptions!$C$61="","",IFERROR(G26*Assumptions!$D$61,0))</f>
        <v/>
      </c>
      <c r="H32" s="274">
        <f>IF(Assumptions!$C$61="","",IFERROR(H26*Assumptions!$D$61,0))</f>
        <v/>
      </c>
      <c r="I32" s="274">
        <f>IF(Assumptions!$C$61="","",IFERROR(I26*Assumptions!$D$61,0))</f>
        <v/>
      </c>
      <c r="J32" s="274">
        <f>IF(Assumptions!$C$61="","",IFERROR(J26*Assumptions!$D$61,0))</f>
        <v/>
      </c>
      <c r="K32" s="274">
        <f>IF(Assumptions!$C$61="","",IFERROR(K26*Assumptions!$D$61,0))</f>
        <v/>
      </c>
      <c r="L32" s="274">
        <f>IF(Assumptions!$C$61="","",IFERROR(L26*Assumptions!$D$61,0))</f>
        <v/>
      </c>
      <c r="M32" s="274">
        <f>IF(Assumptions!$C$61="","",IFERROR(M26*Assumptions!$D$61,0))</f>
        <v/>
      </c>
      <c r="N32" s="274">
        <f>SUM(B32:M32)</f>
        <v/>
      </c>
      <c r="O32" s="274">
        <f>IF(Assumptions!$C$61="","",IFERROR(O26*Assumptions!$D$61,0))</f>
        <v/>
      </c>
      <c r="P32" s="274">
        <f>IF(Assumptions!$C$61="","",IFERROR(P26*Assumptions!$D$61,0))</f>
        <v/>
      </c>
      <c r="Q32" s="274">
        <f>IF(Assumptions!$C$61="","",IFERROR(Q26*Assumptions!$D$61,0))</f>
        <v/>
      </c>
      <c r="R32" s="274">
        <f>IF(Assumptions!$C$61="","",IFERROR(R26*Assumptions!$D$61,0))</f>
        <v/>
      </c>
      <c r="S32" s="274">
        <f>IF(Assumptions!$C$61="","",IFERROR(S26*Assumptions!$D$61,0))</f>
        <v/>
      </c>
      <c r="T32" s="274">
        <f>IF(Assumptions!$C$61="","",IFERROR(T26*Assumptions!$D$61,0))</f>
        <v/>
      </c>
      <c r="U32" s="274">
        <f>IF(Assumptions!$C$61="","",IFERROR(U26*Assumptions!$D$61,0))</f>
        <v/>
      </c>
      <c r="V32" s="274">
        <f>IF(Assumptions!$C$61="","",IFERROR(V26*Assumptions!$D$61,0))</f>
        <v/>
      </c>
      <c r="W32" s="274">
        <f>IF(Assumptions!$C$61="","",IFERROR(W26*Assumptions!$D$61,0))</f>
        <v/>
      </c>
      <c r="X32" s="274">
        <f>IF(Assumptions!$C$61="","",IFERROR(X26*Assumptions!$D$61,0))</f>
        <v/>
      </c>
      <c r="Y32" s="274">
        <f>IF(Assumptions!$C$61="","",IFERROR(Y26*Assumptions!$D$61,0))</f>
        <v/>
      </c>
      <c r="Z32" s="274">
        <f>IF(Assumptions!$C$61="","",IFERROR(Z26*Assumptions!$D$61,0))</f>
        <v/>
      </c>
      <c r="AA32" s="274">
        <f>SUM(O32:Z32)</f>
        <v/>
      </c>
      <c r="AB32" s="274">
        <f>IF(Assumptions!$C$61="","",IFERROR(AB26*Assumptions!$D$61,0))</f>
        <v/>
      </c>
      <c r="AC32" s="274">
        <f>IF(Assumptions!$C$61="","",IFERROR(AC26*Assumptions!$D$61,0))</f>
        <v/>
      </c>
      <c r="AD32" s="274">
        <f>IF(Assumptions!$C$61="","",IFERROR(AD26*Assumptions!$D$61,0))</f>
        <v/>
      </c>
      <c r="AE32" s="274">
        <f>IF(Assumptions!$C$61="","",IFERROR(AE26*Assumptions!$D$61,0))</f>
        <v/>
      </c>
      <c r="AF32" s="274">
        <f>IF(Assumptions!$C$61="","",IFERROR(AF26*Assumptions!$D$61,0))</f>
        <v/>
      </c>
      <c r="AG32" s="274">
        <f>IF(Assumptions!$C$61="","",IFERROR(AG26*Assumptions!$D$61,0))</f>
        <v/>
      </c>
      <c r="AH32" s="274">
        <f>IF(Assumptions!$C$61="","",IFERROR(AH26*Assumptions!$D$61,0))</f>
        <v/>
      </c>
      <c r="AI32" s="274">
        <f>IF(Assumptions!$C$61="","",IFERROR(AI26*Assumptions!$D$61,0))</f>
        <v/>
      </c>
      <c r="AJ32" s="274">
        <f>IF(Assumptions!$C$61="","",IFERROR(AJ26*Assumptions!$D$61,0))</f>
        <v/>
      </c>
      <c r="AK32" s="274">
        <f>IF(Assumptions!$C$61="","",IFERROR(AK26*Assumptions!$D$61,0))</f>
        <v/>
      </c>
      <c r="AL32" s="274">
        <f>IF(Assumptions!$C$61="","",IFERROR(AL26*Assumptions!$D$61,0))</f>
        <v/>
      </c>
      <c r="AM32" s="274">
        <f>IF(Assumptions!$C$61="","",IFERROR(AM26*Assumptions!$D$61,0))</f>
        <v/>
      </c>
      <c r="AN32" s="274">
        <f>SUM(AB32:AM32)</f>
        <v/>
      </c>
      <c r="AO32" s="274">
        <f>IF(Assumptions!$C$61="","",IFERROR(AO26*Assumptions!$D$61,0))</f>
        <v/>
      </c>
      <c r="AP32" s="274">
        <f>IF(Assumptions!$C$61="","",IFERROR(AP26*Assumptions!$D$61,0))</f>
        <v/>
      </c>
      <c r="AQ32" s="274">
        <f>IF(Assumptions!$C$61="","",IFERROR(AQ26*Assumptions!$D$61,0))</f>
        <v/>
      </c>
      <c r="AR32" s="274">
        <f>IF(Assumptions!$C$61="","",IFERROR(AR26*Assumptions!$D$61,0))</f>
        <v/>
      </c>
      <c r="AS32" s="274">
        <f>IF(Assumptions!$C$61="","",IFERROR(AS26*Assumptions!$D$61,0))</f>
        <v/>
      </c>
      <c r="AT32" s="274">
        <f>IF(Assumptions!$C$61="","",IFERROR(AT26*Assumptions!$D$61,0))</f>
        <v/>
      </c>
      <c r="AU32" s="274">
        <f>IF(Assumptions!$C$61="","",IFERROR(AU26*Assumptions!$D$61,0))</f>
        <v/>
      </c>
      <c r="AV32" s="274">
        <f>IF(Assumptions!$C$61="","",IFERROR(AV26*Assumptions!$D$61,0))</f>
        <v/>
      </c>
      <c r="AW32" s="274">
        <f>IF(Assumptions!$C$61="","",IFERROR(AW26*Assumptions!$D$61,0))</f>
        <v/>
      </c>
      <c r="AX32" s="274">
        <f>IF(Assumptions!$C$61="","",IFERROR(AX26*Assumptions!$D$61,0))</f>
        <v/>
      </c>
      <c r="AY32" s="274">
        <f>IF(Assumptions!$C$61="","",IFERROR(AY26*Assumptions!$D$61,0))</f>
        <v/>
      </c>
      <c r="AZ32" s="274">
        <f>IF(Assumptions!$C$61="","",IFERROR(AZ26*Assumptions!$D$61,0))</f>
        <v/>
      </c>
      <c r="BA32" s="274">
        <f>SUM(AO32:AZ32)</f>
        <v/>
      </c>
      <c r="BB32" s="274">
        <f>IF(Assumptions!$C$61="","",IFERROR(BB26*Assumptions!$D$61,0))</f>
        <v/>
      </c>
      <c r="BC32" s="274">
        <f>IF(Assumptions!$C$61="","",IFERROR(BC26*Assumptions!$D$61,0))</f>
        <v/>
      </c>
      <c r="BD32" s="274">
        <f>IF(Assumptions!$C$61="","",IFERROR(BD26*Assumptions!$D$61,0))</f>
        <v/>
      </c>
      <c r="BE32" s="274">
        <f>IF(Assumptions!$C$61="","",IFERROR(BE26*Assumptions!$D$61,0))</f>
        <v/>
      </c>
      <c r="BF32" s="274">
        <f>IF(Assumptions!$C$61="","",IFERROR(BF26*Assumptions!$D$61,0))</f>
        <v/>
      </c>
      <c r="BG32" s="274">
        <f>IF(Assumptions!$C$61="","",IFERROR(BG26*Assumptions!$D$61,0))</f>
        <v/>
      </c>
      <c r="BH32" s="274">
        <f>IF(Assumptions!$C$61="","",IFERROR(BH26*Assumptions!$D$61,0))</f>
        <v/>
      </c>
      <c r="BI32" s="274">
        <f>IF(Assumptions!$C$61="","",IFERROR(BI26*Assumptions!$D$61,0))</f>
        <v/>
      </c>
      <c r="BJ32" s="274">
        <f>IF(Assumptions!$C$61="","",IFERROR(BJ26*Assumptions!$D$61,0))</f>
        <v/>
      </c>
      <c r="BK32" s="274">
        <f>IF(Assumptions!$C$61="","",IFERROR(BK26*Assumptions!$D$61,0))</f>
        <v/>
      </c>
      <c r="BL32" s="274">
        <f>IF(Assumptions!$C$61="","",IFERROR(BL26*Assumptions!$D$61,0))</f>
        <v/>
      </c>
      <c r="BM32" s="274">
        <f>IF(Assumptions!$C$61="","",IFERROR(BM26*Assumptions!$D$61,0))</f>
        <v/>
      </c>
      <c r="BN32" s="274">
        <f>SUM(BB32:BM32)</f>
        <v/>
      </c>
      <c r="BO32" s="202" t="n"/>
      <c r="BP32" s="202" t="n"/>
      <c r="BQ32" s="202" t="n"/>
      <c r="BR32" s="202" t="n"/>
    </row>
    <row r="33">
      <c r="A33" s="273">
        <f>IF(Assumptions!$C$62="","",Assumptions!$C$62)</f>
        <v/>
      </c>
      <c r="B33" s="274">
        <f>IF(Assumptions!$C$62="","",IFERROR(B26*Assumptions!$D$62,0))</f>
        <v/>
      </c>
      <c r="C33" s="274">
        <f>IF(Assumptions!$C$62="","",IFERROR(C26*Assumptions!$D$62,0))</f>
        <v/>
      </c>
      <c r="D33" s="274">
        <f>IF(Assumptions!$C$62="","",IFERROR(D26*Assumptions!$D$62,0))</f>
        <v/>
      </c>
      <c r="E33" s="274">
        <f>IF(Assumptions!$C$62="","",IFERROR(E26*Assumptions!$D$62,0))</f>
        <v/>
      </c>
      <c r="F33" s="274">
        <f>IF(Assumptions!$C$62="","",IFERROR(F26*Assumptions!$D$62,0))</f>
        <v/>
      </c>
      <c r="G33" s="274">
        <f>IF(Assumptions!$C$62="","",IFERROR(G26*Assumptions!$D$62,0))</f>
        <v/>
      </c>
      <c r="H33" s="274">
        <f>IF(Assumptions!$C$62="","",IFERROR(H26*Assumptions!$D$62,0))</f>
        <v/>
      </c>
      <c r="I33" s="274">
        <f>IF(Assumptions!$C$62="","",IFERROR(I26*Assumptions!$D$62,0))</f>
        <v/>
      </c>
      <c r="J33" s="274">
        <f>IF(Assumptions!$C$62="","",IFERROR(J26*Assumptions!$D$62,0))</f>
        <v/>
      </c>
      <c r="K33" s="274">
        <f>IF(Assumptions!$C$62="","",IFERROR(K26*Assumptions!$D$62,0))</f>
        <v/>
      </c>
      <c r="L33" s="274">
        <f>IF(Assumptions!$C$62="","",IFERROR(L26*Assumptions!$D$62,0))</f>
        <v/>
      </c>
      <c r="M33" s="274">
        <f>IF(Assumptions!$C$62="","",IFERROR(M26*Assumptions!$D$62,0))</f>
        <v/>
      </c>
      <c r="N33" s="274">
        <f>SUM(B33:M33)</f>
        <v/>
      </c>
      <c r="O33" s="274">
        <f>IF(Assumptions!$C$62="","",IFERROR(O26*Assumptions!$D$62,0))</f>
        <v/>
      </c>
      <c r="P33" s="274">
        <f>IF(Assumptions!$C$62="","",IFERROR(P26*Assumptions!$D$62,0))</f>
        <v/>
      </c>
      <c r="Q33" s="274">
        <f>IF(Assumptions!$C$62="","",IFERROR(Q26*Assumptions!$D$62,0))</f>
        <v/>
      </c>
      <c r="R33" s="274">
        <f>IF(Assumptions!$C$62="","",IFERROR(R26*Assumptions!$D$62,0))</f>
        <v/>
      </c>
      <c r="S33" s="274">
        <f>IF(Assumptions!$C$62="","",IFERROR(S26*Assumptions!$D$62,0))</f>
        <v/>
      </c>
      <c r="T33" s="274">
        <f>IF(Assumptions!$C$62="","",IFERROR(T26*Assumptions!$D$62,0))</f>
        <v/>
      </c>
      <c r="U33" s="274">
        <f>IF(Assumptions!$C$62="","",IFERROR(U26*Assumptions!$D$62,0))</f>
        <v/>
      </c>
      <c r="V33" s="274">
        <f>IF(Assumptions!$C$62="","",IFERROR(V26*Assumptions!$D$62,0))</f>
        <v/>
      </c>
      <c r="W33" s="274">
        <f>IF(Assumptions!$C$62="","",IFERROR(W26*Assumptions!$D$62,0))</f>
        <v/>
      </c>
      <c r="X33" s="274">
        <f>IF(Assumptions!$C$62="","",IFERROR(X26*Assumptions!$D$62,0))</f>
        <v/>
      </c>
      <c r="Y33" s="274">
        <f>IF(Assumptions!$C$62="","",IFERROR(Y26*Assumptions!$D$62,0))</f>
        <v/>
      </c>
      <c r="Z33" s="274">
        <f>IF(Assumptions!$C$62="","",IFERROR(Z26*Assumptions!$D$62,0))</f>
        <v/>
      </c>
      <c r="AA33" s="274">
        <f>SUM(O33:Z33)</f>
        <v/>
      </c>
      <c r="AB33" s="274">
        <f>IF(Assumptions!$C$62="","",IFERROR(AB26*Assumptions!$D$62,0))</f>
        <v/>
      </c>
      <c r="AC33" s="274">
        <f>IF(Assumptions!$C$62="","",IFERROR(AC26*Assumptions!$D$62,0))</f>
        <v/>
      </c>
      <c r="AD33" s="274">
        <f>IF(Assumptions!$C$62="","",IFERROR(AD26*Assumptions!$D$62,0))</f>
        <v/>
      </c>
      <c r="AE33" s="274">
        <f>IF(Assumptions!$C$62="","",IFERROR(AE26*Assumptions!$D$62,0))</f>
        <v/>
      </c>
      <c r="AF33" s="274">
        <f>IF(Assumptions!$C$62="","",IFERROR(AF26*Assumptions!$D$62,0))</f>
        <v/>
      </c>
      <c r="AG33" s="274">
        <f>IF(Assumptions!$C$62="","",IFERROR(AG26*Assumptions!$D$62,0))</f>
        <v/>
      </c>
      <c r="AH33" s="274">
        <f>IF(Assumptions!$C$62="","",IFERROR(AH26*Assumptions!$D$62,0))</f>
        <v/>
      </c>
      <c r="AI33" s="274">
        <f>IF(Assumptions!$C$62="","",IFERROR(AI26*Assumptions!$D$62,0))</f>
        <v/>
      </c>
      <c r="AJ33" s="274">
        <f>IF(Assumptions!$C$62="","",IFERROR(AJ26*Assumptions!$D$62,0))</f>
        <v/>
      </c>
      <c r="AK33" s="274">
        <f>IF(Assumptions!$C$62="","",IFERROR(AK26*Assumptions!$D$62,0))</f>
        <v/>
      </c>
      <c r="AL33" s="274">
        <f>IF(Assumptions!$C$62="","",IFERROR(AL26*Assumptions!$D$62,0))</f>
        <v/>
      </c>
      <c r="AM33" s="274">
        <f>IF(Assumptions!$C$62="","",IFERROR(AM26*Assumptions!$D$62,0))</f>
        <v/>
      </c>
      <c r="AN33" s="274">
        <f>SUM(AB33:AM33)</f>
        <v/>
      </c>
      <c r="AO33" s="274">
        <f>IF(Assumptions!$C$62="","",IFERROR(AO26*Assumptions!$D$62,0))</f>
        <v/>
      </c>
      <c r="AP33" s="274">
        <f>IF(Assumptions!$C$62="","",IFERROR(AP26*Assumptions!$D$62,0))</f>
        <v/>
      </c>
      <c r="AQ33" s="274">
        <f>IF(Assumptions!$C$62="","",IFERROR(AQ26*Assumptions!$D$62,0))</f>
        <v/>
      </c>
      <c r="AR33" s="274">
        <f>IF(Assumptions!$C$62="","",IFERROR(AR26*Assumptions!$D$62,0))</f>
        <v/>
      </c>
      <c r="AS33" s="274">
        <f>IF(Assumptions!$C$62="","",IFERROR(AS26*Assumptions!$D$62,0))</f>
        <v/>
      </c>
      <c r="AT33" s="274">
        <f>IF(Assumptions!$C$62="","",IFERROR(AT26*Assumptions!$D$62,0))</f>
        <v/>
      </c>
      <c r="AU33" s="274">
        <f>IF(Assumptions!$C$62="","",IFERROR(AU26*Assumptions!$D$62,0))</f>
        <v/>
      </c>
      <c r="AV33" s="274">
        <f>IF(Assumptions!$C$62="","",IFERROR(AV26*Assumptions!$D$62,0))</f>
        <v/>
      </c>
      <c r="AW33" s="274">
        <f>IF(Assumptions!$C$62="","",IFERROR(AW26*Assumptions!$D$62,0))</f>
        <v/>
      </c>
      <c r="AX33" s="274">
        <f>IF(Assumptions!$C$62="","",IFERROR(AX26*Assumptions!$D$62,0))</f>
        <v/>
      </c>
      <c r="AY33" s="274">
        <f>IF(Assumptions!$C$62="","",IFERROR(AY26*Assumptions!$D$62,0))</f>
        <v/>
      </c>
      <c r="AZ33" s="274">
        <f>IF(Assumptions!$C$62="","",IFERROR(AZ26*Assumptions!$D$62,0))</f>
        <v/>
      </c>
      <c r="BA33" s="274">
        <f>SUM(AO33:AZ33)</f>
        <v/>
      </c>
      <c r="BB33" s="274">
        <f>IF(Assumptions!$C$62="","",IFERROR(BB26*Assumptions!$D$62,0))</f>
        <v/>
      </c>
      <c r="BC33" s="274">
        <f>IF(Assumptions!$C$62="","",IFERROR(BC26*Assumptions!$D$62,0))</f>
        <v/>
      </c>
      <c r="BD33" s="274">
        <f>IF(Assumptions!$C$62="","",IFERROR(BD26*Assumptions!$D$62,0))</f>
        <v/>
      </c>
      <c r="BE33" s="274">
        <f>IF(Assumptions!$C$62="","",IFERROR(BE26*Assumptions!$D$62,0))</f>
        <v/>
      </c>
      <c r="BF33" s="274">
        <f>IF(Assumptions!$C$62="","",IFERROR(BF26*Assumptions!$D$62,0))</f>
        <v/>
      </c>
      <c r="BG33" s="274">
        <f>IF(Assumptions!$C$62="","",IFERROR(BG26*Assumptions!$D$62,0))</f>
        <v/>
      </c>
      <c r="BH33" s="274">
        <f>IF(Assumptions!$C$62="","",IFERROR(BH26*Assumptions!$D$62,0))</f>
        <v/>
      </c>
      <c r="BI33" s="274">
        <f>IF(Assumptions!$C$62="","",IFERROR(BI26*Assumptions!$D$62,0))</f>
        <v/>
      </c>
      <c r="BJ33" s="274">
        <f>IF(Assumptions!$C$62="","",IFERROR(BJ26*Assumptions!$D$62,0))</f>
        <v/>
      </c>
      <c r="BK33" s="274">
        <f>IF(Assumptions!$C$62="","",IFERROR(BK26*Assumptions!$D$62,0))</f>
        <v/>
      </c>
      <c r="BL33" s="274">
        <f>IF(Assumptions!$C$62="","",IFERROR(BL26*Assumptions!$D$62,0))</f>
        <v/>
      </c>
      <c r="BM33" s="274">
        <f>IF(Assumptions!$C$62="","",IFERROR(BM26*Assumptions!$D$62,0))</f>
        <v/>
      </c>
      <c r="BN33" s="274">
        <f>SUM(BB33:BM33)</f>
        <v/>
      </c>
      <c r="BO33" s="202" t="n"/>
      <c r="BP33" s="202" t="n"/>
      <c r="BQ33" s="202" t="n"/>
      <c r="BR33" s="202" t="n"/>
    </row>
    <row r="34">
      <c r="A34" s="296" t="inlineStr">
        <is>
          <t>Total (ties to TOTAL REVENUE)</t>
        </is>
      </c>
      <c r="B34" s="297">
        <f>SUM(B29:B33)</f>
        <v/>
      </c>
      <c r="C34" s="297">
        <f>SUM(C29:C33)</f>
        <v/>
      </c>
      <c r="D34" s="297">
        <f>SUM(D29:D33)</f>
        <v/>
      </c>
      <c r="E34" s="297">
        <f>SUM(E29:E33)</f>
        <v/>
      </c>
      <c r="F34" s="297">
        <f>SUM(F29:F33)</f>
        <v/>
      </c>
      <c r="G34" s="297">
        <f>SUM(G29:G33)</f>
        <v/>
      </c>
      <c r="H34" s="297">
        <f>SUM(H29:H33)</f>
        <v/>
      </c>
      <c r="I34" s="297">
        <f>SUM(I29:I33)</f>
        <v/>
      </c>
      <c r="J34" s="297">
        <f>SUM(J29:J33)</f>
        <v/>
      </c>
      <c r="K34" s="297">
        <f>SUM(K29:K33)</f>
        <v/>
      </c>
      <c r="L34" s="297">
        <f>SUM(L29:L33)</f>
        <v/>
      </c>
      <c r="M34" s="297">
        <f>SUM(M29:M33)</f>
        <v/>
      </c>
      <c r="N34" s="297">
        <f>SUM(B34:M34)</f>
        <v/>
      </c>
      <c r="O34" s="297">
        <f>SUM(O29:O33)</f>
        <v/>
      </c>
      <c r="P34" s="297">
        <f>SUM(P29:P33)</f>
        <v/>
      </c>
      <c r="Q34" s="297">
        <f>SUM(Q29:Q33)</f>
        <v/>
      </c>
      <c r="R34" s="297">
        <f>SUM(R29:R33)</f>
        <v/>
      </c>
      <c r="S34" s="297">
        <f>SUM(S29:S33)</f>
        <v/>
      </c>
      <c r="T34" s="297">
        <f>SUM(T29:T33)</f>
        <v/>
      </c>
      <c r="U34" s="297">
        <f>SUM(U29:U33)</f>
        <v/>
      </c>
      <c r="V34" s="297">
        <f>SUM(V29:V33)</f>
        <v/>
      </c>
      <c r="W34" s="297">
        <f>SUM(W29:W33)</f>
        <v/>
      </c>
      <c r="X34" s="297">
        <f>SUM(X29:X33)</f>
        <v/>
      </c>
      <c r="Y34" s="297">
        <f>SUM(Y29:Y33)</f>
        <v/>
      </c>
      <c r="Z34" s="297">
        <f>SUM(Z29:Z33)</f>
        <v/>
      </c>
      <c r="AA34" s="297">
        <f>SUM(O34:Z34)</f>
        <v/>
      </c>
      <c r="AB34" s="297">
        <f>SUM(AB29:AB33)</f>
        <v/>
      </c>
      <c r="AC34" s="297">
        <f>SUM(AC29:AC33)</f>
        <v/>
      </c>
      <c r="AD34" s="297">
        <f>SUM(AD29:AD33)</f>
        <v/>
      </c>
      <c r="AE34" s="297">
        <f>SUM(AE29:AE33)</f>
        <v/>
      </c>
      <c r="AF34" s="297">
        <f>SUM(AF29:AF33)</f>
        <v/>
      </c>
      <c r="AG34" s="297">
        <f>SUM(AG29:AG33)</f>
        <v/>
      </c>
      <c r="AH34" s="297">
        <f>SUM(AH29:AH33)</f>
        <v/>
      </c>
      <c r="AI34" s="297">
        <f>SUM(AI29:AI33)</f>
        <v/>
      </c>
      <c r="AJ34" s="297">
        <f>SUM(AJ29:AJ33)</f>
        <v/>
      </c>
      <c r="AK34" s="297">
        <f>SUM(AK29:AK33)</f>
        <v/>
      </c>
      <c r="AL34" s="297">
        <f>SUM(AL29:AL33)</f>
        <v/>
      </c>
      <c r="AM34" s="297">
        <f>SUM(AM29:AM33)</f>
        <v/>
      </c>
      <c r="AN34" s="297">
        <f>SUM(AB34:AM34)</f>
        <v/>
      </c>
      <c r="AO34" s="297">
        <f>SUM(AO29:AO33)</f>
        <v/>
      </c>
      <c r="AP34" s="297">
        <f>SUM(AP29:AP33)</f>
        <v/>
      </c>
      <c r="AQ34" s="297">
        <f>SUM(AQ29:AQ33)</f>
        <v/>
      </c>
      <c r="AR34" s="297">
        <f>SUM(AR29:AR33)</f>
        <v/>
      </c>
      <c r="AS34" s="297">
        <f>SUM(AS29:AS33)</f>
        <v/>
      </c>
      <c r="AT34" s="297">
        <f>SUM(AT29:AT33)</f>
        <v/>
      </c>
      <c r="AU34" s="297">
        <f>SUM(AU29:AU33)</f>
        <v/>
      </c>
      <c r="AV34" s="297">
        <f>SUM(AV29:AV33)</f>
        <v/>
      </c>
      <c r="AW34" s="297">
        <f>SUM(AW29:AW33)</f>
        <v/>
      </c>
      <c r="AX34" s="297">
        <f>SUM(AX29:AX33)</f>
        <v/>
      </c>
      <c r="AY34" s="297">
        <f>SUM(AY29:AY33)</f>
        <v/>
      </c>
      <c r="AZ34" s="297">
        <f>SUM(AZ29:AZ33)</f>
        <v/>
      </c>
      <c r="BA34" s="297">
        <f>SUM(AO34:AZ34)</f>
        <v/>
      </c>
      <c r="BB34" s="297">
        <f>SUM(BB29:BB33)</f>
        <v/>
      </c>
      <c r="BC34" s="297">
        <f>SUM(BC29:BC33)</f>
        <v/>
      </c>
      <c r="BD34" s="297">
        <f>SUM(BD29:BD33)</f>
        <v/>
      </c>
      <c r="BE34" s="297">
        <f>SUM(BE29:BE33)</f>
        <v/>
      </c>
      <c r="BF34" s="297">
        <f>SUM(BF29:BF33)</f>
        <v/>
      </c>
      <c r="BG34" s="297">
        <f>SUM(BG29:BG33)</f>
        <v/>
      </c>
      <c r="BH34" s="297">
        <f>SUM(BH29:BH33)</f>
        <v/>
      </c>
      <c r="BI34" s="297">
        <f>SUM(BI29:BI33)</f>
        <v/>
      </c>
      <c r="BJ34" s="297">
        <f>SUM(BJ29:BJ33)</f>
        <v/>
      </c>
      <c r="BK34" s="297">
        <f>SUM(BK29:BK33)</f>
        <v/>
      </c>
      <c r="BL34" s="297">
        <f>SUM(BL29:BL33)</f>
        <v/>
      </c>
      <c r="BM34" s="297">
        <f>SUM(BM29:BM33)</f>
        <v/>
      </c>
      <c r="BN34" s="297">
        <f>SUM(BB34:BM34)</f>
        <v/>
      </c>
      <c r="BO34" s="202" t="n"/>
      <c r="BP34" s="202" t="n"/>
      <c r="BQ34" s="202" t="n"/>
      <c r="BR34" s="202" t="n"/>
    </row>
    <row r="35">
      <c r="A35" s="282" t="n"/>
      <c r="B35" s="291" t="n"/>
      <c r="C35" s="291" t="n"/>
      <c r="D35" s="291" t="n"/>
      <c r="E35" s="291" t="n"/>
      <c r="F35" s="291" t="n"/>
      <c r="G35" s="291" t="n"/>
      <c r="H35" s="291" t="n"/>
      <c r="I35" s="291" t="n"/>
      <c r="J35" s="291" t="n"/>
      <c r="K35" s="291" t="n"/>
      <c r="L35" s="291" t="n"/>
      <c r="M35" s="291" t="n"/>
      <c r="N35" s="286" t="n"/>
      <c r="O35" s="202" t="n"/>
      <c r="P35" s="202" t="n"/>
      <c r="Q35" s="202" t="n"/>
      <c r="R35" s="202" t="n"/>
      <c r="S35" s="202" t="n"/>
      <c r="T35" s="202" t="n"/>
      <c r="U35" s="202" t="n"/>
      <c r="V35" s="202" t="n"/>
      <c r="W35" s="202" t="n"/>
      <c r="X35" s="202" t="n"/>
      <c r="Y35" s="202" t="n"/>
      <c r="Z35" s="202" t="n"/>
      <c r="AA35" s="202" t="n"/>
      <c r="AB35" s="202" t="n"/>
      <c r="AC35" s="202" t="n"/>
      <c r="AD35" s="202" t="n"/>
      <c r="AE35" s="202" t="n"/>
      <c r="AF35" s="202" t="n"/>
      <c r="AG35" s="202" t="n"/>
      <c r="AH35" s="202" t="n"/>
      <c r="AI35" s="202" t="n"/>
      <c r="AJ35" s="202" t="n"/>
      <c r="AK35" s="202" t="n"/>
      <c r="AL35" s="202" t="n"/>
      <c r="AM35" s="202" t="n"/>
      <c r="AN35" s="202" t="n"/>
      <c r="AO35" s="202" t="n"/>
      <c r="AP35" s="202" t="n"/>
      <c r="AQ35" s="202" t="n"/>
      <c r="AR35" s="202" t="n"/>
      <c r="AS35" s="202" t="n"/>
      <c r="AT35" s="202" t="n"/>
      <c r="AU35" s="202" t="n"/>
      <c r="AV35" s="202" t="n"/>
      <c r="AW35" s="202" t="n"/>
      <c r="AX35" s="202" t="n"/>
      <c r="AY35" s="202" t="n"/>
      <c r="AZ35" s="202" t="n"/>
      <c r="BA35" s="202" t="n"/>
      <c r="BB35" s="202" t="n"/>
      <c r="BC35" s="202" t="n"/>
      <c r="BD35" s="202" t="n"/>
      <c r="BE35" s="202" t="n"/>
      <c r="BF35" s="202" t="n"/>
      <c r="BG35" s="202" t="n"/>
      <c r="BH35" s="202" t="n"/>
      <c r="BI35" s="202" t="n"/>
      <c r="BJ35" s="202" t="n"/>
      <c r="BK35" s="202" t="n"/>
      <c r="BL35" s="202" t="n"/>
      <c r="BM35" s="202" t="n"/>
      <c r="BN35" s="202" t="n"/>
      <c r="BO35" s="202" t="n"/>
      <c r="BP35" s="202" t="n"/>
      <c r="BQ35" s="202" t="n"/>
      <c r="BR35" s="202" t="n"/>
    </row>
    <row r="36">
      <c r="A36" s="282" t="n"/>
      <c r="B36" s="291" t="n"/>
      <c r="C36" s="291" t="n"/>
      <c r="D36" s="291" t="n"/>
      <c r="E36" s="291" t="n"/>
      <c r="F36" s="291" t="n"/>
      <c r="G36" s="291" t="n"/>
      <c r="H36" s="291" t="n"/>
      <c r="I36" s="291" t="n"/>
      <c r="J36" s="291" t="n"/>
      <c r="K36" s="291" t="n"/>
      <c r="L36" s="291" t="n"/>
      <c r="M36" s="291" t="n"/>
      <c r="N36" s="286" t="n"/>
      <c r="O36" s="202" t="n"/>
      <c r="P36" s="202" t="n"/>
      <c r="Q36" s="202" t="n"/>
      <c r="R36" s="202" t="n"/>
      <c r="S36" s="202" t="n"/>
      <c r="T36" s="202" t="n"/>
      <c r="U36" s="202" t="n"/>
      <c r="V36" s="202" t="n"/>
      <c r="W36" s="202" t="n"/>
      <c r="X36" s="202" t="n"/>
      <c r="Y36" s="202" t="n"/>
      <c r="Z36" s="202" t="n"/>
      <c r="AA36" s="202" t="n"/>
      <c r="AB36" s="202" t="n"/>
      <c r="AC36" s="202" t="n"/>
      <c r="AD36" s="202" t="n"/>
      <c r="AE36" s="202" t="n"/>
      <c r="AF36" s="202" t="n"/>
      <c r="AG36" s="202" t="n"/>
      <c r="AH36" s="202" t="n"/>
      <c r="AI36" s="202" t="n"/>
      <c r="AJ36" s="202" t="n"/>
      <c r="AK36" s="202" t="n"/>
      <c r="AL36" s="202" t="n"/>
      <c r="AM36" s="202" t="n"/>
      <c r="AN36" s="202" t="n"/>
      <c r="AO36" s="202" t="n"/>
      <c r="AP36" s="202" t="n"/>
      <c r="AQ36" s="202" t="n"/>
      <c r="AR36" s="202" t="n"/>
      <c r="AS36" s="202" t="n"/>
      <c r="AT36" s="202" t="n"/>
      <c r="AU36" s="202" t="n"/>
      <c r="AV36" s="202" t="n"/>
      <c r="AW36" s="202" t="n"/>
      <c r="AX36" s="202" t="n"/>
      <c r="AY36" s="202" t="n"/>
      <c r="AZ36" s="202" t="n"/>
      <c r="BA36" s="202" t="n"/>
      <c r="BB36" s="202" t="n"/>
      <c r="BC36" s="202" t="n"/>
      <c r="BD36" s="202" t="n"/>
      <c r="BE36" s="202" t="n"/>
      <c r="BF36" s="202" t="n"/>
      <c r="BG36" s="202" t="n"/>
      <c r="BH36" s="202" t="n"/>
      <c r="BI36" s="202" t="n"/>
      <c r="BJ36" s="202" t="n"/>
      <c r="BK36" s="202" t="n"/>
      <c r="BL36" s="202" t="n"/>
      <c r="BM36" s="202" t="n"/>
      <c r="BN36" s="202" t="n"/>
      <c r="BO36" s="202" t="n"/>
      <c r="BP36" s="202" t="n"/>
      <c r="BQ36" s="202" t="n"/>
      <c r="BR36" s="202" t="n"/>
    </row>
    <row r="37">
      <c r="A37" s="282" t="n"/>
      <c r="B37" s="291" t="n"/>
      <c r="C37" s="291" t="n"/>
      <c r="D37" s="291" t="n"/>
      <c r="E37" s="291" t="n"/>
      <c r="F37" s="291" t="n"/>
      <c r="G37" s="291" t="n"/>
      <c r="H37" s="291" t="n"/>
      <c r="I37" s="291" t="n"/>
      <c r="J37" s="291" t="n"/>
      <c r="K37" s="291" t="n"/>
      <c r="L37" s="291" t="n"/>
      <c r="M37" s="291" t="n"/>
      <c r="N37" s="286" t="n"/>
      <c r="O37" s="202" t="n"/>
      <c r="P37" s="202" t="n"/>
      <c r="Q37" s="202" t="n"/>
      <c r="R37" s="202" t="n"/>
      <c r="S37" s="202" t="n"/>
      <c r="T37" s="202" t="n"/>
      <c r="U37" s="202" t="n"/>
      <c r="V37" s="202" t="n"/>
      <c r="W37" s="202" t="n"/>
      <c r="X37" s="202" t="n"/>
      <c r="Y37" s="202" t="n"/>
      <c r="Z37" s="202" t="n"/>
      <c r="AA37" s="202" t="n"/>
      <c r="AB37" s="202" t="n"/>
      <c r="AC37" s="202" t="n"/>
      <c r="AD37" s="202" t="n"/>
      <c r="AE37" s="202" t="n"/>
      <c r="AF37" s="202" t="n"/>
      <c r="AG37" s="202" t="n"/>
      <c r="AH37" s="202" t="n"/>
      <c r="AI37" s="202" t="n"/>
      <c r="AJ37" s="202" t="n"/>
      <c r="AK37" s="202" t="n"/>
      <c r="AL37" s="202" t="n"/>
      <c r="AM37" s="202" t="n"/>
      <c r="AN37" s="202" t="n"/>
      <c r="AO37" s="202" t="n"/>
      <c r="AP37" s="202" t="n"/>
      <c r="AQ37" s="202" t="n"/>
      <c r="AR37" s="202" t="n"/>
      <c r="AS37" s="202" t="n"/>
      <c r="AT37" s="202" t="n"/>
      <c r="AU37" s="202" t="n"/>
      <c r="AV37" s="202" t="n"/>
      <c r="AW37" s="202" t="n"/>
      <c r="AX37" s="202" t="n"/>
      <c r="AY37" s="202" t="n"/>
      <c r="AZ37" s="202" t="n"/>
      <c r="BA37" s="202" t="n"/>
      <c r="BB37" s="202" t="n"/>
      <c r="BC37" s="202" t="n"/>
      <c r="BD37" s="202" t="n"/>
      <c r="BE37" s="202" t="n"/>
      <c r="BF37" s="202" t="n"/>
      <c r="BG37" s="202" t="n"/>
      <c r="BH37" s="202" t="n"/>
      <c r="BI37" s="202" t="n"/>
      <c r="BJ37" s="202" t="n"/>
      <c r="BK37" s="202" t="n"/>
      <c r="BL37" s="202" t="n"/>
      <c r="BM37" s="202" t="n"/>
      <c r="BN37" s="202" t="n"/>
      <c r="BO37" s="202" t="n"/>
      <c r="BP37" s="202" t="n"/>
      <c r="BQ37" s="202" t="n"/>
      <c r="BR37" s="202" t="n"/>
    </row>
    <row r="38">
      <c r="A38" s="282" t="n"/>
      <c r="B38" s="291" t="n"/>
      <c r="C38" s="291" t="n"/>
      <c r="D38" s="291" t="n"/>
      <c r="E38" s="291" t="n"/>
      <c r="F38" s="291" t="n"/>
      <c r="G38" s="291" t="n"/>
      <c r="H38" s="291" t="n"/>
      <c r="I38" s="291" t="n"/>
      <c r="J38" s="291" t="n"/>
      <c r="K38" s="291" t="n"/>
      <c r="L38" s="291" t="n"/>
      <c r="M38" s="291" t="n"/>
      <c r="N38" s="286" t="n"/>
      <c r="O38" s="202" t="n"/>
      <c r="P38" s="202" t="n"/>
      <c r="Q38" s="202" t="n"/>
      <c r="R38" s="202" t="n"/>
      <c r="S38" s="202" t="n"/>
      <c r="T38" s="202" t="n"/>
      <c r="U38" s="202" t="n"/>
      <c r="V38" s="202" t="n"/>
      <c r="W38" s="202" t="n"/>
      <c r="X38" s="202" t="n"/>
      <c r="Y38" s="202" t="n"/>
      <c r="Z38" s="202" t="n"/>
      <c r="AA38" s="202" t="n"/>
      <c r="AB38" s="202" t="n"/>
      <c r="AC38" s="202" t="n"/>
      <c r="AD38" s="202" t="n"/>
      <c r="AE38" s="202" t="n"/>
      <c r="AF38" s="202" t="n"/>
      <c r="AG38" s="202" t="n"/>
      <c r="AH38" s="202" t="n"/>
      <c r="AI38" s="202" t="n"/>
      <c r="AJ38" s="202" t="n"/>
      <c r="AK38" s="202" t="n"/>
      <c r="AL38" s="202" t="n"/>
      <c r="AM38" s="202" t="n"/>
      <c r="AN38" s="202" t="n"/>
      <c r="AO38" s="202" t="n"/>
      <c r="AP38" s="202" t="n"/>
      <c r="AQ38" s="202" t="n"/>
      <c r="AR38" s="202" t="n"/>
      <c r="AS38" s="202" t="n"/>
      <c r="AT38" s="202" t="n"/>
      <c r="AU38" s="202" t="n"/>
      <c r="AV38" s="202" t="n"/>
      <c r="AW38" s="202" t="n"/>
      <c r="AX38" s="202" t="n"/>
      <c r="AY38" s="202" t="n"/>
      <c r="AZ38" s="202" t="n"/>
      <c r="BA38" s="202" t="n"/>
      <c r="BB38" s="202" t="n"/>
      <c r="BC38" s="202" t="n"/>
      <c r="BD38" s="202" t="n"/>
      <c r="BE38" s="202" t="n"/>
      <c r="BF38" s="202" t="n"/>
      <c r="BG38" s="202" t="n"/>
      <c r="BH38" s="202" t="n"/>
      <c r="BI38" s="202" t="n"/>
      <c r="BJ38" s="202" t="n"/>
      <c r="BK38" s="202" t="n"/>
      <c r="BL38" s="202" t="n"/>
      <c r="BM38" s="202" t="n"/>
      <c r="BN38" s="202" t="n"/>
      <c r="BO38" s="202" t="n"/>
      <c r="BP38" s="202" t="n"/>
      <c r="BQ38" s="202" t="n"/>
      <c r="BR38" s="202" t="n"/>
    </row>
    <row r="39">
      <c r="A39" s="285" t="n"/>
      <c r="B39" s="286" t="n"/>
      <c r="C39" s="286" t="n"/>
      <c r="D39" s="286" t="n"/>
      <c r="E39" s="286" t="n"/>
      <c r="F39" s="286" t="n"/>
      <c r="G39" s="286" t="n"/>
      <c r="H39" s="286" t="n"/>
      <c r="I39" s="286" t="n"/>
      <c r="J39" s="286" t="n"/>
      <c r="K39" s="286" t="n"/>
      <c r="L39" s="286" t="n"/>
      <c r="M39" s="286" t="n"/>
      <c r="N39" s="286" t="n"/>
      <c r="O39" s="202" t="n"/>
      <c r="P39" s="202" t="n"/>
      <c r="Q39" s="202" t="n"/>
      <c r="R39" s="202" t="n"/>
      <c r="S39" s="202" t="n"/>
      <c r="T39" s="202" t="n"/>
      <c r="U39" s="202" t="n"/>
      <c r="V39" s="202" t="n"/>
      <c r="W39" s="202" t="n"/>
      <c r="X39" s="202" t="n"/>
      <c r="Y39" s="202" t="n"/>
      <c r="Z39" s="202" t="n"/>
      <c r="AA39" s="202" t="n"/>
      <c r="AB39" s="202" t="n"/>
      <c r="AC39" s="202" t="n"/>
      <c r="AD39" s="202" t="n"/>
      <c r="AE39" s="202" t="n"/>
      <c r="AF39" s="202" t="n"/>
      <c r="AG39" s="202" t="n"/>
      <c r="AH39" s="202" t="n"/>
      <c r="AI39" s="202" t="n"/>
      <c r="AJ39" s="202" t="n"/>
      <c r="AK39" s="202" t="n"/>
      <c r="AL39" s="202" t="n"/>
      <c r="AM39" s="202" t="n"/>
      <c r="AN39" s="202" t="n"/>
      <c r="AO39" s="202" t="n"/>
      <c r="AP39" s="202" t="n"/>
      <c r="AQ39" s="202" t="n"/>
      <c r="AR39" s="202" t="n"/>
      <c r="AS39" s="202" t="n"/>
      <c r="AT39" s="202" t="n"/>
      <c r="AU39" s="202" t="n"/>
      <c r="AV39" s="202" t="n"/>
      <c r="AW39" s="202" t="n"/>
      <c r="AX39" s="202" t="n"/>
      <c r="AY39" s="202" t="n"/>
      <c r="AZ39" s="202" t="n"/>
      <c r="BA39" s="202" t="n"/>
      <c r="BB39" s="202" t="n"/>
      <c r="BC39" s="202" t="n"/>
      <c r="BD39" s="202" t="n"/>
      <c r="BE39" s="202" t="n"/>
      <c r="BF39" s="202" t="n"/>
      <c r="BG39" s="202" t="n"/>
      <c r="BH39" s="202" t="n"/>
      <c r="BI39" s="202" t="n"/>
      <c r="BJ39" s="202" t="n"/>
      <c r="BK39" s="202" t="n"/>
      <c r="BL39" s="202" t="n"/>
      <c r="BM39" s="202" t="n"/>
      <c r="BN39" s="202" t="n"/>
      <c r="BO39" s="202" t="n"/>
      <c r="BP39" s="202" t="n"/>
      <c r="BQ39" s="202" t="n"/>
      <c r="BR39" s="202" t="n"/>
    </row>
    <row r="40" ht="18" customHeight="1" s="82">
      <c r="A40" s="275" t="n"/>
      <c r="B40" s="202" t="n"/>
      <c r="C40" s="202" t="n"/>
      <c r="D40" s="202" t="n"/>
      <c r="E40" s="202" t="n"/>
      <c r="F40" s="202" t="n"/>
      <c r="G40" s="202" t="n"/>
      <c r="H40" s="202" t="n"/>
      <c r="I40" s="202" t="n"/>
      <c r="J40" s="202" t="n"/>
      <c r="K40" s="202" t="n"/>
      <c r="L40" s="202" t="n"/>
      <c r="M40" s="202" t="n"/>
      <c r="N40" s="202" t="n"/>
      <c r="O40" s="202" t="n"/>
      <c r="P40" s="202" t="n"/>
      <c r="Q40" s="202" t="n"/>
      <c r="R40" s="202" t="n"/>
      <c r="S40" s="202" t="n"/>
      <c r="T40" s="202" t="n"/>
      <c r="U40" s="202" t="n"/>
      <c r="V40" s="202" t="n"/>
      <c r="W40" s="202" t="n"/>
      <c r="X40" s="202" t="n"/>
      <c r="Y40" s="202" t="n"/>
      <c r="Z40" s="202" t="n"/>
      <c r="AA40" s="202" t="n"/>
      <c r="AB40" s="202" t="n"/>
      <c r="AC40" s="202" t="n"/>
      <c r="AD40" s="202" t="n"/>
      <c r="AE40" s="202" t="n"/>
      <c r="AF40" s="202" t="n"/>
      <c r="AG40" s="202" t="n"/>
      <c r="AH40" s="202" t="n"/>
      <c r="AI40" s="202" t="n"/>
      <c r="AJ40" s="202" t="n"/>
      <c r="AK40" s="202" t="n"/>
      <c r="AL40" s="202" t="n"/>
      <c r="AM40" s="202" t="n"/>
      <c r="AN40" s="202" t="n"/>
      <c r="AO40" s="202" t="n"/>
      <c r="AP40" s="202" t="n"/>
      <c r="AQ40" s="202" t="n"/>
      <c r="AR40" s="202" t="n"/>
      <c r="AS40" s="202" t="n"/>
      <c r="AT40" s="202" t="n"/>
      <c r="AU40" s="202" t="n"/>
      <c r="AV40" s="202" t="n"/>
      <c r="AW40" s="202" t="n"/>
      <c r="AX40" s="202" t="n"/>
      <c r="AY40" s="202" t="n"/>
      <c r="AZ40" s="202" t="n"/>
      <c r="BA40" s="202" t="n"/>
      <c r="BB40" s="202" t="n"/>
      <c r="BC40" s="202" t="n"/>
      <c r="BD40" s="202" t="n"/>
      <c r="BE40" s="202" t="n"/>
      <c r="BF40" s="202" t="n"/>
      <c r="BG40" s="202" t="n"/>
      <c r="BH40" s="202" t="n"/>
      <c r="BI40" s="202" t="n"/>
      <c r="BJ40" s="202" t="n"/>
      <c r="BK40" s="202" t="n"/>
      <c r="BL40" s="202" t="n"/>
      <c r="BM40" s="202" t="n"/>
      <c r="BN40" s="202" t="n"/>
      <c r="BO40" s="202" t="n"/>
      <c r="BP40" s="202" t="n"/>
      <c r="BQ40" s="202" t="n"/>
      <c r="BR40" s="202" t="n"/>
    </row>
    <row r="41">
      <c r="A41" s="280" t="n"/>
      <c r="B41" s="281" t="n"/>
      <c r="C41" s="281" t="n"/>
      <c r="D41" s="281" t="n"/>
      <c r="E41" s="281" t="n"/>
      <c r="F41" s="281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02" t="n"/>
      <c r="P41" s="202" t="n"/>
      <c r="Q41" s="202" t="n"/>
      <c r="R41" s="202" t="n"/>
      <c r="S41" s="202" t="n"/>
      <c r="T41" s="202" t="n"/>
      <c r="U41" s="202" t="n"/>
      <c r="V41" s="202" t="n"/>
      <c r="W41" s="202" t="n"/>
      <c r="X41" s="202" t="n"/>
      <c r="Y41" s="202" t="n"/>
      <c r="Z41" s="202" t="n"/>
      <c r="AA41" s="202" t="n"/>
      <c r="AB41" s="202" t="n"/>
      <c r="AC41" s="202" t="n"/>
      <c r="AD41" s="202" t="n"/>
      <c r="AE41" s="202" t="n"/>
      <c r="AF41" s="202" t="n"/>
      <c r="AG41" s="202" t="n"/>
      <c r="AH41" s="202" t="n"/>
      <c r="AI41" s="202" t="n"/>
      <c r="AJ41" s="202" t="n"/>
      <c r="AK41" s="202" t="n"/>
      <c r="AL41" s="202" t="n"/>
      <c r="AM41" s="202" t="n"/>
      <c r="AN41" s="202" t="n"/>
      <c r="AO41" s="202" t="n"/>
      <c r="AP41" s="202" t="n"/>
      <c r="AQ41" s="202" t="n"/>
      <c r="AR41" s="202" t="n"/>
      <c r="AS41" s="202" t="n"/>
      <c r="AT41" s="202" t="n"/>
      <c r="AU41" s="202" t="n"/>
      <c r="AV41" s="202" t="n"/>
      <c r="AW41" s="202" t="n"/>
      <c r="AX41" s="202" t="n"/>
      <c r="AY41" s="202" t="n"/>
      <c r="AZ41" s="202" t="n"/>
      <c r="BA41" s="202" t="n"/>
      <c r="BB41" s="202" t="n"/>
      <c r="BC41" s="202" t="n"/>
      <c r="BD41" s="202" t="n"/>
      <c r="BE41" s="202" t="n"/>
      <c r="BF41" s="202" t="n"/>
      <c r="BG41" s="202" t="n"/>
      <c r="BH41" s="202" t="n"/>
      <c r="BI41" s="202" t="n"/>
      <c r="BJ41" s="202" t="n"/>
      <c r="BK41" s="202" t="n"/>
      <c r="BL41" s="202" t="n"/>
      <c r="BM41" s="202" t="n"/>
      <c r="BN41" s="202" t="n"/>
      <c r="BO41" s="202" t="n"/>
      <c r="BP41" s="202" t="n"/>
      <c r="BQ41" s="202" t="n"/>
      <c r="BR41" s="202" t="n"/>
    </row>
    <row r="42">
      <c r="A42" s="282" t="n"/>
      <c r="B42" s="291" t="n"/>
      <c r="C42" s="291" t="n"/>
      <c r="D42" s="291" t="n"/>
      <c r="E42" s="291" t="n"/>
      <c r="F42" s="291" t="n"/>
      <c r="G42" s="291" t="n"/>
      <c r="H42" s="291" t="n"/>
      <c r="I42" s="291" t="n"/>
      <c r="J42" s="291" t="n"/>
      <c r="K42" s="291" t="n"/>
      <c r="L42" s="291" t="n"/>
      <c r="M42" s="291" t="n"/>
      <c r="N42" s="286" t="n"/>
      <c r="O42" s="202" t="n"/>
      <c r="P42" s="202" t="n"/>
      <c r="Q42" s="202" t="n"/>
      <c r="R42" s="202" t="n"/>
      <c r="S42" s="202" t="n"/>
      <c r="T42" s="202" t="n"/>
      <c r="U42" s="202" t="n"/>
      <c r="V42" s="202" t="n"/>
      <c r="W42" s="202" t="n"/>
      <c r="X42" s="202" t="n"/>
      <c r="Y42" s="202" t="n"/>
      <c r="Z42" s="202" t="n"/>
      <c r="AA42" s="202" t="n"/>
      <c r="AB42" s="202" t="n"/>
      <c r="AC42" s="202" t="n"/>
      <c r="AD42" s="202" t="n"/>
      <c r="AE42" s="202" t="n"/>
      <c r="AF42" s="202" t="n"/>
      <c r="AG42" s="202" t="n"/>
      <c r="AH42" s="202" t="n"/>
      <c r="AI42" s="202" t="n"/>
      <c r="AJ42" s="202" t="n"/>
      <c r="AK42" s="202" t="n"/>
      <c r="AL42" s="202" t="n"/>
      <c r="AM42" s="202" t="n"/>
      <c r="AN42" s="202" t="n"/>
      <c r="AO42" s="202" t="n"/>
      <c r="AP42" s="202" t="n"/>
      <c r="AQ42" s="202" t="n"/>
      <c r="AR42" s="202" t="n"/>
      <c r="AS42" s="202" t="n"/>
      <c r="AT42" s="202" t="n"/>
      <c r="AU42" s="202" t="n"/>
      <c r="AV42" s="202" t="n"/>
      <c r="AW42" s="202" t="n"/>
      <c r="AX42" s="202" t="n"/>
      <c r="AY42" s="202" t="n"/>
      <c r="AZ42" s="202" t="n"/>
      <c r="BA42" s="202" t="n"/>
      <c r="BB42" s="202" t="n"/>
      <c r="BC42" s="202" t="n"/>
      <c r="BD42" s="202" t="n"/>
      <c r="BE42" s="202" t="n"/>
      <c r="BF42" s="202" t="n"/>
      <c r="BG42" s="202" t="n"/>
      <c r="BH42" s="202" t="n"/>
      <c r="BI42" s="202" t="n"/>
      <c r="BJ42" s="202" t="n"/>
      <c r="BK42" s="202" t="n"/>
      <c r="BL42" s="202" t="n"/>
      <c r="BM42" s="202" t="n"/>
      <c r="BN42" s="202" t="n"/>
      <c r="BO42" s="202" t="n"/>
      <c r="BP42" s="202" t="n"/>
      <c r="BQ42" s="202" t="n"/>
      <c r="BR42" s="202" t="n"/>
    </row>
    <row r="43">
      <c r="A43" s="282" t="n"/>
      <c r="B43" s="298" t="n"/>
      <c r="C43" s="298" t="n"/>
      <c r="D43" s="298" t="n"/>
      <c r="E43" s="298" t="n"/>
      <c r="F43" s="298" t="n"/>
      <c r="G43" s="298" t="n"/>
      <c r="H43" s="298" t="n"/>
      <c r="I43" s="298" t="n"/>
      <c r="J43" s="298" t="n"/>
      <c r="K43" s="298" t="n"/>
      <c r="L43" s="298" t="n"/>
      <c r="M43" s="298" t="n"/>
      <c r="N43" s="299" t="n"/>
      <c r="O43" s="202" t="n"/>
      <c r="P43" s="202" t="n"/>
      <c r="Q43" s="202" t="n"/>
      <c r="R43" s="202" t="n"/>
      <c r="S43" s="202" t="n"/>
      <c r="T43" s="202" t="n"/>
      <c r="U43" s="202" t="n"/>
      <c r="V43" s="202" t="n"/>
      <c r="W43" s="202" t="n"/>
      <c r="X43" s="202" t="n"/>
      <c r="Y43" s="202" t="n"/>
      <c r="Z43" s="202" t="n"/>
      <c r="AA43" s="202" t="n"/>
      <c r="AB43" s="202" t="n"/>
      <c r="AC43" s="202" t="n"/>
      <c r="AD43" s="202" t="n"/>
      <c r="AE43" s="202" t="n"/>
      <c r="AF43" s="202" t="n"/>
      <c r="AG43" s="202" t="n"/>
      <c r="AH43" s="202" t="n"/>
      <c r="AI43" s="202" t="n"/>
      <c r="AJ43" s="202" t="n"/>
      <c r="AK43" s="202" t="n"/>
      <c r="AL43" s="202" t="n"/>
      <c r="AM43" s="202" t="n"/>
      <c r="AN43" s="202" t="n"/>
      <c r="AO43" s="202" t="n"/>
      <c r="AP43" s="202" t="n"/>
      <c r="AQ43" s="202" t="n"/>
      <c r="AR43" s="202" t="n"/>
      <c r="AS43" s="202" t="n"/>
      <c r="AT43" s="202" t="n"/>
      <c r="AU43" s="202" t="n"/>
      <c r="AV43" s="202" t="n"/>
      <c r="AW43" s="202" t="n"/>
      <c r="AX43" s="202" t="n"/>
      <c r="AY43" s="202" t="n"/>
      <c r="AZ43" s="202" t="n"/>
      <c r="BA43" s="202" t="n"/>
      <c r="BB43" s="202" t="n"/>
      <c r="BC43" s="202" t="n"/>
      <c r="BD43" s="202" t="n"/>
      <c r="BE43" s="202" t="n"/>
      <c r="BF43" s="202" t="n"/>
      <c r="BG43" s="202" t="n"/>
      <c r="BH43" s="202" t="n"/>
      <c r="BI43" s="202" t="n"/>
      <c r="BJ43" s="202" t="n"/>
      <c r="BK43" s="202" t="n"/>
      <c r="BL43" s="202" t="n"/>
      <c r="BM43" s="202" t="n"/>
      <c r="BN43" s="202" t="n"/>
      <c r="BO43" s="202" t="n"/>
      <c r="BP43" s="202" t="n"/>
      <c r="BQ43" s="202" t="n"/>
      <c r="BR43" s="202" t="n"/>
    </row>
    <row r="44">
      <c r="A44" s="285" t="n"/>
      <c r="B44" s="286" t="n"/>
      <c r="C44" s="286" t="n"/>
      <c r="D44" s="286" t="n"/>
      <c r="E44" s="286" t="n"/>
      <c r="F44" s="286" t="n"/>
      <c r="G44" s="286" t="n"/>
      <c r="H44" s="286" t="n"/>
      <c r="I44" s="286" t="n"/>
      <c r="J44" s="286" t="n"/>
      <c r="K44" s="286" t="n"/>
      <c r="L44" s="286" t="n"/>
      <c r="M44" s="286" t="n"/>
      <c r="N44" s="286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2" t="n"/>
      <c r="Y44" s="202" t="n"/>
      <c r="Z44" s="202" t="n"/>
      <c r="AA44" s="202" t="n"/>
      <c r="AB44" s="202" t="n"/>
      <c r="AC44" s="202" t="n"/>
      <c r="AD44" s="202" t="n"/>
      <c r="AE44" s="202" t="n"/>
      <c r="AF44" s="202" t="n"/>
      <c r="AG44" s="202" t="n"/>
      <c r="AH44" s="202" t="n"/>
      <c r="AI44" s="202" t="n"/>
      <c r="AJ44" s="202" t="n"/>
      <c r="AK44" s="202" t="n"/>
      <c r="AL44" s="202" t="n"/>
      <c r="AM44" s="202" t="n"/>
      <c r="AN44" s="202" t="n"/>
      <c r="AO44" s="202" t="n"/>
      <c r="AP44" s="202" t="n"/>
      <c r="AQ44" s="202" t="n"/>
      <c r="AR44" s="202" t="n"/>
      <c r="AS44" s="202" t="n"/>
      <c r="AT44" s="202" t="n"/>
      <c r="AU44" s="202" t="n"/>
      <c r="AV44" s="202" t="n"/>
      <c r="AW44" s="202" t="n"/>
      <c r="AX44" s="202" t="n"/>
      <c r="AY44" s="202" t="n"/>
      <c r="AZ44" s="202" t="n"/>
      <c r="BA44" s="202" t="n"/>
      <c r="BB44" s="202" t="n"/>
      <c r="BC44" s="202" t="n"/>
      <c r="BD44" s="202" t="n"/>
      <c r="BE44" s="202" t="n"/>
      <c r="BF44" s="202" t="n"/>
      <c r="BG44" s="202" t="n"/>
      <c r="BH44" s="202" t="n"/>
      <c r="BI44" s="202" t="n"/>
      <c r="BJ44" s="202" t="n"/>
      <c r="BK44" s="202" t="n"/>
      <c r="BL44" s="202" t="n"/>
      <c r="BM44" s="202" t="n"/>
      <c r="BN44" s="202" t="n"/>
      <c r="BO44" s="202" t="n"/>
      <c r="BP44" s="202" t="n"/>
      <c r="BQ44" s="202" t="n"/>
      <c r="BR44" s="202" t="n"/>
    </row>
    <row r="45">
      <c r="A45" s="289" t="n"/>
      <c r="B45" s="202" t="n"/>
      <c r="C45" s="202" t="n"/>
      <c r="D45" s="202" t="n"/>
      <c r="E45" s="202" t="n"/>
      <c r="F45" s="202" t="n"/>
      <c r="G45" s="202" t="n"/>
      <c r="H45" s="202" t="n"/>
      <c r="I45" s="202" t="n"/>
      <c r="J45" s="202" t="n"/>
      <c r="K45" s="202" t="n"/>
      <c r="L45" s="202" t="n"/>
      <c r="M45" s="202" t="n"/>
      <c r="N45" s="202" t="n"/>
      <c r="O45" s="202" t="n"/>
      <c r="P45" s="202" t="n"/>
      <c r="Q45" s="202" t="n"/>
      <c r="R45" s="202" t="n"/>
      <c r="S45" s="202" t="n"/>
      <c r="T45" s="202" t="n"/>
      <c r="U45" s="202" t="n"/>
      <c r="V45" s="202" t="n"/>
      <c r="W45" s="202" t="n"/>
      <c r="X45" s="202" t="n"/>
      <c r="Y45" s="202" t="n"/>
      <c r="Z45" s="202" t="n"/>
      <c r="AA45" s="202" t="n"/>
      <c r="AB45" s="202" t="n"/>
      <c r="AC45" s="202" t="n"/>
      <c r="AD45" s="202" t="n"/>
      <c r="AE45" s="202" t="n"/>
      <c r="AF45" s="202" t="n"/>
      <c r="AG45" s="202" t="n"/>
      <c r="AH45" s="202" t="n"/>
      <c r="AI45" s="202" t="n"/>
      <c r="AJ45" s="202" t="n"/>
      <c r="AK45" s="202" t="n"/>
      <c r="AL45" s="202" t="n"/>
      <c r="AM45" s="202" t="n"/>
      <c r="AN45" s="202" t="n"/>
      <c r="AO45" s="202" t="n"/>
      <c r="AP45" s="202" t="n"/>
      <c r="AQ45" s="202" t="n"/>
      <c r="AR45" s="202" t="n"/>
      <c r="AS45" s="202" t="n"/>
      <c r="AT45" s="202" t="n"/>
      <c r="AU45" s="202" t="n"/>
      <c r="AV45" s="202" t="n"/>
      <c r="AW45" s="202" t="n"/>
      <c r="AX45" s="202" t="n"/>
      <c r="AY45" s="202" t="n"/>
      <c r="AZ45" s="202" t="n"/>
      <c r="BA45" s="202" t="n"/>
      <c r="BB45" s="202" t="n"/>
      <c r="BC45" s="202" t="n"/>
      <c r="BD45" s="202" t="n"/>
      <c r="BE45" s="202" t="n"/>
      <c r="BF45" s="202" t="n"/>
      <c r="BG45" s="202" t="n"/>
      <c r="BH45" s="202" t="n"/>
      <c r="BI45" s="202" t="n"/>
      <c r="BJ45" s="202" t="n"/>
      <c r="BK45" s="202" t="n"/>
      <c r="BL45" s="202" t="n"/>
      <c r="BM45" s="202" t="n"/>
      <c r="BN45" s="202" t="n"/>
      <c r="BO45" s="202" t="n"/>
      <c r="BP45" s="202" t="n"/>
      <c r="BQ45" s="202" t="n"/>
      <c r="BR45" s="202" t="n"/>
    </row>
    <row r="46">
      <c r="A46" s="282" t="n"/>
      <c r="B46" s="291" t="n"/>
      <c r="C46" s="291" t="n"/>
      <c r="D46" s="291" t="n"/>
      <c r="E46" s="291" t="n"/>
      <c r="F46" s="291" t="n"/>
      <c r="G46" s="291" t="n"/>
      <c r="H46" s="291" t="n"/>
      <c r="I46" s="291" t="n"/>
      <c r="J46" s="291" t="n"/>
      <c r="K46" s="291" t="n"/>
      <c r="L46" s="291" t="n"/>
      <c r="M46" s="291" t="n"/>
      <c r="N46" s="286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2" t="n"/>
      <c r="Y46" s="202" t="n"/>
      <c r="Z46" s="202" t="n"/>
      <c r="AA46" s="202" t="n"/>
      <c r="AB46" s="202" t="n"/>
      <c r="AC46" s="202" t="n"/>
      <c r="AD46" s="202" t="n"/>
      <c r="AE46" s="202" t="n"/>
      <c r="AF46" s="202" t="n"/>
      <c r="AG46" s="202" t="n"/>
      <c r="AH46" s="202" t="n"/>
      <c r="AI46" s="202" t="n"/>
      <c r="AJ46" s="202" t="n"/>
      <c r="AK46" s="202" t="n"/>
      <c r="AL46" s="202" t="n"/>
      <c r="AM46" s="202" t="n"/>
      <c r="AN46" s="202" t="n"/>
      <c r="AO46" s="202" t="n"/>
      <c r="AP46" s="202" t="n"/>
      <c r="AQ46" s="202" t="n"/>
      <c r="AR46" s="202" t="n"/>
      <c r="AS46" s="202" t="n"/>
      <c r="AT46" s="202" t="n"/>
      <c r="AU46" s="202" t="n"/>
      <c r="AV46" s="202" t="n"/>
      <c r="AW46" s="202" t="n"/>
      <c r="AX46" s="202" t="n"/>
      <c r="AY46" s="202" t="n"/>
      <c r="AZ46" s="202" t="n"/>
      <c r="BA46" s="202" t="n"/>
      <c r="BB46" s="202" t="n"/>
      <c r="BC46" s="202" t="n"/>
      <c r="BD46" s="202" t="n"/>
      <c r="BE46" s="202" t="n"/>
      <c r="BF46" s="202" t="n"/>
      <c r="BG46" s="202" t="n"/>
      <c r="BH46" s="202" t="n"/>
      <c r="BI46" s="202" t="n"/>
      <c r="BJ46" s="202" t="n"/>
      <c r="BK46" s="202" t="n"/>
      <c r="BL46" s="202" t="n"/>
      <c r="BM46" s="202" t="n"/>
      <c r="BN46" s="202" t="n"/>
      <c r="BO46" s="202" t="n"/>
      <c r="BP46" s="202" t="n"/>
      <c r="BQ46" s="202" t="n"/>
      <c r="BR46" s="202" t="n"/>
    </row>
    <row r="47">
      <c r="A47" s="282" t="n"/>
      <c r="B47" s="291" t="n"/>
      <c r="C47" s="291" t="n"/>
      <c r="D47" s="291" t="n"/>
      <c r="E47" s="291" t="n"/>
      <c r="F47" s="291" t="n"/>
      <c r="G47" s="291" t="n"/>
      <c r="H47" s="291" t="n"/>
      <c r="I47" s="291" t="n"/>
      <c r="J47" s="291" t="n"/>
      <c r="K47" s="291" t="n"/>
      <c r="L47" s="291" t="n"/>
      <c r="M47" s="291" t="n"/>
      <c r="N47" s="286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2" t="n"/>
      <c r="Y47" s="202" t="n"/>
      <c r="Z47" s="202" t="n"/>
      <c r="AA47" s="202" t="n"/>
      <c r="AB47" s="202" t="n"/>
      <c r="AC47" s="202" t="n"/>
      <c r="AD47" s="202" t="n"/>
      <c r="AE47" s="202" t="n"/>
      <c r="AF47" s="202" t="n"/>
      <c r="AG47" s="202" t="n"/>
      <c r="AH47" s="202" t="n"/>
      <c r="AI47" s="202" t="n"/>
      <c r="AJ47" s="202" t="n"/>
      <c r="AK47" s="202" t="n"/>
      <c r="AL47" s="202" t="n"/>
      <c r="AM47" s="202" t="n"/>
      <c r="AN47" s="202" t="n"/>
      <c r="AO47" s="202" t="n"/>
      <c r="AP47" s="202" t="n"/>
      <c r="AQ47" s="202" t="n"/>
      <c r="AR47" s="202" t="n"/>
      <c r="AS47" s="202" t="n"/>
      <c r="AT47" s="202" t="n"/>
      <c r="AU47" s="202" t="n"/>
      <c r="AV47" s="202" t="n"/>
      <c r="AW47" s="202" t="n"/>
      <c r="AX47" s="202" t="n"/>
      <c r="AY47" s="202" t="n"/>
      <c r="AZ47" s="202" t="n"/>
      <c r="BA47" s="202" t="n"/>
      <c r="BB47" s="202" t="n"/>
      <c r="BC47" s="202" t="n"/>
      <c r="BD47" s="202" t="n"/>
      <c r="BE47" s="202" t="n"/>
      <c r="BF47" s="202" t="n"/>
      <c r="BG47" s="202" t="n"/>
      <c r="BH47" s="202" t="n"/>
      <c r="BI47" s="202" t="n"/>
      <c r="BJ47" s="202" t="n"/>
      <c r="BK47" s="202" t="n"/>
      <c r="BL47" s="202" t="n"/>
      <c r="BM47" s="202" t="n"/>
      <c r="BN47" s="202" t="n"/>
      <c r="BO47" s="202" t="n"/>
      <c r="BP47" s="202" t="n"/>
      <c r="BQ47" s="202" t="n"/>
      <c r="BR47" s="202" t="n"/>
    </row>
    <row r="48">
      <c r="A48" s="282" t="n"/>
      <c r="B48" s="291" t="n"/>
      <c r="C48" s="291" t="n"/>
      <c r="D48" s="291" t="n"/>
      <c r="E48" s="291" t="n"/>
      <c r="F48" s="291" t="n"/>
      <c r="G48" s="291" t="n"/>
      <c r="H48" s="291" t="n"/>
      <c r="I48" s="291" t="n"/>
      <c r="J48" s="291" t="n"/>
      <c r="K48" s="291" t="n"/>
      <c r="L48" s="291" t="n"/>
      <c r="M48" s="291" t="n"/>
      <c r="N48" s="286" t="n"/>
      <c r="O48" s="202" t="n"/>
      <c r="P48" s="202" t="n"/>
      <c r="Q48" s="202" t="n"/>
      <c r="R48" s="202" t="n"/>
      <c r="S48" s="202" t="n"/>
      <c r="T48" s="202" t="n"/>
      <c r="U48" s="202" t="n"/>
      <c r="V48" s="202" t="n"/>
      <c r="W48" s="202" t="n"/>
      <c r="X48" s="202" t="n"/>
      <c r="Y48" s="202" t="n"/>
      <c r="Z48" s="202" t="n"/>
      <c r="AA48" s="202" t="n"/>
      <c r="AB48" s="202" t="n"/>
      <c r="AC48" s="202" t="n"/>
      <c r="AD48" s="202" t="n"/>
      <c r="AE48" s="202" t="n"/>
      <c r="AF48" s="202" t="n"/>
      <c r="AG48" s="202" t="n"/>
      <c r="AH48" s="202" t="n"/>
      <c r="AI48" s="202" t="n"/>
      <c r="AJ48" s="202" t="n"/>
      <c r="AK48" s="202" t="n"/>
      <c r="AL48" s="202" t="n"/>
      <c r="AM48" s="202" t="n"/>
      <c r="AN48" s="202" t="n"/>
      <c r="AO48" s="202" t="n"/>
      <c r="AP48" s="202" t="n"/>
      <c r="AQ48" s="202" t="n"/>
      <c r="AR48" s="202" t="n"/>
      <c r="AS48" s="202" t="n"/>
      <c r="AT48" s="202" t="n"/>
      <c r="AU48" s="202" t="n"/>
      <c r="AV48" s="202" t="n"/>
      <c r="AW48" s="202" t="n"/>
      <c r="AX48" s="202" t="n"/>
      <c r="AY48" s="202" t="n"/>
      <c r="AZ48" s="202" t="n"/>
      <c r="BA48" s="202" t="n"/>
      <c r="BB48" s="202" t="n"/>
      <c r="BC48" s="202" t="n"/>
      <c r="BD48" s="202" t="n"/>
      <c r="BE48" s="202" t="n"/>
      <c r="BF48" s="202" t="n"/>
      <c r="BG48" s="202" t="n"/>
      <c r="BH48" s="202" t="n"/>
      <c r="BI48" s="202" t="n"/>
      <c r="BJ48" s="202" t="n"/>
      <c r="BK48" s="202" t="n"/>
      <c r="BL48" s="202" t="n"/>
      <c r="BM48" s="202" t="n"/>
      <c r="BN48" s="202" t="n"/>
      <c r="BO48" s="202" t="n"/>
      <c r="BP48" s="202" t="n"/>
      <c r="BQ48" s="202" t="n"/>
      <c r="BR48" s="202" t="n"/>
    </row>
    <row r="49">
      <c r="A49" s="282" t="n"/>
      <c r="B49" s="291" t="n"/>
      <c r="C49" s="291" t="n"/>
      <c r="D49" s="291" t="n"/>
      <c r="E49" s="291" t="n"/>
      <c r="F49" s="291" t="n"/>
      <c r="G49" s="291" t="n"/>
      <c r="H49" s="291" t="n"/>
      <c r="I49" s="291" t="n"/>
      <c r="J49" s="291" t="n"/>
      <c r="K49" s="291" t="n"/>
      <c r="L49" s="291" t="n"/>
      <c r="M49" s="291" t="n"/>
      <c r="N49" s="286" t="n"/>
      <c r="O49" s="202" t="n"/>
      <c r="P49" s="202" t="n"/>
      <c r="Q49" s="202" t="n"/>
      <c r="R49" s="202" t="n"/>
      <c r="S49" s="202" t="n"/>
      <c r="T49" s="202" t="n"/>
      <c r="U49" s="202" t="n"/>
      <c r="V49" s="202" t="n"/>
      <c r="W49" s="202" t="n"/>
      <c r="X49" s="202" t="n"/>
      <c r="Y49" s="202" t="n"/>
      <c r="Z49" s="202" t="n"/>
      <c r="AA49" s="202" t="n"/>
      <c r="AB49" s="202" t="n"/>
      <c r="AC49" s="202" t="n"/>
      <c r="AD49" s="202" t="n"/>
      <c r="AE49" s="202" t="n"/>
      <c r="AF49" s="202" t="n"/>
      <c r="AG49" s="202" t="n"/>
      <c r="AH49" s="202" t="n"/>
      <c r="AI49" s="202" t="n"/>
      <c r="AJ49" s="202" t="n"/>
      <c r="AK49" s="202" t="n"/>
      <c r="AL49" s="202" t="n"/>
      <c r="AM49" s="202" t="n"/>
      <c r="AN49" s="202" t="n"/>
      <c r="AO49" s="202" t="n"/>
      <c r="AP49" s="202" t="n"/>
      <c r="AQ49" s="202" t="n"/>
      <c r="AR49" s="202" t="n"/>
      <c r="AS49" s="202" t="n"/>
      <c r="AT49" s="202" t="n"/>
      <c r="AU49" s="202" t="n"/>
      <c r="AV49" s="202" t="n"/>
      <c r="AW49" s="202" t="n"/>
      <c r="AX49" s="202" t="n"/>
      <c r="AY49" s="202" t="n"/>
      <c r="AZ49" s="202" t="n"/>
      <c r="BA49" s="202" t="n"/>
      <c r="BB49" s="202" t="n"/>
      <c r="BC49" s="202" t="n"/>
      <c r="BD49" s="202" t="n"/>
      <c r="BE49" s="202" t="n"/>
      <c r="BF49" s="202" t="n"/>
      <c r="BG49" s="202" t="n"/>
      <c r="BH49" s="202" t="n"/>
      <c r="BI49" s="202" t="n"/>
      <c r="BJ49" s="202" t="n"/>
      <c r="BK49" s="202" t="n"/>
      <c r="BL49" s="202" t="n"/>
      <c r="BM49" s="202" t="n"/>
      <c r="BN49" s="202" t="n"/>
      <c r="BO49" s="202" t="n"/>
      <c r="BP49" s="202" t="n"/>
      <c r="BQ49" s="202" t="n"/>
      <c r="BR49" s="202" t="n"/>
    </row>
    <row r="50">
      <c r="A50" s="282" t="n"/>
      <c r="B50" s="291" t="n"/>
      <c r="C50" s="291" t="n"/>
      <c r="D50" s="291" t="n"/>
      <c r="E50" s="291" t="n"/>
      <c r="F50" s="291" t="n"/>
      <c r="G50" s="291" t="n"/>
      <c r="H50" s="291" t="n"/>
      <c r="I50" s="291" t="n"/>
      <c r="J50" s="291" t="n"/>
      <c r="K50" s="291" t="n"/>
      <c r="L50" s="291" t="n"/>
      <c r="M50" s="291" t="n"/>
      <c r="N50" s="286" t="n"/>
      <c r="O50" s="202" t="n"/>
      <c r="P50" s="202" t="n"/>
      <c r="Q50" s="202" t="n"/>
      <c r="R50" s="202" t="n"/>
      <c r="S50" s="202" t="n"/>
      <c r="T50" s="202" t="n"/>
      <c r="U50" s="202" t="n"/>
      <c r="V50" s="202" t="n"/>
      <c r="W50" s="202" t="n"/>
      <c r="X50" s="202" t="n"/>
      <c r="Y50" s="202" t="n"/>
      <c r="Z50" s="202" t="n"/>
      <c r="AA50" s="202" t="n"/>
      <c r="AB50" s="202" t="n"/>
      <c r="AC50" s="202" t="n"/>
      <c r="AD50" s="202" t="n"/>
      <c r="AE50" s="202" t="n"/>
      <c r="AF50" s="202" t="n"/>
      <c r="AG50" s="202" t="n"/>
      <c r="AH50" s="202" t="n"/>
      <c r="AI50" s="202" t="n"/>
      <c r="AJ50" s="202" t="n"/>
      <c r="AK50" s="202" t="n"/>
      <c r="AL50" s="202" t="n"/>
      <c r="AM50" s="202" t="n"/>
      <c r="AN50" s="202" t="n"/>
      <c r="AO50" s="202" t="n"/>
      <c r="AP50" s="202" t="n"/>
      <c r="AQ50" s="202" t="n"/>
      <c r="AR50" s="202" t="n"/>
      <c r="AS50" s="202" t="n"/>
      <c r="AT50" s="202" t="n"/>
      <c r="AU50" s="202" t="n"/>
      <c r="AV50" s="202" t="n"/>
      <c r="AW50" s="202" t="n"/>
      <c r="AX50" s="202" t="n"/>
      <c r="AY50" s="202" t="n"/>
      <c r="AZ50" s="202" t="n"/>
      <c r="BA50" s="202" t="n"/>
      <c r="BB50" s="202" t="n"/>
      <c r="BC50" s="202" t="n"/>
      <c r="BD50" s="202" t="n"/>
      <c r="BE50" s="202" t="n"/>
      <c r="BF50" s="202" t="n"/>
      <c r="BG50" s="202" t="n"/>
      <c r="BH50" s="202" t="n"/>
      <c r="BI50" s="202" t="n"/>
      <c r="BJ50" s="202" t="n"/>
      <c r="BK50" s="202" t="n"/>
      <c r="BL50" s="202" t="n"/>
      <c r="BM50" s="202" t="n"/>
      <c r="BN50" s="202" t="n"/>
      <c r="BO50" s="202" t="n"/>
      <c r="BP50" s="202" t="n"/>
      <c r="BQ50" s="202" t="n"/>
      <c r="BR50" s="202" t="n"/>
    </row>
    <row r="51">
      <c r="A51" s="285" t="n"/>
      <c r="B51" s="286" t="n"/>
      <c r="C51" s="286" t="n"/>
      <c r="D51" s="286" t="n"/>
      <c r="E51" s="286" t="n"/>
      <c r="F51" s="286" t="n"/>
      <c r="G51" s="286" t="n"/>
      <c r="H51" s="286" t="n"/>
      <c r="I51" s="286" t="n"/>
      <c r="J51" s="286" t="n"/>
      <c r="K51" s="286" t="n"/>
      <c r="L51" s="286" t="n"/>
      <c r="M51" s="286" t="n"/>
      <c r="N51" s="286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2" t="n"/>
      <c r="Y51" s="202" t="n"/>
      <c r="Z51" s="202" t="n"/>
      <c r="AA51" s="202" t="n"/>
      <c r="AB51" s="202" t="n"/>
      <c r="AC51" s="202" t="n"/>
      <c r="AD51" s="202" t="n"/>
      <c r="AE51" s="202" t="n"/>
      <c r="AF51" s="202" t="n"/>
      <c r="AG51" s="202" t="n"/>
      <c r="AH51" s="202" t="n"/>
      <c r="AI51" s="202" t="n"/>
      <c r="AJ51" s="202" t="n"/>
      <c r="AK51" s="202" t="n"/>
      <c r="AL51" s="202" t="n"/>
      <c r="AM51" s="202" t="n"/>
      <c r="AN51" s="202" t="n"/>
      <c r="AO51" s="202" t="n"/>
      <c r="AP51" s="202" t="n"/>
      <c r="AQ51" s="202" t="n"/>
      <c r="AR51" s="202" t="n"/>
      <c r="AS51" s="202" t="n"/>
      <c r="AT51" s="202" t="n"/>
      <c r="AU51" s="202" t="n"/>
      <c r="AV51" s="202" t="n"/>
      <c r="AW51" s="202" t="n"/>
      <c r="AX51" s="202" t="n"/>
      <c r="AY51" s="202" t="n"/>
      <c r="AZ51" s="202" t="n"/>
      <c r="BA51" s="202" t="n"/>
      <c r="BB51" s="202" t="n"/>
      <c r="BC51" s="202" t="n"/>
      <c r="BD51" s="202" t="n"/>
      <c r="BE51" s="202" t="n"/>
      <c r="BF51" s="202" t="n"/>
      <c r="BG51" s="202" t="n"/>
      <c r="BH51" s="202" t="n"/>
      <c r="BI51" s="202" t="n"/>
      <c r="BJ51" s="202" t="n"/>
      <c r="BK51" s="202" t="n"/>
      <c r="BL51" s="202" t="n"/>
      <c r="BM51" s="202" t="n"/>
      <c r="BN51" s="202" t="n"/>
      <c r="BO51" s="202" t="n"/>
      <c r="BP51" s="202" t="n"/>
      <c r="BQ51" s="202" t="n"/>
      <c r="BR51" s="202" t="n"/>
    </row>
    <row r="52" ht="18" customHeight="1" s="82">
      <c r="A52" s="275" t="n"/>
      <c r="B52" s="202" t="n"/>
      <c r="C52" s="202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2" t="n"/>
      <c r="Y52" s="202" t="n"/>
      <c r="Z52" s="202" t="n"/>
      <c r="AA52" s="202" t="n"/>
      <c r="AB52" s="202" t="n"/>
      <c r="AC52" s="202" t="n"/>
      <c r="AD52" s="202" t="n"/>
      <c r="AE52" s="202" t="n"/>
      <c r="AF52" s="202" t="n"/>
      <c r="AG52" s="202" t="n"/>
      <c r="AH52" s="202" t="n"/>
      <c r="AI52" s="202" t="n"/>
      <c r="AJ52" s="202" t="n"/>
      <c r="AK52" s="202" t="n"/>
      <c r="AL52" s="202" t="n"/>
      <c r="AM52" s="202" t="n"/>
      <c r="AN52" s="202" t="n"/>
      <c r="AO52" s="202" t="n"/>
      <c r="AP52" s="202" t="n"/>
      <c r="AQ52" s="202" t="n"/>
      <c r="AR52" s="202" t="n"/>
      <c r="AS52" s="202" t="n"/>
      <c r="AT52" s="202" t="n"/>
      <c r="AU52" s="202" t="n"/>
      <c r="AV52" s="202" t="n"/>
      <c r="AW52" s="202" t="n"/>
      <c r="AX52" s="202" t="n"/>
      <c r="AY52" s="202" t="n"/>
      <c r="AZ52" s="202" t="n"/>
      <c r="BA52" s="202" t="n"/>
      <c r="BB52" s="202" t="n"/>
      <c r="BC52" s="202" t="n"/>
      <c r="BD52" s="202" t="n"/>
      <c r="BE52" s="202" t="n"/>
      <c r="BF52" s="202" t="n"/>
      <c r="BG52" s="202" t="n"/>
      <c r="BH52" s="202" t="n"/>
      <c r="BI52" s="202" t="n"/>
      <c r="BJ52" s="202" t="n"/>
      <c r="BK52" s="202" t="n"/>
      <c r="BL52" s="202" t="n"/>
      <c r="BM52" s="202" t="n"/>
      <c r="BN52" s="202" t="n"/>
      <c r="BO52" s="202" t="n"/>
      <c r="BP52" s="202" t="n"/>
      <c r="BQ52" s="202" t="n"/>
      <c r="BR52" s="202" t="n"/>
    </row>
    <row r="53">
      <c r="A53" s="280" t="n"/>
      <c r="B53" s="281" t="n"/>
      <c r="C53" s="281" t="n"/>
      <c r="D53" s="281" t="n"/>
      <c r="E53" s="281" t="n"/>
      <c r="F53" s="281" t="n"/>
      <c r="G53" s="281" t="n"/>
      <c r="H53" s="281" t="n"/>
      <c r="I53" s="281" t="n"/>
      <c r="J53" s="281" t="n"/>
      <c r="K53" s="281" t="n"/>
      <c r="L53" s="281" t="n"/>
      <c r="M53" s="281" t="n"/>
      <c r="N53" s="281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2" t="n"/>
      <c r="Y53" s="202" t="n"/>
      <c r="Z53" s="202" t="n"/>
      <c r="AA53" s="202" t="n"/>
      <c r="AB53" s="202" t="n"/>
      <c r="AC53" s="202" t="n"/>
      <c r="AD53" s="202" t="n"/>
      <c r="AE53" s="202" t="n"/>
      <c r="AF53" s="202" t="n"/>
      <c r="AG53" s="202" t="n"/>
      <c r="AH53" s="202" t="n"/>
      <c r="AI53" s="202" t="n"/>
      <c r="AJ53" s="202" t="n"/>
      <c r="AK53" s="202" t="n"/>
      <c r="AL53" s="202" t="n"/>
      <c r="AM53" s="202" t="n"/>
      <c r="AN53" s="202" t="n"/>
      <c r="AO53" s="202" t="n"/>
      <c r="AP53" s="202" t="n"/>
      <c r="AQ53" s="202" t="n"/>
      <c r="AR53" s="202" t="n"/>
      <c r="AS53" s="202" t="n"/>
      <c r="AT53" s="202" t="n"/>
      <c r="AU53" s="202" t="n"/>
      <c r="AV53" s="202" t="n"/>
      <c r="AW53" s="202" t="n"/>
      <c r="AX53" s="202" t="n"/>
      <c r="AY53" s="202" t="n"/>
      <c r="AZ53" s="202" t="n"/>
      <c r="BA53" s="202" t="n"/>
      <c r="BB53" s="202" t="n"/>
      <c r="BC53" s="202" t="n"/>
      <c r="BD53" s="202" t="n"/>
      <c r="BE53" s="202" t="n"/>
      <c r="BF53" s="202" t="n"/>
      <c r="BG53" s="202" t="n"/>
      <c r="BH53" s="202" t="n"/>
      <c r="BI53" s="202" t="n"/>
      <c r="BJ53" s="202" t="n"/>
      <c r="BK53" s="202" t="n"/>
      <c r="BL53" s="202" t="n"/>
      <c r="BM53" s="202" t="n"/>
      <c r="BN53" s="202" t="n"/>
      <c r="BO53" s="202" t="n"/>
      <c r="BP53" s="202" t="n"/>
      <c r="BQ53" s="202" t="n"/>
      <c r="BR53" s="202" t="n"/>
    </row>
    <row r="54">
      <c r="A54" s="282" t="n"/>
      <c r="B54" s="291" t="n"/>
      <c r="C54" s="291" t="n"/>
      <c r="D54" s="291" t="n"/>
      <c r="E54" s="291" t="n"/>
      <c r="F54" s="291" t="n"/>
      <c r="G54" s="291" t="n"/>
      <c r="H54" s="291" t="n"/>
      <c r="I54" s="291" t="n"/>
      <c r="J54" s="291" t="n"/>
      <c r="K54" s="291" t="n"/>
      <c r="L54" s="291" t="n"/>
      <c r="M54" s="291" t="n"/>
      <c r="N54" s="286" t="n"/>
      <c r="O54" s="202" t="n"/>
      <c r="P54" s="202" t="n"/>
      <c r="Q54" s="202" t="n"/>
      <c r="R54" s="202" t="n"/>
      <c r="S54" s="202" t="n"/>
      <c r="T54" s="202" t="n"/>
      <c r="U54" s="202" t="n"/>
      <c r="V54" s="202" t="n"/>
      <c r="W54" s="202" t="n"/>
      <c r="X54" s="202" t="n"/>
      <c r="Y54" s="202" t="n"/>
      <c r="Z54" s="202" t="n"/>
      <c r="AA54" s="202" t="n"/>
      <c r="AB54" s="202" t="n"/>
      <c r="AC54" s="202" t="n"/>
      <c r="AD54" s="202" t="n"/>
      <c r="AE54" s="202" t="n"/>
      <c r="AF54" s="202" t="n"/>
      <c r="AG54" s="202" t="n"/>
      <c r="AH54" s="202" t="n"/>
      <c r="AI54" s="202" t="n"/>
      <c r="AJ54" s="202" t="n"/>
      <c r="AK54" s="202" t="n"/>
      <c r="AL54" s="202" t="n"/>
      <c r="AM54" s="202" t="n"/>
      <c r="AN54" s="202" t="n"/>
      <c r="AO54" s="202" t="n"/>
      <c r="AP54" s="202" t="n"/>
      <c r="AQ54" s="202" t="n"/>
      <c r="AR54" s="202" t="n"/>
      <c r="AS54" s="202" t="n"/>
      <c r="AT54" s="202" t="n"/>
      <c r="AU54" s="202" t="n"/>
      <c r="AV54" s="202" t="n"/>
      <c r="AW54" s="202" t="n"/>
      <c r="AX54" s="202" t="n"/>
      <c r="AY54" s="202" t="n"/>
      <c r="AZ54" s="202" t="n"/>
      <c r="BA54" s="202" t="n"/>
      <c r="BB54" s="202" t="n"/>
      <c r="BC54" s="202" t="n"/>
      <c r="BD54" s="202" t="n"/>
      <c r="BE54" s="202" t="n"/>
      <c r="BF54" s="202" t="n"/>
      <c r="BG54" s="202" t="n"/>
      <c r="BH54" s="202" t="n"/>
      <c r="BI54" s="202" t="n"/>
      <c r="BJ54" s="202" t="n"/>
      <c r="BK54" s="202" t="n"/>
      <c r="BL54" s="202" t="n"/>
      <c r="BM54" s="202" t="n"/>
      <c r="BN54" s="202" t="n"/>
      <c r="BO54" s="202" t="n"/>
      <c r="BP54" s="202" t="n"/>
      <c r="BQ54" s="202" t="n"/>
      <c r="BR54" s="202" t="n"/>
    </row>
    <row r="55">
      <c r="A55" s="282" t="n"/>
      <c r="B55" s="298" t="n"/>
      <c r="C55" s="298" t="n"/>
      <c r="D55" s="298" t="n"/>
      <c r="E55" s="298" t="n"/>
      <c r="F55" s="298" t="n"/>
      <c r="G55" s="298" t="n"/>
      <c r="H55" s="298" t="n"/>
      <c r="I55" s="298" t="n"/>
      <c r="J55" s="298" t="n"/>
      <c r="K55" s="298" t="n"/>
      <c r="L55" s="298" t="n"/>
      <c r="M55" s="298" t="n"/>
      <c r="N55" s="299" t="n"/>
      <c r="O55" s="202" t="n"/>
      <c r="P55" s="202" t="n"/>
      <c r="Q55" s="202" t="n"/>
      <c r="R55" s="202" t="n"/>
      <c r="S55" s="202" t="n"/>
      <c r="T55" s="202" t="n"/>
      <c r="U55" s="202" t="n"/>
      <c r="V55" s="202" t="n"/>
      <c r="W55" s="202" t="n"/>
      <c r="X55" s="202" t="n"/>
      <c r="Y55" s="202" t="n"/>
      <c r="Z55" s="202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  <c r="AK55" s="202" t="n"/>
      <c r="AL55" s="202" t="n"/>
      <c r="AM55" s="202" t="n"/>
      <c r="AN55" s="202" t="n"/>
      <c r="AO55" s="202" t="n"/>
      <c r="AP55" s="202" t="n"/>
      <c r="AQ55" s="202" t="n"/>
      <c r="AR55" s="202" t="n"/>
      <c r="AS55" s="202" t="n"/>
      <c r="AT55" s="202" t="n"/>
      <c r="AU55" s="202" t="n"/>
      <c r="AV55" s="202" t="n"/>
      <c r="AW55" s="202" t="n"/>
      <c r="AX55" s="202" t="n"/>
      <c r="AY55" s="202" t="n"/>
      <c r="AZ55" s="202" t="n"/>
      <c r="BA55" s="202" t="n"/>
      <c r="BB55" s="202" t="n"/>
      <c r="BC55" s="202" t="n"/>
      <c r="BD55" s="202" t="n"/>
      <c r="BE55" s="202" t="n"/>
      <c r="BF55" s="202" t="n"/>
      <c r="BG55" s="202" t="n"/>
      <c r="BH55" s="202" t="n"/>
      <c r="BI55" s="202" t="n"/>
      <c r="BJ55" s="202" t="n"/>
      <c r="BK55" s="202" t="n"/>
      <c r="BL55" s="202" t="n"/>
      <c r="BM55" s="202" t="n"/>
      <c r="BN55" s="202" t="n"/>
      <c r="BO55" s="202" t="n"/>
      <c r="BP55" s="202" t="n"/>
      <c r="BQ55" s="202" t="n"/>
      <c r="BR55" s="202" t="n"/>
    </row>
    <row r="56">
      <c r="A56" s="285" t="n"/>
      <c r="B56" s="286" t="n"/>
      <c r="C56" s="286" t="n"/>
      <c r="D56" s="286" t="n"/>
      <c r="E56" s="286" t="n"/>
      <c r="F56" s="286" t="n"/>
      <c r="G56" s="286" t="n"/>
      <c r="H56" s="286" t="n"/>
      <c r="I56" s="286" t="n"/>
      <c r="J56" s="286" t="n"/>
      <c r="K56" s="286" t="n"/>
      <c r="L56" s="286" t="n"/>
      <c r="M56" s="286" t="n"/>
      <c r="N56" s="286" t="n"/>
      <c r="O56" s="202" t="n"/>
      <c r="P56" s="202" t="n"/>
      <c r="Q56" s="202" t="n"/>
      <c r="R56" s="202" t="n"/>
      <c r="S56" s="202" t="n"/>
      <c r="T56" s="202" t="n"/>
      <c r="U56" s="202" t="n"/>
      <c r="V56" s="202" t="n"/>
      <c r="W56" s="202" t="n"/>
      <c r="X56" s="202" t="n"/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  <c r="AK56" s="202" t="n"/>
      <c r="AL56" s="202" t="n"/>
      <c r="AM56" s="202" t="n"/>
      <c r="AN56" s="202" t="n"/>
      <c r="AO56" s="202" t="n"/>
      <c r="AP56" s="202" t="n"/>
      <c r="AQ56" s="202" t="n"/>
      <c r="AR56" s="202" t="n"/>
      <c r="AS56" s="202" t="n"/>
      <c r="AT56" s="202" t="n"/>
      <c r="AU56" s="202" t="n"/>
      <c r="AV56" s="202" t="n"/>
      <c r="AW56" s="202" t="n"/>
      <c r="AX56" s="202" t="n"/>
      <c r="AY56" s="202" t="n"/>
      <c r="AZ56" s="202" t="n"/>
      <c r="BA56" s="202" t="n"/>
      <c r="BB56" s="202" t="n"/>
      <c r="BC56" s="202" t="n"/>
      <c r="BD56" s="202" t="n"/>
      <c r="BE56" s="202" t="n"/>
      <c r="BF56" s="202" t="n"/>
      <c r="BG56" s="202" t="n"/>
      <c r="BH56" s="202" t="n"/>
      <c r="BI56" s="202" t="n"/>
      <c r="BJ56" s="202" t="n"/>
      <c r="BK56" s="202" t="n"/>
      <c r="BL56" s="202" t="n"/>
      <c r="BM56" s="202" t="n"/>
      <c r="BN56" s="202" t="n"/>
      <c r="BO56" s="202" t="n"/>
      <c r="BP56" s="202" t="n"/>
      <c r="BQ56" s="202" t="n"/>
      <c r="BR56" s="202" t="n"/>
    </row>
    <row r="57">
      <c r="A57" s="289" t="n"/>
      <c r="B57" s="202" t="n"/>
      <c r="C57" s="202" t="n"/>
      <c r="D57" s="202" t="n"/>
      <c r="E57" s="202" t="n"/>
      <c r="F57" s="202" t="n"/>
      <c r="G57" s="202" t="n"/>
      <c r="H57" s="202" t="n"/>
      <c r="I57" s="202" t="n"/>
      <c r="J57" s="202" t="n"/>
      <c r="K57" s="202" t="n"/>
      <c r="L57" s="202" t="n"/>
      <c r="M57" s="202" t="n"/>
      <c r="N57" s="202" t="n"/>
      <c r="O57" s="202" t="n"/>
      <c r="P57" s="202" t="n"/>
      <c r="Q57" s="202" t="n"/>
      <c r="R57" s="202" t="n"/>
      <c r="S57" s="202" t="n"/>
      <c r="T57" s="202" t="n"/>
      <c r="U57" s="202" t="n"/>
      <c r="V57" s="202" t="n"/>
      <c r="W57" s="202" t="n"/>
      <c r="X57" s="202" t="n"/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  <c r="AK57" s="202" t="n"/>
      <c r="AL57" s="202" t="n"/>
      <c r="AM57" s="202" t="n"/>
      <c r="AN57" s="202" t="n"/>
      <c r="AO57" s="202" t="n"/>
      <c r="AP57" s="202" t="n"/>
      <c r="AQ57" s="202" t="n"/>
      <c r="AR57" s="202" t="n"/>
      <c r="AS57" s="202" t="n"/>
      <c r="AT57" s="202" t="n"/>
      <c r="AU57" s="202" t="n"/>
      <c r="AV57" s="202" t="n"/>
      <c r="AW57" s="202" t="n"/>
      <c r="AX57" s="202" t="n"/>
      <c r="AY57" s="202" t="n"/>
      <c r="AZ57" s="202" t="n"/>
      <c r="BA57" s="202" t="n"/>
      <c r="BB57" s="202" t="n"/>
      <c r="BC57" s="202" t="n"/>
      <c r="BD57" s="202" t="n"/>
      <c r="BE57" s="202" t="n"/>
      <c r="BF57" s="202" t="n"/>
      <c r="BG57" s="202" t="n"/>
      <c r="BH57" s="202" t="n"/>
      <c r="BI57" s="202" t="n"/>
      <c r="BJ57" s="202" t="n"/>
      <c r="BK57" s="202" t="n"/>
      <c r="BL57" s="202" t="n"/>
      <c r="BM57" s="202" t="n"/>
      <c r="BN57" s="202" t="n"/>
      <c r="BO57" s="202" t="n"/>
      <c r="BP57" s="202" t="n"/>
      <c r="BQ57" s="202" t="n"/>
      <c r="BR57" s="202" t="n"/>
    </row>
    <row r="58">
      <c r="A58" s="282" t="n"/>
      <c r="B58" s="291" t="n"/>
      <c r="C58" s="291" t="n"/>
      <c r="D58" s="291" t="n"/>
      <c r="E58" s="291" t="n"/>
      <c r="F58" s="291" t="n"/>
      <c r="G58" s="291" t="n"/>
      <c r="H58" s="291" t="n"/>
      <c r="I58" s="291" t="n"/>
      <c r="J58" s="291" t="n"/>
      <c r="K58" s="291" t="n"/>
      <c r="L58" s="291" t="n"/>
      <c r="M58" s="291" t="n"/>
      <c r="N58" s="286" t="n"/>
      <c r="O58" s="202" t="n"/>
      <c r="P58" s="202" t="n"/>
      <c r="Q58" s="202" t="n"/>
      <c r="R58" s="202" t="n"/>
      <c r="S58" s="202" t="n"/>
      <c r="T58" s="202" t="n"/>
      <c r="U58" s="202" t="n"/>
      <c r="V58" s="202" t="n"/>
      <c r="W58" s="202" t="n"/>
      <c r="X58" s="202" t="n"/>
      <c r="Y58" s="202" t="n"/>
      <c r="Z58" s="202" t="n"/>
      <c r="AA58" s="202" t="n"/>
      <c r="AB58" s="202" t="n"/>
      <c r="AC58" s="202" t="n"/>
      <c r="AD58" s="202" t="n"/>
      <c r="AE58" s="202" t="n"/>
      <c r="AF58" s="202" t="n"/>
      <c r="AG58" s="202" t="n"/>
      <c r="AH58" s="202" t="n"/>
      <c r="AI58" s="202" t="n"/>
      <c r="AJ58" s="202" t="n"/>
      <c r="AK58" s="202" t="n"/>
      <c r="AL58" s="202" t="n"/>
      <c r="AM58" s="202" t="n"/>
      <c r="AN58" s="202" t="n"/>
      <c r="AO58" s="202" t="n"/>
      <c r="AP58" s="202" t="n"/>
      <c r="AQ58" s="202" t="n"/>
      <c r="AR58" s="202" t="n"/>
      <c r="AS58" s="202" t="n"/>
      <c r="AT58" s="202" t="n"/>
      <c r="AU58" s="202" t="n"/>
      <c r="AV58" s="202" t="n"/>
      <c r="AW58" s="202" t="n"/>
      <c r="AX58" s="202" t="n"/>
      <c r="AY58" s="202" t="n"/>
      <c r="AZ58" s="202" t="n"/>
      <c r="BA58" s="202" t="n"/>
      <c r="BB58" s="202" t="n"/>
      <c r="BC58" s="202" t="n"/>
      <c r="BD58" s="202" t="n"/>
      <c r="BE58" s="202" t="n"/>
      <c r="BF58" s="202" t="n"/>
      <c r="BG58" s="202" t="n"/>
      <c r="BH58" s="202" t="n"/>
      <c r="BI58" s="202" t="n"/>
      <c r="BJ58" s="202" t="n"/>
      <c r="BK58" s="202" t="n"/>
      <c r="BL58" s="202" t="n"/>
      <c r="BM58" s="202" t="n"/>
      <c r="BN58" s="202" t="n"/>
      <c r="BO58" s="202" t="n"/>
      <c r="BP58" s="202" t="n"/>
      <c r="BQ58" s="202" t="n"/>
      <c r="BR58" s="202" t="n"/>
    </row>
    <row r="59">
      <c r="A59" s="282" t="n"/>
      <c r="B59" s="291" t="n"/>
      <c r="C59" s="291" t="n"/>
      <c r="D59" s="291" t="n"/>
      <c r="E59" s="291" t="n"/>
      <c r="F59" s="291" t="n"/>
      <c r="G59" s="291" t="n"/>
      <c r="H59" s="291" t="n"/>
      <c r="I59" s="291" t="n"/>
      <c r="J59" s="291" t="n"/>
      <c r="K59" s="291" t="n"/>
      <c r="L59" s="291" t="n"/>
      <c r="M59" s="291" t="n"/>
      <c r="N59" s="286" t="n"/>
      <c r="O59" s="202" t="n"/>
      <c r="P59" s="202" t="n"/>
      <c r="Q59" s="202" t="n"/>
      <c r="R59" s="202" t="n"/>
      <c r="S59" s="202" t="n"/>
      <c r="T59" s="202" t="n"/>
      <c r="U59" s="202" t="n"/>
      <c r="V59" s="202" t="n"/>
      <c r="W59" s="202" t="n"/>
      <c r="X59" s="202" t="n"/>
      <c r="Y59" s="202" t="n"/>
      <c r="Z59" s="202" t="n"/>
      <c r="AA59" s="202" t="n"/>
      <c r="AB59" s="202" t="n"/>
      <c r="AC59" s="202" t="n"/>
      <c r="AD59" s="202" t="n"/>
      <c r="AE59" s="202" t="n"/>
      <c r="AF59" s="202" t="n"/>
      <c r="AG59" s="202" t="n"/>
      <c r="AH59" s="202" t="n"/>
      <c r="AI59" s="202" t="n"/>
      <c r="AJ59" s="202" t="n"/>
      <c r="AK59" s="202" t="n"/>
      <c r="AL59" s="202" t="n"/>
      <c r="AM59" s="202" t="n"/>
      <c r="AN59" s="202" t="n"/>
      <c r="AO59" s="202" t="n"/>
      <c r="AP59" s="202" t="n"/>
      <c r="AQ59" s="202" t="n"/>
      <c r="AR59" s="202" t="n"/>
      <c r="AS59" s="202" t="n"/>
      <c r="AT59" s="202" t="n"/>
      <c r="AU59" s="202" t="n"/>
      <c r="AV59" s="202" t="n"/>
      <c r="AW59" s="202" t="n"/>
      <c r="AX59" s="202" t="n"/>
      <c r="AY59" s="202" t="n"/>
      <c r="AZ59" s="202" t="n"/>
      <c r="BA59" s="202" t="n"/>
      <c r="BB59" s="202" t="n"/>
      <c r="BC59" s="202" t="n"/>
      <c r="BD59" s="202" t="n"/>
      <c r="BE59" s="202" t="n"/>
      <c r="BF59" s="202" t="n"/>
      <c r="BG59" s="202" t="n"/>
      <c r="BH59" s="202" t="n"/>
      <c r="BI59" s="202" t="n"/>
      <c r="BJ59" s="202" t="n"/>
      <c r="BK59" s="202" t="n"/>
      <c r="BL59" s="202" t="n"/>
      <c r="BM59" s="202" t="n"/>
      <c r="BN59" s="202" t="n"/>
      <c r="BO59" s="202" t="n"/>
      <c r="BP59" s="202" t="n"/>
      <c r="BQ59" s="202" t="n"/>
      <c r="BR59" s="202" t="n"/>
    </row>
    <row r="60">
      <c r="A60" s="282" t="n"/>
      <c r="B60" s="291" t="n"/>
      <c r="C60" s="291" t="n"/>
      <c r="D60" s="291" t="n"/>
      <c r="E60" s="291" t="n"/>
      <c r="F60" s="291" t="n"/>
      <c r="G60" s="291" t="n"/>
      <c r="H60" s="291" t="n"/>
      <c r="I60" s="291" t="n"/>
      <c r="J60" s="291" t="n"/>
      <c r="K60" s="291" t="n"/>
      <c r="L60" s="291" t="n"/>
      <c r="M60" s="291" t="n"/>
      <c r="N60" s="286" t="n"/>
      <c r="O60" s="202" t="n"/>
      <c r="P60" s="202" t="n"/>
      <c r="Q60" s="202" t="n"/>
      <c r="R60" s="202" t="n"/>
      <c r="S60" s="202" t="n"/>
      <c r="T60" s="202" t="n"/>
      <c r="U60" s="202" t="n"/>
      <c r="V60" s="202" t="n"/>
      <c r="W60" s="202" t="n"/>
      <c r="X60" s="202" t="n"/>
      <c r="Y60" s="202" t="n"/>
      <c r="Z60" s="202" t="n"/>
      <c r="AA60" s="202" t="n"/>
      <c r="AB60" s="202" t="n"/>
      <c r="AC60" s="202" t="n"/>
      <c r="AD60" s="202" t="n"/>
      <c r="AE60" s="202" t="n"/>
      <c r="AF60" s="202" t="n"/>
      <c r="AG60" s="202" t="n"/>
      <c r="AH60" s="202" t="n"/>
      <c r="AI60" s="202" t="n"/>
      <c r="AJ60" s="202" t="n"/>
      <c r="AK60" s="202" t="n"/>
      <c r="AL60" s="202" t="n"/>
      <c r="AM60" s="202" t="n"/>
      <c r="AN60" s="202" t="n"/>
      <c r="AO60" s="202" t="n"/>
      <c r="AP60" s="202" t="n"/>
      <c r="AQ60" s="202" t="n"/>
      <c r="AR60" s="202" t="n"/>
      <c r="AS60" s="202" t="n"/>
      <c r="AT60" s="202" t="n"/>
      <c r="AU60" s="202" t="n"/>
      <c r="AV60" s="202" t="n"/>
      <c r="AW60" s="202" t="n"/>
      <c r="AX60" s="202" t="n"/>
      <c r="AY60" s="202" t="n"/>
      <c r="AZ60" s="202" t="n"/>
      <c r="BA60" s="202" t="n"/>
      <c r="BB60" s="202" t="n"/>
      <c r="BC60" s="202" t="n"/>
      <c r="BD60" s="202" t="n"/>
      <c r="BE60" s="202" t="n"/>
      <c r="BF60" s="202" t="n"/>
      <c r="BG60" s="202" t="n"/>
      <c r="BH60" s="202" t="n"/>
      <c r="BI60" s="202" t="n"/>
      <c r="BJ60" s="202" t="n"/>
      <c r="BK60" s="202" t="n"/>
      <c r="BL60" s="202" t="n"/>
      <c r="BM60" s="202" t="n"/>
      <c r="BN60" s="202" t="n"/>
      <c r="BO60" s="202" t="n"/>
      <c r="BP60" s="202" t="n"/>
      <c r="BQ60" s="202" t="n"/>
      <c r="BR60" s="202" t="n"/>
    </row>
    <row r="61">
      <c r="A61" s="282" t="n"/>
      <c r="B61" s="291" t="n"/>
      <c r="C61" s="291" t="n"/>
      <c r="D61" s="291" t="n"/>
      <c r="E61" s="291" t="n"/>
      <c r="F61" s="291" t="n"/>
      <c r="G61" s="291" t="n"/>
      <c r="H61" s="291" t="n"/>
      <c r="I61" s="291" t="n"/>
      <c r="J61" s="291" t="n"/>
      <c r="K61" s="291" t="n"/>
      <c r="L61" s="291" t="n"/>
      <c r="M61" s="291" t="n"/>
      <c r="N61" s="286" t="n"/>
      <c r="O61" s="202" t="n"/>
      <c r="P61" s="202" t="n"/>
      <c r="Q61" s="202" t="n"/>
      <c r="R61" s="202" t="n"/>
      <c r="S61" s="202" t="n"/>
      <c r="T61" s="202" t="n"/>
      <c r="U61" s="202" t="n"/>
      <c r="V61" s="202" t="n"/>
      <c r="W61" s="202" t="n"/>
      <c r="X61" s="202" t="n"/>
      <c r="Y61" s="202" t="n"/>
      <c r="Z61" s="202" t="n"/>
      <c r="AA61" s="202" t="n"/>
      <c r="AB61" s="202" t="n"/>
      <c r="AC61" s="202" t="n"/>
      <c r="AD61" s="202" t="n"/>
      <c r="AE61" s="202" t="n"/>
      <c r="AF61" s="202" t="n"/>
      <c r="AG61" s="202" t="n"/>
      <c r="AH61" s="202" t="n"/>
      <c r="AI61" s="202" t="n"/>
      <c r="AJ61" s="202" t="n"/>
      <c r="AK61" s="202" t="n"/>
      <c r="AL61" s="202" t="n"/>
      <c r="AM61" s="202" t="n"/>
      <c r="AN61" s="202" t="n"/>
      <c r="AO61" s="202" t="n"/>
      <c r="AP61" s="202" t="n"/>
      <c r="AQ61" s="202" t="n"/>
      <c r="AR61" s="202" t="n"/>
      <c r="AS61" s="202" t="n"/>
      <c r="AT61" s="202" t="n"/>
      <c r="AU61" s="202" t="n"/>
      <c r="AV61" s="202" t="n"/>
      <c r="AW61" s="202" t="n"/>
      <c r="AX61" s="202" t="n"/>
      <c r="AY61" s="202" t="n"/>
      <c r="AZ61" s="202" t="n"/>
      <c r="BA61" s="202" t="n"/>
      <c r="BB61" s="202" t="n"/>
      <c r="BC61" s="202" t="n"/>
      <c r="BD61" s="202" t="n"/>
      <c r="BE61" s="202" t="n"/>
      <c r="BF61" s="202" t="n"/>
      <c r="BG61" s="202" t="n"/>
      <c r="BH61" s="202" t="n"/>
      <c r="BI61" s="202" t="n"/>
      <c r="BJ61" s="202" t="n"/>
      <c r="BK61" s="202" t="n"/>
      <c r="BL61" s="202" t="n"/>
      <c r="BM61" s="202" t="n"/>
      <c r="BN61" s="202" t="n"/>
      <c r="BO61" s="202" t="n"/>
      <c r="BP61" s="202" t="n"/>
      <c r="BQ61" s="202" t="n"/>
      <c r="BR61" s="202" t="n"/>
    </row>
    <row r="62">
      <c r="A62" s="282" t="n"/>
      <c r="B62" s="291" t="n"/>
      <c r="C62" s="291" t="n"/>
      <c r="D62" s="291" t="n"/>
      <c r="E62" s="291" t="n"/>
      <c r="F62" s="291" t="n"/>
      <c r="G62" s="291" t="n"/>
      <c r="H62" s="291" t="n"/>
      <c r="I62" s="291" t="n"/>
      <c r="J62" s="291" t="n"/>
      <c r="K62" s="291" t="n"/>
      <c r="L62" s="291" t="n"/>
      <c r="M62" s="291" t="n"/>
      <c r="N62" s="286" t="n"/>
      <c r="O62" s="202" t="n"/>
      <c r="P62" s="202" t="n"/>
      <c r="Q62" s="202" t="n"/>
      <c r="R62" s="202" t="n"/>
      <c r="S62" s="202" t="n"/>
      <c r="T62" s="202" t="n"/>
      <c r="U62" s="202" t="n"/>
      <c r="V62" s="202" t="n"/>
      <c r="W62" s="202" t="n"/>
      <c r="X62" s="202" t="n"/>
      <c r="Y62" s="202" t="n"/>
      <c r="Z62" s="202" t="n"/>
      <c r="AA62" s="202" t="n"/>
      <c r="AB62" s="202" t="n"/>
      <c r="AC62" s="202" t="n"/>
      <c r="AD62" s="202" t="n"/>
      <c r="AE62" s="202" t="n"/>
      <c r="AF62" s="202" t="n"/>
      <c r="AG62" s="202" t="n"/>
      <c r="AH62" s="202" t="n"/>
      <c r="AI62" s="202" t="n"/>
      <c r="AJ62" s="202" t="n"/>
      <c r="AK62" s="202" t="n"/>
      <c r="AL62" s="202" t="n"/>
      <c r="AM62" s="202" t="n"/>
      <c r="AN62" s="202" t="n"/>
      <c r="AO62" s="202" t="n"/>
      <c r="AP62" s="202" t="n"/>
      <c r="AQ62" s="202" t="n"/>
      <c r="AR62" s="202" t="n"/>
      <c r="AS62" s="202" t="n"/>
      <c r="AT62" s="202" t="n"/>
      <c r="AU62" s="202" t="n"/>
      <c r="AV62" s="202" t="n"/>
      <c r="AW62" s="202" t="n"/>
      <c r="AX62" s="202" t="n"/>
      <c r="AY62" s="202" t="n"/>
      <c r="AZ62" s="202" t="n"/>
      <c r="BA62" s="202" t="n"/>
      <c r="BB62" s="202" t="n"/>
      <c r="BC62" s="202" t="n"/>
      <c r="BD62" s="202" t="n"/>
      <c r="BE62" s="202" t="n"/>
      <c r="BF62" s="202" t="n"/>
      <c r="BG62" s="202" t="n"/>
      <c r="BH62" s="202" t="n"/>
      <c r="BI62" s="202" t="n"/>
      <c r="BJ62" s="202" t="n"/>
      <c r="BK62" s="202" t="n"/>
      <c r="BL62" s="202" t="n"/>
      <c r="BM62" s="202" t="n"/>
      <c r="BN62" s="202" t="n"/>
      <c r="BO62" s="202" t="n"/>
      <c r="BP62" s="202" t="n"/>
      <c r="BQ62" s="202" t="n"/>
      <c r="BR62" s="202" t="n"/>
    </row>
    <row r="63">
      <c r="A63" s="285" t="n"/>
      <c r="B63" s="286" t="n"/>
      <c r="C63" s="286" t="n"/>
      <c r="D63" s="286" t="n"/>
      <c r="E63" s="286" t="n"/>
      <c r="F63" s="286" t="n"/>
      <c r="G63" s="286" t="n"/>
      <c r="H63" s="286" t="n"/>
      <c r="I63" s="286" t="n"/>
      <c r="J63" s="286" t="n"/>
      <c r="K63" s="286" t="n"/>
      <c r="L63" s="286" t="n"/>
      <c r="M63" s="286" t="n"/>
      <c r="N63" s="286" t="n"/>
      <c r="O63" s="202" t="n"/>
      <c r="P63" s="202" t="n"/>
      <c r="Q63" s="202" t="n"/>
      <c r="R63" s="202" t="n"/>
      <c r="S63" s="202" t="n"/>
      <c r="T63" s="202" t="n"/>
      <c r="U63" s="202" t="n"/>
      <c r="V63" s="202" t="n"/>
      <c r="W63" s="202" t="n"/>
      <c r="X63" s="202" t="n"/>
      <c r="Y63" s="202" t="n"/>
      <c r="Z63" s="202" t="n"/>
      <c r="AA63" s="202" t="n"/>
      <c r="AB63" s="202" t="n"/>
      <c r="AC63" s="202" t="n"/>
      <c r="AD63" s="202" t="n"/>
      <c r="AE63" s="202" t="n"/>
      <c r="AF63" s="202" t="n"/>
      <c r="AG63" s="202" t="n"/>
      <c r="AH63" s="202" t="n"/>
      <c r="AI63" s="202" t="n"/>
      <c r="AJ63" s="202" t="n"/>
      <c r="AK63" s="202" t="n"/>
      <c r="AL63" s="202" t="n"/>
      <c r="AM63" s="202" t="n"/>
      <c r="AN63" s="202" t="n"/>
      <c r="AO63" s="202" t="n"/>
      <c r="AP63" s="202" t="n"/>
      <c r="AQ63" s="202" t="n"/>
      <c r="AR63" s="202" t="n"/>
      <c r="AS63" s="202" t="n"/>
      <c r="AT63" s="202" t="n"/>
      <c r="AU63" s="202" t="n"/>
      <c r="AV63" s="202" t="n"/>
      <c r="AW63" s="202" t="n"/>
      <c r="AX63" s="202" t="n"/>
      <c r="AY63" s="202" t="n"/>
      <c r="AZ63" s="202" t="n"/>
      <c r="BA63" s="202" t="n"/>
      <c r="BB63" s="202" t="n"/>
      <c r="BC63" s="202" t="n"/>
      <c r="BD63" s="202" t="n"/>
      <c r="BE63" s="202" t="n"/>
      <c r="BF63" s="202" t="n"/>
      <c r="BG63" s="202" t="n"/>
      <c r="BH63" s="202" t="n"/>
      <c r="BI63" s="202" t="n"/>
      <c r="BJ63" s="202" t="n"/>
      <c r="BK63" s="202" t="n"/>
      <c r="BL63" s="202" t="n"/>
      <c r="BM63" s="202" t="n"/>
      <c r="BN63" s="202" t="n"/>
      <c r="BO63" s="202" t="n"/>
      <c r="BP63" s="202" t="n"/>
      <c r="BQ63" s="202" t="n"/>
      <c r="BR63" s="202" t="n"/>
    </row>
    <row r="64">
      <c r="A64" s="202" t="n"/>
      <c r="B64" s="202" t="n"/>
      <c r="C64" s="202" t="n"/>
      <c r="D64" s="202" t="n"/>
      <c r="E64" s="202" t="n"/>
      <c r="F64" s="202" t="n"/>
      <c r="G64" s="202" t="n"/>
      <c r="H64" s="202" t="n"/>
      <c r="I64" s="202" t="n"/>
      <c r="J64" s="202" t="n"/>
      <c r="K64" s="202" t="n"/>
      <c r="L64" s="202" t="n"/>
      <c r="M64" s="202" t="n"/>
      <c r="N64" s="202" t="n"/>
      <c r="O64" s="202" t="n"/>
      <c r="P64" s="202" t="n"/>
      <c r="Q64" s="202" t="n"/>
      <c r="R64" s="202" t="n"/>
      <c r="S64" s="202" t="n"/>
      <c r="T64" s="202" t="n"/>
      <c r="U64" s="202" t="n"/>
      <c r="V64" s="202" t="n"/>
      <c r="W64" s="202" t="n"/>
      <c r="X64" s="202" t="n"/>
      <c r="Y64" s="202" t="n"/>
      <c r="Z64" s="202" t="n"/>
      <c r="AA64" s="202" t="n"/>
      <c r="AB64" s="202" t="n"/>
      <c r="AC64" s="202" t="n"/>
      <c r="AD64" s="202" t="n"/>
      <c r="AE64" s="202" t="n"/>
      <c r="AF64" s="202" t="n"/>
      <c r="AG64" s="202" t="n"/>
      <c r="AH64" s="202" t="n"/>
      <c r="AI64" s="202" t="n"/>
      <c r="AJ64" s="202" t="n"/>
      <c r="AK64" s="202" t="n"/>
      <c r="AL64" s="202" t="n"/>
      <c r="AM64" s="202" t="n"/>
      <c r="AN64" s="202" t="n"/>
      <c r="AO64" s="202" t="n"/>
      <c r="AP64" s="202" t="n"/>
      <c r="AQ64" s="202" t="n"/>
      <c r="AR64" s="202" t="n"/>
      <c r="AS64" s="202" t="n"/>
      <c r="AT64" s="202" t="n"/>
      <c r="AU64" s="202" t="n"/>
      <c r="AV64" s="202" t="n"/>
      <c r="AW64" s="202" t="n"/>
      <c r="AX64" s="202" t="n"/>
      <c r="AY64" s="202" t="n"/>
      <c r="AZ64" s="202" t="n"/>
      <c r="BA64" s="202" t="n"/>
      <c r="BB64" s="202" t="n"/>
      <c r="BC64" s="202" t="n"/>
      <c r="BD64" s="202" t="n"/>
      <c r="BE64" s="202" t="n"/>
      <c r="BF64" s="202" t="n"/>
      <c r="BG64" s="202" t="n"/>
      <c r="BH64" s="202" t="n"/>
      <c r="BI64" s="202" t="n"/>
      <c r="BJ64" s="202" t="n"/>
      <c r="BK64" s="202" t="n"/>
      <c r="BL64" s="202" t="n"/>
      <c r="BM64" s="202" t="n"/>
      <c r="BN64" s="202" t="n"/>
      <c r="BO64" s="202" t="n"/>
      <c r="BP64" s="202" t="n"/>
      <c r="BQ64" s="202" t="n"/>
      <c r="BR64" s="202" t="n"/>
    </row>
    <row r="65">
      <c r="A65" s="202" t="n"/>
      <c r="B65" s="202" t="n"/>
      <c r="C65" s="202" t="n"/>
      <c r="D65" s="202" t="n"/>
      <c r="E65" s="202" t="n"/>
      <c r="F65" s="202" t="n"/>
      <c r="G65" s="202" t="n"/>
      <c r="H65" s="202" t="n"/>
      <c r="I65" s="202" t="n"/>
      <c r="J65" s="202" t="n"/>
      <c r="K65" s="202" t="n"/>
      <c r="L65" s="202" t="n"/>
      <c r="M65" s="202" t="n"/>
      <c r="N65" s="202" t="n"/>
      <c r="O65" s="202" t="n"/>
      <c r="P65" s="202" t="n"/>
      <c r="Q65" s="202" t="n"/>
      <c r="R65" s="202" t="n"/>
      <c r="S65" s="202" t="n"/>
      <c r="T65" s="202" t="n"/>
      <c r="U65" s="202" t="n"/>
      <c r="V65" s="202" t="n"/>
      <c r="W65" s="202" t="n"/>
      <c r="X65" s="202" t="n"/>
      <c r="Y65" s="202" t="n"/>
      <c r="Z65" s="202" t="n"/>
      <c r="AA65" s="202" t="n"/>
      <c r="AB65" s="202" t="n"/>
      <c r="AC65" s="202" t="n"/>
      <c r="AD65" s="202" t="n"/>
      <c r="AE65" s="202" t="n"/>
      <c r="AF65" s="202" t="n"/>
      <c r="AG65" s="202" t="n"/>
      <c r="AH65" s="202" t="n"/>
      <c r="AI65" s="202" t="n"/>
      <c r="AJ65" s="202" t="n"/>
      <c r="AK65" s="202" t="n"/>
      <c r="AL65" s="202" t="n"/>
      <c r="AM65" s="202" t="n"/>
      <c r="AN65" s="202" t="n"/>
      <c r="AO65" s="202" t="n"/>
      <c r="AP65" s="202" t="n"/>
      <c r="AQ65" s="202" t="n"/>
      <c r="AR65" s="202" t="n"/>
      <c r="AS65" s="202" t="n"/>
      <c r="AT65" s="202" t="n"/>
      <c r="AU65" s="202" t="n"/>
      <c r="AV65" s="202" t="n"/>
      <c r="AW65" s="202" t="n"/>
      <c r="AX65" s="202" t="n"/>
      <c r="AY65" s="202" t="n"/>
      <c r="AZ65" s="202" t="n"/>
      <c r="BA65" s="202" t="n"/>
      <c r="BB65" s="202" t="n"/>
      <c r="BC65" s="202" t="n"/>
      <c r="BD65" s="202" t="n"/>
      <c r="BE65" s="202" t="n"/>
      <c r="BF65" s="202" t="n"/>
      <c r="BG65" s="202" t="n"/>
      <c r="BH65" s="202" t="n"/>
      <c r="BI65" s="202" t="n"/>
      <c r="BJ65" s="202" t="n"/>
      <c r="BK65" s="202" t="n"/>
      <c r="BL65" s="202" t="n"/>
      <c r="BM65" s="202" t="n"/>
      <c r="BN65" s="202" t="n"/>
      <c r="BO65" s="202" t="n"/>
      <c r="BP65" s="202" t="n"/>
      <c r="BQ65" s="202" t="n"/>
      <c r="BR65" s="202" t="n"/>
    </row>
    <row r="66">
      <c r="A66" s="202" t="n"/>
      <c r="B66" s="202" t="n"/>
      <c r="C66" s="202" t="n"/>
      <c r="D66" s="202" t="n"/>
      <c r="E66" s="202" t="n"/>
      <c r="F66" s="202" t="n"/>
      <c r="G66" s="202" t="n"/>
      <c r="H66" s="202" t="n"/>
      <c r="I66" s="202" t="n"/>
      <c r="J66" s="202" t="n"/>
      <c r="K66" s="202" t="n"/>
      <c r="L66" s="202" t="n"/>
      <c r="M66" s="202" t="n"/>
      <c r="N66" s="202" t="n"/>
      <c r="O66" s="202" t="n"/>
      <c r="P66" s="202" t="n"/>
      <c r="Q66" s="202" t="n"/>
      <c r="R66" s="202" t="n"/>
      <c r="S66" s="202" t="n"/>
      <c r="T66" s="202" t="n"/>
      <c r="U66" s="202" t="n"/>
      <c r="V66" s="202" t="n"/>
      <c r="W66" s="202" t="n"/>
      <c r="X66" s="202" t="n"/>
      <c r="Y66" s="202" t="n"/>
      <c r="Z66" s="202" t="n"/>
      <c r="AA66" s="202" t="n"/>
      <c r="AB66" s="202" t="n"/>
      <c r="AC66" s="202" t="n"/>
      <c r="AD66" s="202" t="n"/>
      <c r="AE66" s="202" t="n"/>
      <c r="AF66" s="202" t="n"/>
      <c r="AG66" s="202" t="n"/>
      <c r="AH66" s="202" t="n"/>
      <c r="AI66" s="202" t="n"/>
      <c r="AJ66" s="202" t="n"/>
      <c r="AK66" s="202" t="n"/>
      <c r="AL66" s="202" t="n"/>
      <c r="AM66" s="202" t="n"/>
      <c r="AN66" s="202" t="n"/>
      <c r="AO66" s="202" t="n"/>
      <c r="AP66" s="202" t="n"/>
      <c r="AQ66" s="202" t="n"/>
      <c r="AR66" s="202" t="n"/>
      <c r="AS66" s="202" t="n"/>
      <c r="AT66" s="202" t="n"/>
      <c r="AU66" s="202" t="n"/>
      <c r="AV66" s="202" t="n"/>
      <c r="AW66" s="202" t="n"/>
      <c r="AX66" s="202" t="n"/>
      <c r="AY66" s="202" t="n"/>
      <c r="AZ66" s="202" t="n"/>
      <c r="BA66" s="202" t="n"/>
      <c r="BB66" s="202" t="n"/>
      <c r="BC66" s="202" t="n"/>
      <c r="BD66" s="202" t="n"/>
      <c r="BE66" s="202" t="n"/>
      <c r="BF66" s="202" t="n"/>
      <c r="BG66" s="202" t="n"/>
      <c r="BH66" s="202" t="n"/>
      <c r="BI66" s="202" t="n"/>
      <c r="BJ66" s="202" t="n"/>
      <c r="BK66" s="202" t="n"/>
      <c r="BL66" s="202" t="n"/>
      <c r="BM66" s="202" t="n"/>
      <c r="BN66" s="202" t="n"/>
      <c r="BO66" s="202" t="n"/>
      <c r="BP66" s="202" t="n"/>
      <c r="BQ66" s="202" t="n"/>
      <c r="BR66" s="202" t="n"/>
    </row>
    <row r="67">
      <c r="A67" s="202" t="n"/>
      <c r="B67" s="202" t="n"/>
      <c r="C67" s="202" t="n"/>
      <c r="D67" s="202" t="n"/>
      <c r="E67" s="202" t="n"/>
      <c r="F67" s="202" t="n"/>
      <c r="G67" s="202" t="n"/>
      <c r="H67" s="202" t="n"/>
      <c r="I67" s="202" t="n"/>
      <c r="J67" s="202" t="n"/>
      <c r="K67" s="202" t="n"/>
      <c r="L67" s="202" t="n"/>
      <c r="M67" s="202" t="n"/>
      <c r="N67" s="202" t="n"/>
      <c r="O67" s="202" t="n"/>
      <c r="P67" s="202" t="n"/>
      <c r="Q67" s="202" t="n"/>
      <c r="R67" s="202" t="n"/>
      <c r="S67" s="202" t="n"/>
      <c r="T67" s="202" t="n"/>
      <c r="U67" s="202" t="n"/>
      <c r="V67" s="202" t="n"/>
      <c r="W67" s="202" t="n"/>
      <c r="X67" s="202" t="n"/>
      <c r="Y67" s="202" t="n"/>
      <c r="Z67" s="202" t="n"/>
      <c r="AA67" s="202" t="n"/>
      <c r="AB67" s="202" t="n"/>
      <c r="AC67" s="202" t="n"/>
      <c r="AD67" s="202" t="n"/>
      <c r="AE67" s="202" t="n"/>
      <c r="AF67" s="202" t="n"/>
      <c r="AG67" s="202" t="n"/>
      <c r="AH67" s="202" t="n"/>
      <c r="AI67" s="202" t="n"/>
      <c r="AJ67" s="202" t="n"/>
      <c r="AK67" s="202" t="n"/>
      <c r="AL67" s="202" t="n"/>
      <c r="AM67" s="202" t="n"/>
      <c r="AN67" s="202" t="n"/>
      <c r="AO67" s="202" t="n"/>
      <c r="AP67" s="202" t="n"/>
      <c r="AQ67" s="202" t="n"/>
      <c r="AR67" s="202" t="n"/>
      <c r="AS67" s="202" t="n"/>
      <c r="AT67" s="202" t="n"/>
      <c r="AU67" s="202" t="n"/>
      <c r="AV67" s="202" t="n"/>
      <c r="AW67" s="202" t="n"/>
      <c r="AX67" s="202" t="n"/>
      <c r="AY67" s="202" t="n"/>
      <c r="AZ67" s="202" t="n"/>
      <c r="BA67" s="202" t="n"/>
      <c r="BB67" s="202" t="n"/>
      <c r="BC67" s="202" t="n"/>
      <c r="BD67" s="202" t="n"/>
      <c r="BE67" s="202" t="n"/>
      <c r="BF67" s="202" t="n"/>
      <c r="BG67" s="202" t="n"/>
      <c r="BH67" s="202" t="n"/>
      <c r="BI67" s="202" t="n"/>
      <c r="BJ67" s="202" t="n"/>
      <c r="BK67" s="202" t="n"/>
      <c r="BL67" s="202" t="n"/>
      <c r="BM67" s="202" t="n"/>
      <c r="BN67" s="202" t="n"/>
      <c r="BO67" s="202" t="n"/>
      <c r="BP67" s="202" t="n"/>
      <c r="BQ67" s="202" t="n"/>
      <c r="BR67" s="202" t="n"/>
    </row>
    <row r="68">
      <c r="A68" s="202" t="n"/>
      <c r="B68" s="202" t="n"/>
      <c r="C68" s="202" t="n"/>
      <c r="D68" s="202" t="n"/>
      <c r="E68" s="202" t="n"/>
      <c r="F68" s="202" t="n"/>
      <c r="G68" s="202" t="n"/>
      <c r="H68" s="202" t="n"/>
      <c r="I68" s="202" t="n"/>
      <c r="J68" s="202" t="n"/>
      <c r="K68" s="202" t="n"/>
      <c r="L68" s="202" t="n"/>
      <c r="M68" s="202" t="n"/>
      <c r="N68" s="202" t="n"/>
      <c r="O68" s="202" t="n"/>
      <c r="P68" s="202" t="n"/>
      <c r="Q68" s="202" t="n"/>
      <c r="R68" s="202" t="n"/>
      <c r="S68" s="202" t="n"/>
      <c r="T68" s="202" t="n"/>
      <c r="U68" s="202" t="n"/>
      <c r="V68" s="202" t="n"/>
      <c r="W68" s="202" t="n"/>
      <c r="X68" s="202" t="n"/>
      <c r="Y68" s="202" t="n"/>
      <c r="Z68" s="202" t="n"/>
      <c r="AA68" s="202" t="n"/>
      <c r="AB68" s="202" t="n"/>
      <c r="AC68" s="202" t="n"/>
      <c r="AD68" s="202" t="n"/>
      <c r="AE68" s="202" t="n"/>
      <c r="AF68" s="202" t="n"/>
      <c r="AG68" s="202" t="n"/>
      <c r="AH68" s="202" t="n"/>
      <c r="AI68" s="202" t="n"/>
      <c r="AJ68" s="202" t="n"/>
      <c r="AK68" s="202" t="n"/>
      <c r="AL68" s="202" t="n"/>
      <c r="AM68" s="202" t="n"/>
      <c r="AN68" s="202" t="n"/>
      <c r="AO68" s="202" t="n"/>
      <c r="AP68" s="202" t="n"/>
      <c r="AQ68" s="202" t="n"/>
      <c r="AR68" s="202" t="n"/>
      <c r="AS68" s="202" t="n"/>
      <c r="AT68" s="202" t="n"/>
      <c r="AU68" s="202" t="n"/>
      <c r="AV68" s="202" t="n"/>
      <c r="AW68" s="202" t="n"/>
      <c r="AX68" s="202" t="n"/>
      <c r="AY68" s="202" t="n"/>
      <c r="AZ68" s="202" t="n"/>
      <c r="BA68" s="202" t="n"/>
      <c r="BB68" s="202" t="n"/>
      <c r="BC68" s="202" t="n"/>
      <c r="BD68" s="202" t="n"/>
      <c r="BE68" s="202" t="n"/>
      <c r="BF68" s="202" t="n"/>
      <c r="BG68" s="202" t="n"/>
      <c r="BH68" s="202" t="n"/>
      <c r="BI68" s="202" t="n"/>
      <c r="BJ68" s="202" t="n"/>
      <c r="BK68" s="202" t="n"/>
      <c r="BL68" s="202" t="n"/>
      <c r="BM68" s="202" t="n"/>
      <c r="BN68" s="202" t="n"/>
      <c r="BO68" s="202" t="n"/>
      <c r="BP68" s="202" t="n"/>
      <c r="BQ68" s="202" t="n"/>
      <c r="BR68" s="202" t="n"/>
    </row>
    <row r="69">
      <c r="A69" s="202" t="n"/>
      <c r="B69" s="202" t="n"/>
      <c r="C69" s="202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2" t="n"/>
      <c r="Y69" s="202" t="n"/>
      <c r="Z69" s="202" t="n"/>
      <c r="AA69" s="202" t="n"/>
      <c r="AB69" s="202" t="n"/>
      <c r="AC69" s="202" t="n"/>
      <c r="AD69" s="202" t="n"/>
      <c r="AE69" s="202" t="n"/>
      <c r="AF69" s="202" t="n"/>
      <c r="AG69" s="202" t="n"/>
      <c r="AH69" s="202" t="n"/>
      <c r="AI69" s="202" t="n"/>
      <c r="AJ69" s="202" t="n"/>
      <c r="AK69" s="202" t="n"/>
      <c r="AL69" s="202" t="n"/>
      <c r="AM69" s="202" t="n"/>
      <c r="AN69" s="202" t="n"/>
      <c r="AO69" s="202" t="n"/>
      <c r="AP69" s="202" t="n"/>
      <c r="AQ69" s="202" t="n"/>
      <c r="AR69" s="202" t="n"/>
      <c r="AS69" s="202" t="n"/>
      <c r="AT69" s="202" t="n"/>
      <c r="AU69" s="202" t="n"/>
      <c r="AV69" s="202" t="n"/>
      <c r="AW69" s="202" t="n"/>
      <c r="AX69" s="202" t="n"/>
      <c r="AY69" s="202" t="n"/>
      <c r="AZ69" s="202" t="n"/>
      <c r="BA69" s="202" t="n"/>
      <c r="BB69" s="202" t="n"/>
      <c r="BC69" s="202" t="n"/>
      <c r="BD69" s="202" t="n"/>
      <c r="BE69" s="202" t="n"/>
      <c r="BF69" s="202" t="n"/>
      <c r="BG69" s="202" t="n"/>
      <c r="BH69" s="202" t="n"/>
      <c r="BI69" s="202" t="n"/>
      <c r="BJ69" s="202" t="n"/>
      <c r="BK69" s="202" t="n"/>
      <c r="BL69" s="202" t="n"/>
      <c r="BM69" s="202" t="n"/>
      <c r="BN69" s="202" t="n"/>
      <c r="BO69" s="202" t="n"/>
      <c r="BP69" s="202" t="n"/>
      <c r="BQ69" s="202" t="n"/>
      <c r="BR69" s="202" t="n"/>
    </row>
    <row r="70">
      <c r="A70" s="202" t="n"/>
      <c r="B70" s="202" t="n"/>
      <c r="C70" s="202" t="n"/>
      <c r="D70" s="202" t="n"/>
      <c r="E70" s="202" t="n"/>
      <c r="F70" s="202" t="n"/>
      <c r="G70" s="202" t="n"/>
      <c r="H70" s="202" t="n"/>
      <c r="I70" s="202" t="n"/>
      <c r="J70" s="202" t="n"/>
      <c r="K70" s="202" t="n"/>
      <c r="L70" s="202" t="n"/>
      <c r="M70" s="202" t="n"/>
      <c r="N70" s="202" t="n"/>
      <c r="O70" s="202" t="n"/>
      <c r="P70" s="202" t="n"/>
      <c r="Q70" s="202" t="n"/>
      <c r="R70" s="202" t="n"/>
      <c r="S70" s="202" t="n"/>
      <c r="T70" s="202" t="n"/>
      <c r="U70" s="202" t="n"/>
      <c r="V70" s="202" t="n"/>
      <c r="W70" s="202" t="n"/>
      <c r="X70" s="202" t="n"/>
      <c r="Y70" s="202" t="n"/>
      <c r="Z70" s="202" t="n"/>
      <c r="AA70" s="202" t="n"/>
      <c r="AB70" s="202" t="n"/>
      <c r="AC70" s="202" t="n"/>
      <c r="AD70" s="202" t="n"/>
      <c r="AE70" s="202" t="n"/>
      <c r="AF70" s="202" t="n"/>
      <c r="AG70" s="202" t="n"/>
      <c r="AH70" s="202" t="n"/>
      <c r="AI70" s="202" t="n"/>
      <c r="AJ70" s="202" t="n"/>
      <c r="AK70" s="202" t="n"/>
      <c r="AL70" s="202" t="n"/>
      <c r="AM70" s="202" t="n"/>
      <c r="AN70" s="202" t="n"/>
      <c r="AO70" s="202" t="n"/>
      <c r="AP70" s="202" t="n"/>
      <c r="AQ70" s="202" t="n"/>
      <c r="AR70" s="202" t="n"/>
      <c r="AS70" s="202" t="n"/>
      <c r="AT70" s="202" t="n"/>
      <c r="AU70" s="202" t="n"/>
      <c r="AV70" s="202" t="n"/>
      <c r="AW70" s="202" t="n"/>
      <c r="AX70" s="202" t="n"/>
      <c r="AY70" s="202" t="n"/>
      <c r="AZ70" s="202" t="n"/>
      <c r="BA70" s="202" t="n"/>
      <c r="BB70" s="202" t="n"/>
      <c r="BC70" s="202" t="n"/>
      <c r="BD70" s="202" t="n"/>
      <c r="BE70" s="202" t="n"/>
      <c r="BF70" s="202" t="n"/>
      <c r="BG70" s="202" t="n"/>
      <c r="BH70" s="202" t="n"/>
      <c r="BI70" s="202" t="n"/>
      <c r="BJ70" s="202" t="n"/>
      <c r="BK70" s="202" t="n"/>
      <c r="BL70" s="202" t="n"/>
      <c r="BM70" s="202" t="n"/>
      <c r="BN70" s="202" t="n"/>
      <c r="BO70" s="202" t="n"/>
      <c r="BP70" s="202" t="n"/>
      <c r="BQ70" s="202" t="n"/>
      <c r="BR70" s="202" t="n"/>
    </row>
    <row r="71">
      <c r="A71" s="202" t="n"/>
      <c r="B71" s="202" t="n"/>
      <c r="C71" s="202" t="n"/>
      <c r="D71" s="202" t="n"/>
      <c r="E71" s="202" t="n"/>
      <c r="F71" s="202" t="n"/>
      <c r="G71" s="202" t="n"/>
      <c r="H71" s="202" t="n"/>
      <c r="I71" s="202" t="n"/>
      <c r="J71" s="202" t="n"/>
      <c r="K71" s="202" t="n"/>
      <c r="L71" s="202" t="n"/>
      <c r="M71" s="202" t="n"/>
      <c r="N71" s="202" t="n"/>
      <c r="O71" s="202" t="n"/>
      <c r="P71" s="202" t="n"/>
      <c r="Q71" s="202" t="n"/>
      <c r="R71" s="202" t="n"/>
      <c r="S71" s="202" t="n"/>
      <c r="T71" s="202" t="n"/>
      <c r="U71" s="202" t="n"/>
      <c r="V71" s="202" t="n"/>
      <c r="W71" s="202" t="n"/>
      <c r="X71" s="202" t="n"/>
      <c r="Y71" s="202" t="n"/>
      <c r="Z71" s="202" t="n"/>
      <c r="AA71" s="202" t="n"/>
      <c r="AB71" s="202" t="n"/>
      <c r="AC71" s="202" t="n"/>
      <c r="AD71" s="202" t="n"/>
      <c r="AE71" s="202" t="n"/>
      <c r="AF71" s="202" t="n"/>
      <c r="AG71" s="202" t="n"/>
      <c r="AH71" s="202" t="n"/>
      <c r="AI71" s="202" t="n"/>
      <c r="AJ71" s="202" t="n"/>
      <c r="AK71" s="202" t="n"/>
      <c r="AL71" s="202" t="n"/>
      <c r="AM71" s="202" t="n"/>
      <c r="AN71" s="202" t="n"/>
      <c r="AO71" s="202" t="n"/>
      <c r="AP71" s="202" t="n"/>
      <c r="AQ71" s="202" t="n"/>
      <c r="AR71" s="202" t="n"/>
      <c r="AS71" s="202" t="n"/>
      <c r="AT71" s="202" t="n"/>
      <c r="AU71" s="202" t="n"/>
      <c r="AV71" s="202" t="n"/>
      <c r="AW71" s="202" t="n"/>
      <c r="AX71" s="202" t="n"/>
      <c r="AY71" s="202" t="n"/>
      <c r="AZ71" s="202" t="n"/>
      <c r="BA71" s="202" t="n"/>
      <c r="BB71" s="202" t="n"/>
      <c r="BC71" s="202" t="n"/>
      <c r="BD71" s="202" t="n"/>
      <c r="BE71" s="202" t="n"/>
      <c r="BF71" s="202" t="n"/>
      <c r="BG71" s="202" t="n"/>
      <c r="BH71" s="202" t="n"/>
      <c r="BI71" s="202" t="n"/>
      <c r="BJ71" s="202" t="n"/>
      <c r="BK71" s="202" t="n"/>
      <c r="BL71" s="202" t="n"/>
      <c r="BM71" s="202" t="n"/>
      <c r="BN71" s="202" t="n"/>
      <c r="BO71" s="202" t="n"/>
      <c r="BP71" s="202" t="n"/>
      <c r="BQ71" s="202" t="n"/>
      <c r="BR71" s="202" t="n"/>
    </row>
    <row r="72">
      <c r="A72" s="202" t="n"/>
      <c r="B72" s="202" t="n"/>
      <c r="C72" s="202" t="n"/>
      <c r="D72" s="202" t="n"/>
      <c r="E72" s="202" t="n"/>
      <c r="F72" s="202" t="n"/>
      <c r="G72" s="202" t="n"/>
      <c r="H72" s="202" t="n"/>
      <c r="I72" s="202" t="n"/>
      <c r="J72" s="202" t="n"/>
      <c r="K72" s="202" t="n"/>
      <c r="L72" s="202" t="n"/>
      <c r="M72" s="202" t="n"/>
      <c r="N72" s="202" t="n"/>
      <c r="O72" s="202" t="n"/>
      <c r="P72" s="202" t="n"/>
      <c r="Q72" s="202" t="n"/>
      <c r="R72" s="202" t="n"/>
      <c r="S72" s="202" t="n"/>
      <c r="T72" s="202" t="n"/>
      <c r="U72" s="202" t="n"/>
      <c r="V72" s="202" t="n"/>
      <c r="W72" s="202" t="n"/>
      <c r="X72" s="202" t="n"/>
      <c r="Y72" s="202" t="n"/>
      <c r="Z72" s="202" t="n"/>
      <c r="AA72" s="202" t="n"/>
      <c r="AB72" s="202" t="n"/>
      <c r="AC72" s="202" t="n"/>
      <c r="AD72" s="202" t="n"/>
      <c r="AE72" s="202" t="n"/>
      <c r="AF72" s="202" t="n"/>
      <c r="AG72" s="202" t="n"/>
      <c r="AH72" s="202" t="n"/>
      <c r="AI72" s="202" t="n"/>
      <c r="AJ72" s="202" t="n"/>
      <c r="AK72" s="202" t="n"/>
      <c r="AL72" s="202" t="n"/>
      <c r="AM72" s="202" t="n"/>
      <c r="AN72" s="202" t="n"/>
      <c r="AO72" s="202" t="n"/>
      <c r="AP72" s="202" t="n"/>
      <c r="AQ72" s="202" t="n"/>
      <c r="AR72" s="202" t="n"/>
      <c r="AS72" s="202" t="n"/>
      <c r="AT72" s="202" t="n"/>
      <c r="AU72" s="202" t="n"/>
      <c r="AV72" s="202" t="n"/>
      <c r="AW72" s="202" t="n"/>
      <c r="AX72" s="202" t="n"/>
      <c r="AY72" s="202" t="n"/>
      <c r="AZ72" s="202" t="n"/>
      <c r="BA72" s="202" t="n"/>
      <c r="BB72" s="202" t="n"/>
      <c r="BC72" s="202" t="n"/>
      <c r="BD72" s="202" t="n"/>
      <c r="BE72" s="202" t="n"/>
      <c r="BF72" s="202" t="n"/>
      <c r="BG72" s="202" t="n"/>
      <c r="BH72" s="202" t="n"/>
      <c r="BI72" s="202" t="n"/>
      <c r="BJ72" s="202" t="n"/>
      <c r="BK72" s="202" t="n"/>
      <c r="BL72" s="202" t="n"/>
      <c r="BM72" s="202" t="n"/>
      <c r="BN72" s="202" t="n"/>
      <c r="BO72" s="202" t="n"/>
      <c r="BP72" s="202" t="n"/>
      <c r="BQ72" s="202" t="n"/>
      <c r="BR72" s="202" t="n"/>
    </row>
    <row r="73">
      <c r="A73" s="202" t="n"/>
      <c r="B73" s="202" t="n"/>
      <c r="C73" s="202" t="n"/>
      <c r="D73" s="202" t="n"/>
      <c r="E73" s="202" t="n"/>
      <c r="F73" s="202" t="n"/>
      <c r="G73" s="202" t="n"/>
      <c r="H73" s="202" t="n"/>
      <c r="I73" s="202" t="n"/>
      <c r="J73" s="202" t="n"/>
      <c r="K73" s="202" t="n"/>
      <c r="L73" s="202" t="n"/>
      <c r="M73" s="202" t="n"/>
      <c r="N73" s="202" t="n"/>
      <c r="O73" s="202" t="n"/>
      <c r="P73" s="202" t="n"/>
      <c r="Q73" s="202" t="n"/>
      <c r="R73" s="202" t="n"/>
      <c r="S73" s="202" t="n"/>
      <c r="T73" s="202" t="n"/>
      <c r="U73" s="202" t="n"/>
      <c r="V73" s="202" t="n"/>
      <c r="W73" s="202" t="n"/>
      <c r="X73" s="202" t="n"/>
      <c r="Y73" s="202" t="n"/>
      <c r="Z73" s="202" t="n"/>
      <c r="AA73" s="202" t="n"/>
      <c r="AB73" s="202" t="n"/>
      <c r="AC73" s="202" t="n"/>
      <c r="AD73" s="202" t="n"/>
      <c r="AE73" s="202" t="n"/>
      <c r="AF73" s="202" t="n"/>
      <c r="AG73" s="202" t="n"/>
      <c r="AH73" s="202" t="n"/>
      <c r="AI73" s="202" t="n"/>
      <c r="AJ73" s="202" t="n"/>
      <c r="AK73" s="202" t="n"/>
      <c r="AL73" s="202" t="n"/>
      <c r="AM73" s="202" t="n"/>
      <c r="AN73" s="202" t="n"/>
      <c r="AO73" s="202" t="n"/>
      <c r="AP73" s="202" t="n"/>
      <c r="AQ73" s="202" t="n"/>
      <c r="AR73" s="202" t="n"/>
      <c r="AS73" s="202" t="n"/>
      <c r="AT73" s="202" t="n"/>
      <c r="AU73" s="202" t="n"/>
      <c r="AV73" s="202" t="n"/>
      <c r="AW73" s="202" t="n"/>
      <c r="AX73" s="202" t="n"/>
      <c r="AY73" s="202" t="n"/>
      <c r="AZ73" s="202" t="n"/>
      <c r="BA73" s="202" t="n"/>
      <c r="BB73" s="202" t="n"/>
      <c r="BC73" s="202" t="n"/>
      <c r="BD73" s="202" t="n"/>
      <c r="BE73" s="202" t="n"/>
      <c r="BF73" s="202" t="n"/>
      <c r="BG73" s="202" t="n"/>
      <c r="BH73" s="202" t="n"/>
      <c r="BI73" s="202" t="n"/>
      <c r="BJ73" s="202" t="n"/>
      <c r="BK73" s="202" t="n"/>
      <c r="BL73" s="202" t="n"/>
      <c r="BM73" s="202" t="n"/>
      <c r="BN73" s="202" t="n"/>
      <c r="BO73" s="202" t="n"/>
      <c r="BP73" s="202" t="n"/>
      <c r="BQ73" s="202" t="n"/>
      <c r="BR73" s="202" t="n"/>
    </row>
    <row r="74">
      <c r="A74" s="202" t="n"/>
      <c r="B74" s="202" t="n"/>
      <c r="C74" s="202" t="n"/>
      <c r="D74" s="202" t="n"/>
      <c r="E74" s="20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2" t="n"/>
      <c r="Y74" s="202" t="n"/>
      <c r="Z74" s="202" t="n"/>
      <c r="AA74" s="202" t="n"/>
      <c r="AB74" s="202" t="n"/>
      <c r="AC74" s="202" t="n"/>
      <c r="AD74" s="202" t="n"/>
      <c r="AE74" s="202" t="n"/>
      <c r="AF74" s="202" t="n"/>
      <c r="AG74" s="202" t="n"/>
      <c r="AH74" s="202" t="n"/>
      <c r="AI74" s="202" t="n"/>
      <c r="AJ74" s="202" t="n"/>
      <c r="AK74" s="202" t="n"/>
      <c r="AL74" s="202" t="n"/>
      <c r="AM74" s="202" t="n"/>
      <c r="AN74" s="202" t="n"/>
      <c r="AO74" s="202" t="n"/>
      <c r="AP74" s="202" t="n"/>
      <c r="AQ74" s="202" t="n"/>
      <c r="AR74" s="202" t="n"/>
      <c r="AS74" s="202" t="n"/>
      <c r="AT74" s="202" t="n"/>
      <c r="AU74" s="202" t="n"/>
      <c r="AV74" s="202" t="n"/>
      <c r="AW74" s="202" t="n"/>
      <c r="AX74" s="202" t="n"/>
      <c r="AY74" s="202" t="n"/>
      <c r="AZ74" s="202" t="n"/>
      <c r="BA74" s="202" t="n"/>
      <c r="BB74" s="202" t="n"/>
      <c r="BC74" s="202" t="n"/>
      <c r="BD74" s="202" t="n"/>
      <c r="BE74" s="202" t="n"/>
      <c r="BF74" s="202" t="n"/>
      <c r="BG74" s="202" t="n"/>
      <c r="BH74" s="202" t="n"/>
      <c r="BI74" s="202" t="n"/>
      <c r="BJ74" s="202" t="n"/>
      <c r="BK74" s="202" t="n"/>
      <c r="BL74" s="202" t="n"/>
      <c r="BM74" s="202" t="n"/>
      <c r="BN74" s="202" t="n"/>
      <c r="BO74" s="202" t="n"/>
      <c r="BP74" s="202" t="n"/>
      <c r="BQ74" s="202" t="n"/>
      <c r="BR74" s="202" t="n"/>
    </row>
    <row r="75">
      <c r="A75" s="202" t="n"/>
      <c r="B75" s="202" t="n"/>
      <c r="C75" s="202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2" t="n"/>
      <c r="Y75" s="202" t="n"/>
      <c r="Z75" s="202" t="n"/>
      <c r="AA75" s="202" t="n"/>
      <c r="AB75" s="202" t="n"/>
      <c r="AC75" s="202" t="n"/>
      <c r="AD75" s="202" t="n"/>
      <c r="AE75" s="202" t="n"/>
      <c r="AF75" s="202" t="n"/>
      <c r="AG75" s="202" t="n"/>
      <c r="AH75" s="202" t="n"/>
      <c r="AI75" s="202" t="n"/>
      <c r="AJ75" s="202" t="n"/>
      <c r="AK75" s="202" t="n"/>
      <c r="AL75" s="202" t="n"/>
      <c r="AM75" s="202" t="n"/>
      <c r="AN75" s="202" t="n"/>
      <c r="AO75" s="202" t="n"/>
      <c r="AP75" s="202" t="n"/>
      <c r="AQ75" s="202" t="n"/>
      <c r="AR75" s="202" t="n"/>
      <c r="AS75" s="202" t="n"/>
      <c r="AT75" s="202" t="n"/>
      <c r="AU75" s="202" t="n"/>
      <c r="AV75" s="202" t="n"/>
      <c r="AW75" s="202" t="n"/>
      <c r="AX75" s="202" t="n"/>
      <c r="AY75" s="202" t="n"/>
      <c r="AZ75" s="202" t="n"/>
      <c r="BA75" s="202" t="n"/>
      <c r="BB75" s="202" t="n"/>
      <c r="BC75" s="202" t="n"/>
      <c r="BD75" s="202" t="n"/>
      <c r="BE75" s="202" t="n"/>
      <c r="BF75" s="202" t="n"/>
      <c r="BG75" s="202" t="n"/>
      <c r="BH75" s="202" t="n"/>
      <c r="BI75" s="202" t="n"/>
      <c r="BJ75" s="202" t="n"/>
      <c r="BK75" s="202" t="n"/>
      <c r="BL75" s="202" t="n"/>
      <c r="BM75" s="202" t="n"/>
      <c r="BN75" s="202" t="n"/>
      <c r="BO75" s="202" t="n"/>
      <c r="BP75" s="202" t="n"/>
      <c r="BQ75" s="202" t="n"/>
      <c r="BR75" s="202" t="n"/>
    </row>
    <row r="76">
      <c r="A76" s="202" t="n"/>
      <c r="B76" s="202" t="n"/>
      <c r="C76" s="202" t="n"/>
      <c r="D76" s="202" t="n"/>
      <c r="E76" s="202" t="n"/>
      <c r="F76" s="202" t="n"/>
      <c r="G76" s="202" t="n"/>
      <c r="H76" s="202" t="n"/>
      <c r="I76" s="202" t="n"/>
      <c r="J76" s="202" t="n"/>
      <c r="K76" s="202" t="n"/>
      <c r="L76" s="202" t="n"/>
      <c r="M76" s="202" t="n"/>
      <c r="N76" s="202" t="n"/>
      <c r="O76" s="202" t="n"/>
      <c r="P76" s="202" t="n"/>
      <c r="Q76" s="202" t="n"/>
      <c r="R76" s="202" t="n"/>
      <c r="S76" s="202" t="n"/>
      <c r="T76" s="202" t="n"/>
      <c r="U76" s="202" t="n"/>
      <c r="V76" s="202" t="n"/>
      <c r="W76" s="202" t="n"/>
      <c r="X76" s="202" t="n"/>
      <c r="Y76" s="202" t="n"/>
      <c r="Z76" s="202" t="n"/>
      <c r="AA76" s="202" t="n"/>
      <c r="AB76" s="202" t="n"/>
      <c r="AC76" s="202" t="n"/>
      <c r="AD76" s="202" t="n"/>
      <c r="AE76" s="202" t="n"/>
      <c r="AF76" s="202" t="n"/>
      <c r="AG76" s="202" t="n"/>
      <c r="AH76" s="202" t="n"/>
      <c r="AI76" s="202" t="n"/>
      <c r="AJ76" s="202" t="n"/>
      <c r="AK76" s="202" t="n"/>
      <c r="AL76" s="202" t="n"/>
      <c r="AM76" s="202" t="n"/>
      <c r="AN76" s="202" t="n"/>
      <c r="AO76" s="202" t="n"/>
      <c r="AP76" s="202" t="n"/>
      <c r="AQ76" s="202" t="n"/>
      <c r="AR76" s="202" t="n"/>
      <c r="AS76" s="202" t="n"/>
      <c r="AT76" s="202" t="n"/>
      <c r="AU76" s="202" t="n"/>
      <c r="AV76" s="202" t="n"/>
      <c r="AW76" s="202" t="n"/>
      <c r="AX76" s="202" t="n"/>
      <c r="AY76" s="202" t="n"/>
      <c r="AZ76" s="202" t="n"/>
      <c r="BA76" s="202" t="n"/>
      <c r="BB76" s="202" t="n"/>
      <c r="BC76" s="202" t="n"/>
      <c r="BD76" s="202" t="n"/>
      <c r="BE76" s="202" t="n"/>
      <c r="BF76" s="202" t="n"/>
      <c r="BG76" s="202" t="n"/>
      <c r="BH76" s="202" t="n"/>
      <c r="BI76" s="202" t="n"/>
      <c r="BJ76" s="202" t="n"/>
      <c r="BK76" s="202" t="n"/>
      <c r="BL76" s="202" t="n"/>
      <c r="BM76" s="202" t="n"/>
      <c r="BN76" s="202" t="n"/>
      <c r="BO76" s="202" t="n"/>
      <c r="BP76" s="202" t="n"/>
      <c r="BQ76" s="202" t="n"/>
      <c r="BR76" s="202" t="n"/>
    </row>
    <row r="77">
      <c r="A77" s="202" t="n"/>
      <c r="B77" s="202" t="n"/>
      <c r="C77" s="202" t="n"/>
      <c r="D77" s="202" t="n"/>
      <c r="E77" s="202" t="n"/>
      <c r="F77" s="202" t="n"/>
      <c r="G77" s="202" t="n"/>
      <c r="H77" s="202" t="n"/>
      <c r="I77" s="202" t="n"/>
      <c r="J77" s="202" t="n"/>
      <c r="K77" s="202" t="n"/>
      <c r="L77" s="202" t="n"/>
      <c r="M77" s="202" t="n"/>
      <c r="N77" s="202" t="n"/>
      <c r="O77" s="202" t="n"/>
      <c r="P77" s="202" t="n"/>
      <c r="Q77" s="202" t="n"/>
      <c r="R77" s="202" t="n"/>
      <c r="S77" s="202" t="n"/>
      <c r="T77" s="202" t="n"/>
      <c r="U77" s="202" t="n"/>
      <c r="V77" s="202" t="n"/>
      <c r="W77" s="202" t="n"/>
      <c r="X77" s="202" t="n"/>
      <c r="Y77" s="202" t="n"/>
      <c r="Z77" s="202" t="n"/>
      <c r="AA77" s="202" t="n"/>
      <c r="AB77" s="202" t="n"/>
      <c r="AC77" s="202" t="n"/>
      <c r="AD77" s="202" t="n"/>
      <c r="AE77" s="202" t="n"/>
      <c r="AF77" s="202" t="n"/>
      <c r="AG77" s="202" t="n"/>
      <c r="AH77" s="202" t="n"/>
      <c r="AI77" s="202" t="n"/>
      <c r="AJ77" s="202" t="n"/>
      <c r="AK77" s="202" t="n"/>
      <c r="AL77" s="202" t="n"/>
      <c r="AM77" s="202" t="n"/>
      <c r="AN77" s="202" t="n"/>
      <c r="AO77" s="202" t="n"/>
      <c r="AP77" s="202" t="n"/>
      <c r="AQ77" s="202" t="n"/>
      <c r="AR77" s="202" t="n"/>
      <c r="AS77" s="202" t="n"/>
      <c r="AT77" s="202" t="n"/>
      <c r="AU77" s="202" t="n"/>
      <c r="AV77" s="202" t="n"/>
      <c r="AW77" s="202" t="n"/>
      <c r="AX77" s="202" t="n"/>
      <c r="AY77" s="202" t="n"/>
      <c r="AZ77" s="202" t="n"/>
      <c r="BA77" s="202" t="n"/>
      <c r="BB77" s="202" t="n"/>
      <c r="BC77" s="202" t="n"/>
      <c r="BD77" s="202" t="n"/>
      <c r="BE77" s="202" t="n"/>
      <c r="BF77" s="202" t="n"/>
      <c r="BG77" s="202" t="n"/>
      <c r="BH77" s="202" t="n"/>
      <c r="BI77" s="202" t="n"/>
      <c r="BJ77" s="202" t="n"/>
      <c r="BK77" s="202" t="n"/>
      <c r="BL77" s="202" t="n"/>
      <c r="BM77" s="202" t="n"/>
      <c r="BN77" s="202" t="n"/>
      <c r="BO77" s="202" t="n"/>
      <c r="BP77" s="202" t="n"/>
      <c r="BQ77" s="202" t="n"/>
      <c r="BR77" s="202" t="n"/>
    </row>
    <row r="78">
      <c r="A78" s="202" t="n"/>
      <c r="B78" s="202" t="n"/>
      <c r="C78" s="202" t="n"/>
      <c r="D78" s="202" t="n"/>
      <c r="E78" s="202" t="n"/>
      <c r="F78" s="202" t="n"/>
      <c r="G78" s="202" t="n"/>
      <c r="H78" s="202" t="n"/>
      <c r="I78" s="202" t="n"/>
      <c r="J78" s="202" t="n"/>
      <c r="K78" s="202" t="n"/>
      <c r="L78" s="202" t="n"/>
      <c r="M78" s="202" t="n"/>
      <c r="N78" s="202" t="n"/>
      <c r="O78" s="202" t="n"/>
      <c r="P78" s="202" t="n"/>
      <c r="Q78" s="202" t="n"/>
      <c r="R78" s="202" t="n"/>
      <c r="S78" s="202" t="n"/>
      <c r="T78" s="202" t="n"/>
      <c r="U78" s="202" t="n"/>
      <c r="V78" s="202" t="n"/>
      <c r="W78" s="202" t="n"/>
      <c r="X78" s="202" t="n"/>
      <c r="Y78" s="202" t="n"/>
      <c r="Z78" s="202" t="n"/>
      <c r="AA78" s="202" t="n"/>
      <c r="AB78" s="202" t="n"/>
      <c r="AC78" s="202" t="n"/>
      <c r="AD78" s="202" t="n"/>
      <c r="AE78" s="202" t="n"/>
      <c r="AF78" s="202" t="n"/>
      <c r="AG78" s="202" t="n"/>
      <c r="AH78" s="202" t="n"/>
      <c r="AI78" s="202" t="n"/>
      <c r="AJ78" s="202" t="n"/>
      <c r="AK78" s="202" t="n"/>
      <c r="AL78" s="202" t="n"/>
      <c r="AM78" s="202" t="n"/>
      <c r="AN78" s="202" t="n"/>
      <c r="AO78" s="202" t="n"/>
      <c r="AP78" s="202" t="n"/>
      <c r="AQ78" s="202" t="n"/>
      <c r="AR78" s="202" t="n"/>
      <c r="AS78" s="202" t="n"/>
      <c r="AT78" s="202" t="n"/>
      <c r="AU78" s="202" t="n"/>
      <c r="AV78" s="202" t="n"/>
      <c r="AW78" s="202" t="n"/>
      <c r="AX78" s="202" t="n"/>
      <c r="AY78" s="202" t="n"/>
      <c r="AZ78" s="202" t="n"/>
      <c r="BA78" s="202" t="n"/>
      <c r="BB78" s="202" t="n"/>
      <c r="BC78" s="202" t="n"/>
      <c r="BD78" s="202" t="n"/>
      <c r="BE78" s="202" t="n"/>
      <c r="BF78" s="202" t="n"/>
      <c r="BG78" s="202" t="n"/>
      <c r="BH78" s="202" t="n"/>
      <c r="BI78" s="202" t="n"/>
      <c r="BJ78" s="202" t="n"/>
      <c r="BK78" s="202" t="n"/>
      <c r="BL78" s="202" t="n"/>
      <c r="BM78" s="202" t="n"/>
      <c r="BN78" s="202" t="n"/>
      <c r="BO78" s="202" t="n"/>
      <c r="BP78" s="202" t="n"/>
      <c r="BQ78" s="202" t="n"/>
      <c r="BR78" s="202" t="n"/>
    </row>
    <row r="79">
      <c r="A79" s="202" t="n"/>
      <c r="B79" s="202" t="n"/>
      <c r="C79" s="202" t="n"/>
      <c r="D79" s="202" t="n"/>
      <c r="E79" s="202" t="n"/>
      <c r="F79" s="202" t="n"/>
      <c r="G79" s="202" t="n"/>
      <c r="H79" s="202" t="n"/>
      <c r="I79" s="202" t="n"/>
      <c r="J79" s="202" t="n"/>
      <c r="K79" s="202" t="n"/>
      <c r="L79" s="202" t="n"/>
      <c r="M79" s="202" t="n"/>
      <c r="N79" s="202" t="n"/>
      <c r="O79" s="202" t="n"/>
      <c r="P79" s="202" t="n"/>
      <c r="Q79" s="202" t="n"/>
      <c r="R79" s="202" t="n"/>
      <c r="S79" s="202" t="n"/>
      <c r="T79" s="202" t="n"/>
      <c r="U79" s="202" t="n"/>
      <c r="V79" s="202" t="n"/>
      <c r="W79" s="202" t="n"/>
      <c r="X79" s="202" t="n"/>
      <c r="Y79" s="202" t="n"/>
      <c r="Z79" s="202" t="n"/>
      <c r="AA79" s="202" t="n"/>
      <c r="AB79" s="202" t="n"/>
      <c r="AC79" s="202" t="n"/>
      <c r="AD79" s="202" t="n"/>
      <c r="AE79" s="202" t="n"/>
      <c r="AF79" s="202" t="n"/>
      <c r="AG79" s="202" t="n"/>
      <c r="AH79" s="202" t="n"/>
      <c r="AI79" s="202" t="n"/>
      <c r="AJ79" s="202" t="n"/>
      <c r="AK79" s="202" t="n"/>
      <c r="AL79" s="202" t="n"/>
      <c r="AM79" s="202" t="n"/>
      <c r="AN79" s="202" t="n"/>
      <c r="AO79" s="202" t="n"/>
      <c r="AP79" s="202" t="n"/>
      <c r="AQ79" s="202" t="n"/>
      <c r="AR79" s="202" t="n"/>
      <c r="AS79" s="202" t="n"/>
      <c r="AT79" s="202" t="n"/>
      <c r="AU79" s="202" t="n"/>
      <c r="AV79" s="202" t="n"/>
      <c r="AW79" s="202" t="n"/>
      <c r="AX79" s="202" t="n"/>
      <c r="AY79" s="202" t="n"/>
      <c r="AZ79" s="202" t="n"/>
      <c r="BA79" s="202" t="n"/>
      <c r="BB79" s="202" t="n"/>
      <c r="BC79" s="202" t="n"/>
      <c r="BD79" s="202" t="n"/>
      <c r="BE79" s="202" t="n"/>
      <c r="BF79" s="202" t="n"/>
      <c r="BG79" s="202" t="n"/>
      <c r="BH79" s="202" t="n"/>
      <c r="BI79" s="202" t="n"/>
      <c r="BJ79" s="202" t="n"/>
      <c r="BK79" s="202" t="n"/>
      <c r="BL79" s="202" t="n"/>
      <c r="BM79" s="202" t="n"/>
      <c r="BN79" s="202" t="n"/>
      <c r="BO79" s="202" t="n"/>
      <c r="BP79" s="202" t="n"/>
      <c r="BQ79" s="202" t="n"/>
      <c r="BR79" s="202" t="n"/>
    </row>
    <row r="80">
      <c r="A80" s="202" t="n"/>
      <c r="B80" s="202" t="n"/>
      <c r="C80" s="202" t="n"/>
      <c r="D80" s="202" t="n"/>
      <c r="E80" s="202" t="n"/>
      <c r="F80" s="202" t="n"/>
      <c r="G80" s="202" t="n"/>
      <c r="H80" s="202" t="n"/>
      <c r="I80" s="202" t="n"/>
      <c r="J80" s="202" t="n"/>
      <c r="K80" s="202" t="n"/>
      <c r="L80" s="202" t="n"/>
      <c r="M80" s="202" t="n"/>
      <c r="N80" s="202" t="n"/>
      <c r="O80" s="202" t="n"/>
      <c r="P80" s="202" t="n"/>
      <c r="Q80" s="202" t="n"/>
      <c r="R80" s="202" t="n"/>
      <c r="S80" s="202" t="n"/>
      <c r="T80" s="202" t="n"/>
      <c r="U80" s="202" t="n"/>
      <c r="V80" s="202" t="n"/>
      <c r="W80" s="202" t="n"/>
      <c r="X80" s="202" t="n"/>
      <c r="Y80" s="202" t="n"/>
      <c r="Z80" s="202" t="n"/>
      <c r="AA80" s="202" t="n"/>
      <c r="AB80" s="202" t="n"/>
      <c r="AC80" s="202" t="n"/>
      <c r="AD80" s="202" t="n"/>
      <c r="AE80" s="202" t="n"/>
      <c r="AF80" s="202" t="n"/>
      <c r="AG80" s="202" t="n"/>
      <c r="AH80" s="202" t="n"/>
      <c r="AI80" s="202" t="n"/>
      <c r="AJ80" s="202" t="n"/>
      <c r="AK80" s="202" t="n"/>
      <c r="AL80" s="202" t="n"/>
      <c r="AM80" s="202" t="n"/>
      <c r="AN80" s="202" t="n"/>
      <c r="AO80" s="202" t="n"/>
      <c r="AP80" s="202" t="n"/>
      <c r="AQ80" s="202" t="n"/>
      <c r="AR80" s="202" t="n"/>
      <c r="AS80" s="202" t="n"/>
      <c r="AT80" s="202" t="n"/>
      <c r="AU80" s="202" t="n"/>
      <c r="AV80" s="202" t="n"/>
      <c r="AW80" s="202" t="n"/>
      <c r="AX80" s="202" t="n"/>
      <c r="AY80" s="202" t="n"/>
      <c r="AZ80" s="202" t="n"/>
      <c r="BA80" s="202" t="n"/>
      <c r="BB80" s="202" t="n"/>
      <c r="BC80" s="202" t="n"/>
      <c r="BD80" s="202" t="n"/>
      <c r="BE80" s="202" t="n"/>
      <c r="BF80" s="202" t="n"/>
      <c r="BG80" s="202" t="n"/>
      <c r="BH80" s="202" t="n"/>
      <c r="BI80" s="202" t="n"/>
      <c r="BJ80" s="202" t="n"/>
      <c r="BK80" s="202" t="n"/>
      <c r="BL80" s="202" t="n"/>
      <c r="BM80" s="202" t="n"/>
      <c r="BN80" s="202" t="n"/>
      <c r="BO80" s="202" t="n"/>
      <c r="BP80" s="202" t="n"/>
      <c r="BQ80" s="202" t="n"/>
      <c r="BR80" s="202" t="n"/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N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OPERATING EXPENSES  —  60-MONTH PROJECTION</t>
        </is>
      </c>
    </row>
    <row r="2" ht="15" customHeight="1" s="82">
      <c r="A2" s="114" t="inlineStr">
        <is>
          <t>Variable costs scale with production; period costs escalate annually; interest &amp; depreciation linked.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88">
        <f>IFERROR(VLOOKUP(Assumptions!$J$5,INDUSTRY_MAP,5,FALSE()),"Raw materials")</f>
        <v/>
      </c>
      <c r="B5" s="140">
        <f>Production!B7*(Assumptions!$C$25*(1+Assumptions!$C$26)^0)</f>
        <v/>
      </c>
      <c r="C5" s="140">
        <f>Production!C7*(Assumptions!$C$25*(1+Assumptions!$C$26)^0)</f>
        <v/>
      </c>
      <c r="D5" s="140">
        <f>Production!D7*(Assumptions!$C$25*(1+Assumptions!$C$26)^0)</f>
        <v/>
      </c>
      <c r="E5" s="140">
        <f>Production!E7*(Assumptions!$C$25*(1+Assumptions!$C$26)^0)</f>
        <v/>
      </c>
      <c r="F5" s="140">
        <f>Production!F7*(Assumptions!$C$25*(1+Assumptions!$C$26)^0)</f>
        <v/>
      </c>
      <c r="G5" s="140">
        <f>Production!G7*(Assumptions!$C$25*(1+Assumptions!$C$26)^0)</f>
        <v/>
      </c>
      <c r="H5" s="140">
        <f>Production!H7*(Assumptions!$C$25*(1+Assumptions!$C$26)^0)</f>
        <v/>
      </c>
      <c r="I5" s="140">
        <f>Production!I7*(Assumptions!$C$25*(1+Assumptions!$C$26)^0)</f>
        <v/>
      </c>
      <c r="J5" s="140">
        <f>Production!J7*(Assumptions!$C$25*(1+Assumptions!$C$26)^0)</f>
        <v/>
      </c>
      <c r="K5" s="140">
        <f>Production!K7*(Assumptions!$C$25*(1+Assumptions!$C$26)^0)</f>
        <v/>
      </c>
      <c r="L5" s="140">
        <f>Production!L7*(Assumptions!$C$25*(1+Assumptions!$C$26)^0)</f>
        <v/>
      </c>
      <c r="M5" s="140">
        <f>Production!M7*(Assumptions!$C$25*(1+Assumptions!$C$26)^0)</f>
        <v/>
      </c>
      <c r="N5" s="139">
        <f>SUM(B5:M5)</f>
        <v/>
      </c>
      <c r="O5" s="140">
        <f>Production!O7*(Assumptions!$C$25*(1+Assumptions!$C$26)^1)</f>
        <v/>
      </c>
      <c r="P5" s="140">
        <f>Production!P7*(Assumptions!$C$25*(1+Assumptions!$C$26)^1)</f>
        <v/>
      </c>
      <c r="Q5" s="140">
        <f>Production!Q7*(Assumptions!$C$25*(1+Assumptions!$C$26)^1)</f>
        <v/>
      </c>
      <c r="R5" s="140">
        <f>Production!R7*(Assumptions!$C$25*(1+Assumptions!$C$26)^1)</f>
        <v/>
      </c>
      <c r="S5" s="140">
        <f>Production!S7*(Assumptions!$C$25*(1+Assumptions!$C$26)^1)</f>
        <v/>
      </c>
      <c r="T5" s="140">
        <f>Production!T7*(Assumptions!$C$25*(1+Assumptions!$C$26)^1)</f>
        <v/>
      </c>
      <c r="U5" s="140">
        <f>Production!U7*(Assumptions!$C$25*(1+Assumptions!$C$26)^1)</f>
        <v/>
      </c>
      <c r="V5" s="140">
        <f>Production!V7*(Assumptions!$C$25*(1+Assumptions!$C$26)^1)</f>
        <v/>
      </c>
      <c r="W5" s="140">
        <f>Production!W7*(Assumptions!$C$25*(1+Assumptions!$C$26)^1)</f>
        <v/>
      </c>
      <c r="X5" s="140">
        <f>Production!X7*(Assumptions!$C$25*(1+Assumptions!$C$26)^1)</f>
        <v/>
      </c>
      <c r="Y5" s="140">
        <f>Production!Y7*(Assumptions!$C$25*(1+Assumptions!$C$26)^1)</f>
        <v/>
      </c>
      <c r="Z5" s="140">
        <f>Production!Z7*(Assumptions!$C$25*(1+Assumptions!$C$26)^1)</f>
        <v/>
      </c>
      <c r="AA5" s="139">
        <f>SUM(O5:Z5)</f>
        <v/>
      </c>
      <c r="AB5" s="140">
        <f>Production!AB7*(Assumptions!$C$25*(1+Assumptions!$C$26)^2)</f>
        <v/>
      </c>
      <c r="AC5" s="140">
        <f>Production!AC7*(Assumptions!$C$25*(1+Assumptions!$C$26)^2)</f>
        <v/>
      </c>
      <c r="AD5" s="140">
        <f>Production!AD7*(Assumptions!$C$25*(1+Assumptions!$C$26)^2)</f>
        <v/>
      </c>
      <c r="AE5" s="140">
        <f>Production!AE7*(Assumptions!$C$25*(1+Assumptions!$C$26)^2)</f>
        <v/>
      </c>
      <c r="AF5" s="140">
        <f>Production!AF7*(Assumptions!$C$25*(1+Assumptions!$C$26)^2)</f>
        <v/>
      </c>
      <c r="AG5" s="140">
        <f>Production!AG7*(Assumptions!$C$25*(1+Assumptions!$C$26)^2)</f>
        <v/>
      </c>
      <c r="AH5" s="140">
        <f>Production!AH7*(Assumptions!$C$25*(1+Assumptions!$C$26)^2)</f>
        <v/>
      </c>
      <c r="AI5" s="140">
        <f>Production!AI7*(Assumptions!$C$25*(1+Assumptions!$C$26)^2)</f>
        <v/>
      </c>
      <c r="AJ5" s="140">
        <f>Production!AJ7*(Assumptions!$C$25*(1+Assumptions!$C$26)^2)</f>
        <v/>
      </c>
      <c r="AK5" s="140">
        <f>Production!AK7*(Assumptions!$C$25*(1+Assumptions!$C$26)^2)</f>
        <v/>
      </c>
      <c r="AL5" s="140">
        <f>Production!AL7*(Assumptions!$C$25*(1+Assumptions!$C$26)^2)</f>
        <v/>
      </c>
      <c r="AM5" s="140">
        <f>Production!AM7*(Assumptions!$C$25*(1+Assumptions!$C$26)^2)</f>
        <v/>
      </c>
      <c r="AN5" s="139">
        <f>SUM(AB5:AM5)</f>
        <v/>
      </c>
      <c r="AO5" s="140">
        <f>Production!AO7*(Assumptions!$C$25*(1+Assumptions!$C$26)^3)</f>
        <v/>
      </c>
      <c r="AP5" s="140">
        <f>Production!AP7*(Assumptions!$C$25*(1+Assumptions!$C$26)^3)</f>
        <v/>
      </c>
      <c r="AQ5" s="140">
        <f>Production!AQ7*(Assumptions!$C$25*(1+Assumptions!$C$26)^3)</f>
        <v/>
      </c>
      <c r="AR5" s="140">
        <f>Production!AR7*(Assumptions!$C$25*(1+Assumptions!$C$26)^3)</f>
        <v/>
      </c>
      <c r="AS5" s="140">
        <f>Production!AS7*(Assumptions!$C$25*(1+Assumptions!$C$26)^3)</f>
        <v/>
      </c>
      <c r="AT5" s="140">
        <f>Production!AT7*(Assumptions!$C$25*(1+Assumptions!$C$26)^3)</f>
        <v/>
      </c>
      <c r="AU5" s="140">
        <f>Production!AU7*(Assumptions!$C$25*(1+Assumptions!$C$26)^3)</f>
        <v/>
      </c>
      <c r="AV5" s="140">
        <f>Production!AV7*(Assumptions!$C$25*(1+Assumptions!$C$26)^3)</f>
        <v/>
      </c>
      <c r="AW5" s="140">
        <f>Production!AW7*(Assumptions!$C$25*(1+Assumptions!$C$26)^3)</f>
        <v/>
      </c>
      <c r="AX5" s="140">
        <f>Production!AX7*(Assumptions!$C$25*(1+Assumptions!$C$26)^3)</f>
        <v/>
      </c>
      <c r="AY5" s="140">
        <f>Production!AY7*(Assumptions!$C$25*(1+Assumptions!$C$26)^3)</f>
        <v/>
      </c>
      <c r="AZ5" s="140">
        <f>Production!AZ7*(Assumptions!$C$25*(1+Assumptions!$C$26)^3)</f>
        <v/>
      </c>
      <c r="BA5" s="139">
        <f>SUM(AO5:AZ5)</f>
        <v/>
      </c>
      <c r="BB5" s="140">
        <f>Production!BB7*(Assumptions!$C$25*(1+Assumptions!$C$26)^4)</f>
        <v/>
      </c>
      <c r="BC5" s="140">
        <f>Production!BC7*(Assumptions!$C$25*(1+Assumptions!$C$26)^4)</f>
        <v/>
      </c>
      <c r="BD5" s="140">
        <f>Production!BD7*(Assumptions!$C$25*(1+Assumptions!$C$26)^4)</f>
        <v/>
      </c>
      <c r="BE5" s="140">
        <f>Production!BE7*(Assumptions!$C$25*(1+Assumptions!$C$26)^4)</f>
        <v/>
      </c>
      <c r="BF5" s="140">
        <f>Production!BF7*(Assumptions!$C$25*(1+Assumptions!$C$26)^4)</f>
        <v/>
      </c>
      <c r="BG5" s="140">
        <f>Production!BG7*(Assumptions!$C$25*(1+Assumptions!$C$26)^4)</f>
        <v/>
      </c>
      <c r="BH5" s="140">
        <f>Production!BH7*(Assumptions!$C$25*(1+Assumptions!$C$26)^4)</f>
        <v/>
      </c>
      <c r="BI5" s="140">
        <f>Production!BI7*(Assumptions!$C$25*(1+Assumptions!$C$26)^4)</f>
        <v/>
      </c>
      <c r="BJ5" s="140">
        <f>Production!BJ7*(Assumptions!$C$25*(1+Assumptions!$C$26)^4)</f>
        <v/>
      </c>
      <c r="BK5" s="140">
        <f>Production!BK7*(Assumptions!$C$25*(1+Assumptions!$C$26)^4)</f>
        <v/>
      </c>
      <c r="BL5" s="140">
        <f>Production!BL7*(Assumptions!$C$25*(1+Assumptions!$C$26)^4)</f>
        <v/>
      </c>
      <c r="BM5" s="140">
        <f>Production!BM7*(Assumptions!$C$25*(1+Assumptions!$C$26)^4)</f>
        <v/>
      </c>
      <c r="BN5" s="139">
        <f>SUM(BB5:BM5)</f>
        <v/>
      </c>
    </row>
    <row r="6" ht="15" customHeight="1" s="82">
      <c r="A6" s="88">
        <f>IFERROR(VLOOKUP(Assumptions!$J$5,INDUSTRY_MAP,7,FALSE()),"Power &amp; fuel")</f>
        <v/>
      </c>
      <c r="B6" s="140">
        <f>Production!B7*(Assumptions!$C$27*(1+Assumptions!$C$28)^0)</f>
        <v/>
      </c>
      <c r="C6" s="140">
        <f>Production!C7*(Assumptions!$C$27*(1+Assumptions!$C$28)^0)</f>
        <v/>
      </c>
      <c r="D6" s="140">
        <f>Production!D7*(Assumptions!$C$27*(1+Assumptions!$C$28)^0)</f>
        <v/>
      </c>
      <c r="E6" s="140">
        <f>Production!E7*(Assumptions!$C$27*(1+Assumptions!$C$28)^0)</f>
        <v/>
      </c>
      <c r="F6" s="140">
        <f>Production!F7*(Assumptions!$C$27*(1+Assumptions!$C$28)^0)</f>
        <v/>
      </c>
      <c r="G6" s="140">
        <f>Production!G7*(Assumptions!$C$27*(1+Assumptions!$C$28)^0)</f>
        <v/>
      </c>
      <c r="H6" s="140">
        <f>Production!H7*(Assumptions!$C$27*(1+Assumptions!$C$28)^0)</f>
        <v/>
      </c>
      <c r="I6" s="140">
        <f>Production!I7*(Assumptions!$C$27*(1+Assumptions!$C$28)^0)</f>
        <v/>
      </c>
      <c r="J6" s="140">
        <f>Production!J7*(Assumptions!$C$27*(1+Assumptions!$C$28)^0)</f>
        <v/>
      </c>
      <c r="K6" s="140">
        <f>Production!K7*(Assumptions!$C$27*(1+Assumptions!$C$28)^0)</f>
        <v/>
      </c>
      <c r="L6" s="140">
        <f>Production!L7*(Assumptions!$C$27*(1+Assumptions!$C$28)^0)</f>
        <v/>
      </c>
      <c r="M6" s="140">
        <f>Production!M7*(Assumptions!$C$27*(1+Assumptions!$C$28)^0)</f>
        <v/>
      </c>
      <c r="N6" s="139">
        <f>SUM(B6:M6)</f>
        <v/>
      </c>
      <c r="O6" s="140">
        <f>Production!O7*(Assumptions!$C$27*(1+Assumptions!$C$28)^1)</f>
        <v/>
      </c>
      <c r="P6" s="140">
        <f>Production!P7*(Assumptions!$C$27*(1+Assumptions!$C$28)^1)</f>
        <v/>
      </c>
      <c r="Q6" s="140">
        <f>Production!Q7*(Assumptions!$C$27*(1+Assumptions!$C$28)^1)</f>
        <v/>
      </c>
      <c r="R6" s="140">
        <f>Production!R7*(Assumptions!$C$27*(1+Assumptions!$C$28)^1)</f>
        <v/>
      </c>
      <c r="S6" s="140">
        <f>Production!S7*(Assumptions!$C$27*(1+Assumptions!$C$28)^1)</f>
        <v/>
      </c>
      <c r="T6" s="140">
        <f>Production!T7*(Assumptions!$C$27*(1+Assumptions!$C$28)^1)</f>
        <v/>
      </c>
      <c r="U6" s="140">
        <f>Production!U7*(Assumptions!$C$27*(1+Assumptions!$C$28)^1)</f>
        <v/>
      </c>
      <c r="V6" s="140">
        <f>Production!V7*(Assumptions!$C$27*(1+Assumptions!$C$28)^1)</f>
        <v/>
      </c>
      <c r="W6" s="140">
        <f>Production!W7*(Assumptions!$C$27*(1+Assumptions!$C$28)^1)</f>
        <v/>
      </c>
      <c r="X6" s="140">
        <f>Production!X7*(Assumptions!$C$27*(1+Assumptions!$C$28)^1)</f>
        <v/>
      </c>
      <c r="Y6" s="140">
        <f>Production!Y7*(Assumptions!$C$27*(1+Assumptions!$C$28)^1)</f>
        <v/>
      </c>
      <c r="Z6" s="140">
        <f>Production!Z7*(Assumptions!$C$27*(1+Assumptions!$C$28)^1)</f>
        <v/>
      </c>
      <c r="AA6" s="139">
        <f>SUM(O6:Z6)</f>
        <v/>
      </c>
      <c r="AB6" s="140">
        <f>Production!AB7*(Assumptions!$C$27*(1+Assumptions!$C$28)^2)</f>
        <v/>
      </c>
      <c r="AC6" s="140">
        <f>Production!AC7*(Assumptions!$C$27*(1+Assumptions!$C$28)^2)</f>
        <v/>
      </c>
      <c r="AD6" s="140">
        <f>Production!AD7*(Assumptions!$C$27*(1+Assumptions!$C$28)^2)</f>
        <v/>
      </c>
      <c r="AE6" s="140">
        <f>Production!AE7*(Assumptions!$C$27*(1+Assumptions!$C$28)^2)</f>
        <v/>
      </c>
      <c r="AF6" s="140">
        <f>Production!AF7*(Assumptions!$C$27*(1+Assumptions!$C$28)^2)</f>
        <v/>
      </c>
      <c r="AG6" s="140">
        <f>Production!AG7*(Assumptions!$C$27*(1+Assumptions!$C$28)^2)</f>
        <v/>
      </c>
      <c r="AH6" s="140">
        <f>Production!AH7*(Assumptions!$C$27*(1+Assumptions!$C$28)^2)</f>
        <v/>
      </c>
      <c r="AI6" s="140">
        <f>Production!AI7*(Assumptions!$C$27*(1+Assumptions!$C$28)^2)</f>
        <v/>
      </c>
      <c r="AJ6" s="140">
        <f>Production!AJ7*(Assumptions!$C$27*(1+Assumptions!$C$28)^2)</f>
        <v/>
      </c>
      <c r="AK6" s="140">
        <f>Production!AK7*(Assumptions!$C$27*(1+Assumptions!$C$28)^2)</f>
        <v/>
      </c>
      <c r="AL6" s="140">
        <f>Production!AL7*(Assumptions!$C$27*(1+Assumptions!$C$28)^2)</f>
        <v/>
      </c>
      <c r="AM6" s="140">
        <f>Production!AM7*(Assumptions!$C$27*(1+Assumptions!$C$28)^2)</f>
        <v/>
      </c>
      <c r="AN6" s="139">
        <f>SUM(AB6:AM6)</f>
        <v/>
      </c>
      <c r="AO6" s="140">
        <f>Production!AO7*(Assumptions!$C$27*(1+Assumptions!$C$28)^3)</f>
        <v/>
      </c>
      <c r="AP6" s="140">
        <f>Production!AP7*(Assumptions!$C$27*(1+Assumptions!$C$28)^3)</f>
        <v/>
      </c>
      <c r="AQ6" s="140">
        <f>Production!AQ7*(Assumptions!$C$27*(1+Assumptions!$C$28)^3)</f>
        <v/>
      </c>
      <c r="AR6" s="140">
        <f>Production!AR7*(Assumptions!$C$27*(1+Assumptions!$C$28)^3)</f>
        <v/>
      </c>
      <c r="AS6" s="140">
        <f>Production!AS7*(Assumptions!$C$27*(1+Assumptions!$C$28)^3)</f>
        <v/>
      </c>
      <c r="AT6" s="140">
        <f>Production!AT7*(Assumptions!$C$27*(1+Assumptions!$C$28)^3)</f>
        <v/>
      </c>
      <c r="AU6" s="140">
        <f>Production!AU7*(Assumptions!$C$27*(1+Assumptions!$C$28)^3)</f>
        <v/>
      </c>
      <c r="AV6" s="140">
        <f>Production!AV7*(Assumptions!$C$27*(1+Assumptions!$C$28)^3)</f>
        <v/>
      </c>
      <c r="AW6" s="140">
        <f>Production!AW7*(Assumptions!$C$27*(1+Assumptions!$C$28)^3)</f>
        <v/>
      </c>
      <c r="AX6" s="140">
        <f>Production!AX7*(Assumptions!$C$27*(1+Assumptions!$C$28)^3)</f>
        <v/>
      </c>
      <c r="AY6" s="140">
        <f>Production!AY7*(Assumptions!$C$27*(1+Assumptions!$C$28)^3)</f>
        <v/>
      </c>
      <c r="AZ6" s="140">
        <f>Production!AZ7*(Assumptions!$C$27*(1+Assumptions!$C$28)^3)</f>
        <v/>
      </c>
      <c r="BA6" s="139">
        <f>SUM(AO6:AZ6)</f>
        <v/>
      </c>
      <c r="BB6" s="140">
        <f>Production!BB7*(Assumptions!$C$27*(1+Assumptions!$C$28)^4)</f>
        <v/>
      </c>
      <c r="BC6" s="140">
        <f>Production!BC7*(Assumptions!$C$27*(1+Assumptions!$C$28)^4)</f>
        <v/>
      </c>
      <c r="BD6" s="140">
        <f>Production!BD7*(Assumptions!$C$27*(1+Assumptions!$C$28)^4)</f>
        <v/>
      </c>
      <c r="BE6" s="140">
        <f>Production!BE7*(Assumptions!$C$27*(1+Assumptions!$C$28)^4)</f>
        <v/>
      </c>
      <c r="BF6" s="140">
        <f>Production!BF7*(Assumptions!$C$27*(1+Assumptions!$C$28)^4)</f>
        <v/>
      </c>
      <c r="BG6" s="140">
        <f>Production!BG7*(Assumptions!$C$27*(1+Assumptions!$C$28)^4)</f>
        <v/>
      </c>
      <c r="BH6" s="140">
        <f>Production!BH7*(Assumptions!$C$27*(1+Assumptions!$C$28)^4)</f>
        <v/>
      </c>
      <c r="BI6" s="140">
        <f>Production!BI7*(Assumptions!$C$27*(1+Assumptions!$C$28)^4)</f>
        <v/>
      </c>
      <c r="BJ6" s="140">
        <f>Production!BJ7*(Assumptions!$C$27*(1+Assumptions!$C$28)^4)</f>
        <v/>
      </c>
      <c r="BK6" s="140">
        <f>Production!BK7*(Assumptions!$C$27*(1+Assumptions!$C$28)^4)</f>
        <v/>
      </c>
      <c r="BL6" s="140">
        <f>Production!BL7*(Assumptions!$C$27*(1+Assumptions!$C$28)^4)</f>
        <v/>
      </c>
      <c r="BM6" s="140">
        <f>Production!BM7*(Assumptions!$C$27*(1+Assumptions!$C$28)^4)</f>
        <v/>
      </c>
      <c r="BN6" s="139">
        <f>SUM(BB6:BM6)</f>
        <v/>
      </c>
    </row>
    <row r="7" ht="15" customHeight="1" s="82">
      <c r="A7" s="88" t="inlineStr">
        <is>
          <t>Direct wages &amp; salaries</t>
        </is>
      </c>
      <c r="B7" s="143">
        <f>Assumptions!$C$32*(1+Assumptions!$C$33)^0</f>
        <v/>
      </c>
      <c r="C7" s="143">
        <f>Assumptions!$C$32*(1+Assumptions!$C$33)^0</f>
        <v/>
      </c>
      <c r="D7" s="143">
        <f>Assumptions!$C$32*(1+Assumptions!$C$33)^0</f>
        <v/>
      </c>
      <c r="E7" s="143">
        <f>Assumptions!$C$32*(1+Assumptions!$C$33)^0</f>
        <v/>
      </c>
      <c r="F7" s="143">
        <f>Assumptions!$C$32*(1+Assumptions!$C$33)^0</f>
        <v/>
      </c>
      <c r="G7" s="143">
        <f>Assumptions!$C$32*(1+Assumptions!$C$33)^0</f>
        <v/>
      </c>
      <c r="H7" s="143">
        <f>Assumptions!$C$32*(1+Assumptions!$C$33)^0</f>
        <v/>
      </c>
      <c r="I7" s="143">
        <f>Assumptions!$C$32*(1+Assumptions!$C$33)^0</f>
        <v/>
      </c>
      <c r="J7" s="143">
        <f>Assumptions!$C$32*(1+Assumptions!$C$33)^0</f>
        <v/>
      </c>
      <c r="K7" s="143">
        <f>Assumptions!$C$32*(1+Assumptions!$C$33)^0</f>
        <v/>
      </c>
      <c r="L7" s="143">
        <f>Assumptions!$C$32*(1+Assumptions!$C$33)^0</f>
        <v/>
      </c>
      <c r="M7" s="143">
        <f>Assumptions!$C$32*(1+Assumptions!$C$33)^0</f>
        <v/>
      </c>
      <c r="N7" s="139">
        <f>SUM(B7:M7)</f>
        <v/>
      </c>
      <c r="O7" s="143">
        <f>Assumptions!$C$32*(1+Assumptions!$C$33)^1</f>
        <v/>
      </c>
      <c r="P7" s="143">
        <f>Assumptions!$C$32*(1+Assumptions!$C$33)^1</f>
        <v/>
      </c>
      <c r="Q7" s="143">
        <f>Assumptions!$C$32*(1+Assumptions!$C$33)^1</f>
        <v/>
      </c>
      <c r="R7" s="143">
        <f>Assumptions!$C$32*(1+Assumptions!$C$33)^1</f>
        <v/>
      </c>
      <c r="S7" s="143">
        <f>Assumptions!$C$32*(1+Assumptions!$C$33)^1</f>
        <v/>
      </c>
      <c r="T7" s="143">
        <f>Assumptions!$C$32*(1+Assumptions!$C$33)^1</f>
        <v/>
      </c>
      <c r="U7" s="143">
        <f>Assumptions!$C$32*(1+Assumptions!$C$33)^1</f>
        <v/>
      </c>
      <c r="V7" s="143">
        <f>Assumptions!$C$32*(1+Assumptions!$C$33)^1</f>
        <v/>
      </c>
      <c r="W7" s="143">
        <f>Assumptions!$C$32*(1+Assumptions!$C$33)^1</f>
        <v/>
      </c>
      <c r="X7" s="143">
        <f>Assumptions!$C$32*(1+Assumptions!$C$33)^1</f>
        <v/>
      </c>
      <c r="Y7" s="143">
        <f>Assumptions!$C$32*(1+Assumptions!$C$33)^1</f>
        <v/>
      </c>
      <c r="Z7" s="143">
        <f>Assumptions!$C$32*(1+Assumptions!$C$33)^1</f>
        <v/>
      </c>
      <c r="AA7" s="139">
        <f>SUM(O7:Z7)</f>
        <v/>
      </c>
      <c r="AB7" s="143">
        <f>Assumptions!$C$32*(1+Assumptions!$C$33)^2</f>
        <v/>
      </c>
      <c r="AC7" s="143">
        <f>Assumptions!$C$32*(1+Assumptions!$C$33)^2</f>
        <v/>
      </c>
      <c r="AD7" s="143">
        <f>Assumptions!$C$32*(1+Assumptions!$C$33)^2</f>
        <v/>
      </c>
      <c r="AE7" s="143">
        <f>Assumptions!$C$32*(1+Assumptions!$C$33)^2</f>
        <v/>
      </c>
      <c r="AF7" s="143">
        <f>Assumptions!$C$32*(1+Assumptions!$C$33)^2</f>
        <v/>
      </c>
      <c r="AG7" s="143">
        <f>Assumptions!$C$32*(1+Assumptions!$C$33)^2</f>
        <v/>
      </c>
      <c r="AH7" s="143">
        <f>Assumptions!$C$32*(1+Assumptions!$C$33)^2</f>
        <v/>
      </c>
      <c r="AI7" s="143">
        <f>Assumptions!$C$32*(1+Assumptions!$C$33)^2</f>
        <v/>
      </c>
      <c r="AJ7" s="143">
        <f>Assumptions!$C$32*(1+Assumptions!$C$33)^2</f>
        <v/>
      </c>
      <c r="AK7" s="143">
        <f>Assumptions!$C$32*(1+Assumptions!$C$33)^2</f>
        <v/>
      </c>
      <c r="AL7" s="143">
        <f>Assumptions!$C$32*(1+Assumptions!$C$33)^2</f>
        <v/>
      </c>
      <c r="AM7" s="143">
        <f>Assumptions!$C$32*(1+Assumptions!$C$33)^2</f>
        <v/>
      </c>
      <c r="AN7" s="139">
        <f>SUM(AB7:AM7)</f>
        <v/>
      </c>
      <c r="AO7" s="143">
        <f>Assumptions!$C$32*(1+Assumptions!$C$33)^3</f>
        <v/>
      </c>
      <c r="AP7" s="143">
        <f>Assumptions!$C$32*(1+Assumptions!$C$33)^3</f>
        <v/>
      </c>
      <c r="AQ7" s="143">
        <f>Assumptions!$C$32*(1+Assumptions!$C$33)^3</f>
        <v/>
      </c>
      <c r="AR7" s="143">
        <f>Assumptions!$C$32*(1+Assumptions!$C$33)^3</f>
        <v/>
      </c>
      <c r="AS7" s="143">
        <f>Assumptions!$C$32*(1+Assumptions!$C$33)^3</f>
        <v/>
      </c>
      <c r="AT7" s="143">
        <f>Assumptions!$C$32*(1+Assumptions!$C$33)^3</f>
        <v/>
      </c>
      <c r="AU7" s="143">
        <f>Assumptions!$C$32*(1+Assumptions!$C$33)^3</f>
        <v/>
      </c>
      <c r="AV7" s="143">
        <f>Assumptions!$C$32*(1+Assumptions!$C$33)^3</f>
        <v/>
      </c>
      <c r="AW7" s="143">
        <f>Assumptions!$C$32*(1+Assumptions!$C$33)^3</f>
        <v/>
      </c>
      <c r="AX7" s="143">
        <f>Assumptions!$C$32*(1+Assumptions!$C$33)^3</f>
        <v/>
      </c>
      <c r="AY7" s="143">
        <f>Assumptions!$C$32*(1+Assumptions!$C$33)^3</f>
        <v/>
      </c>
      <c r="AZ7" s="143">
        <f>Assumptions!$C$32*(1+Assumptions!$C$33)^3</f>
        <v/>
      </c>
      <c r="BA7" s="139">
        <f>SUM(AO7:AZ7)</f>
        <v/>
      </c>
      <c r="BB7" s="143">
        <f>Assumptions!$C$32*(1+Assumptions!$C$33)^4</f>
        <v/>
      </c>
      <c r="BC7" s="143">
        <f>Assumptions!$C$32*(1+Assumptions!$C$33)^4</f>
        <v/>
      </c>
      <c r="BD7" s="143">
        <f>Assumptions!$C$32*(1+Assumptions!$C$33)^4</f>
        <v/>
      </c>
      <c r="BE7" s="143">
        <f>Assumptions!$C$32*(1+Assumptions!$C$33)^4</f>
        <v/>
      </c>
      <c r="BF7" s="143">
        <f>Assumptions!$C$32*(1+Assumptions!$C$33)^4</f>
        <v/>
      </c>
      <c r="BG7" s="143">
        <f>Assumptions!$C$32*(1+Assumptions!$C$33)^4</f>
        <v/>
      </c>
      <c r="BH7" s="143">
        <f>Assumptions!$C$32*(1+Assumptions!$C$33)^4</f>
        <v/>
      </c>
      <c r="BI7" s="143">
        <f>Assumptions!$C$32*(1+Assumptions!$C$33)^4</f>
        <v/>
      </c>
      <c r="BJ7" s="143">
        <f>Assumptions!$C$32*(1+Assumptions!$C$33)^4</f>
        <v/>
      </c>
      <c r="BK7" s="143">
        <f>Assumptions!$C$32*(1+Assumptions!$C$33)^4</f>
        <v/>
      </c>
      <c r="BL7" s="143">
        <f>Assumptions!$C$32*(1+Assumptions!$C$33)^4</f>
        <v/>
      </c>
      <c r="BM7" s="143">
        <f>Assumptions!$C$32*(1+Assumptions!$C$33)^4</f>
        <v/>
      </c>
      <c r="BN7" s="139">
        <f>SUM(BB7:BM7)</f>
        <v/>
      </c>
    </row>
    <row r="8" ht="15" customHeight="1" s="82">
      <c r="A8" s="88" t="inlineStr">
        <is>
          <t>Other variable cost</t>
        </is>
      </c>
      <c r="B8" s="140">
        <f>Production!B7*(Assumptions!$C$29*(1+Assumptions!$C$30)^0)</f>
        <v/>
      </c>
      <c r="C8" s="140">
        <f>Production!C7*(Assumptions!$C$29*(1+Assumptions!$C$30)^0)</f>
        <v/>
      </c>
      <c r="D8" s="140">
        <f>Production!D7*(Assumptions!$C$29*(1+Assumptions!$C$30)^0)</f>
        <v/>
      </c>
      <c r="E8" s="140">
        <f>Production!E7*(Assumptions!$C$29*(1+Assumptions!$C$30)^0)</f>
        <v/>
      </c>
      <c r="F8" s="140">
        <f>Production!F7*(Assumptions!$C$29*(1+Assumptions!$C$30)^0)</f>
        <v/>
      </c>
      <c r="G8" s="140">
        <f>Production!G7*(Assumptions!$C$29*(1+Assumptions!$C$30)^0)</f>
        <v/>
      </c>
      <c r="H8" s="140">
        <f>Production!H7*(Assumptions!$C$29*(1+Assumptions!$C$30)^0)</f>
        <v/>
      </c>
      <c r="I8" s="140">
        <f>Production!I7*(Assumptions!$C$29*(1+Assumptions!$C$30)^0)</f>
        <v/>
      </c>
      <c r="J8" s="140">
        <f>Production!J7*(Assumptions!$C$29*(1+Assumptions!$C$30)^0)</f>
        <v/>
      </c>
      <c r="K8" s="140">
        <f>Production!K7*(Assumptions!$C$29*(1+Assumptions!$C$30)^0)</f>
        <v/>
      </c>
      <c r="L8" s="140">
        <f>Production!L7*(Assumptions!$C$29*(1+Assumptions!$C$30)^0)</f>
        <v/>
      </c>
      <c r="M8" s="140">
        <f>Production!M7*(Assumptions!$C$29*(1+Assumptions!$C$30)^0)</f>
        <v/>
      </c>
      <c r="N8" s="139">
        <f>SUM(B8:M8)</f>
        <v/>
      </c>
      <c r="O8" s="140">
        <f>Production!O7*(Assumptions!$C$29*(1+Assumptions!$C$30)^1)</f>
        <v/>
      </c>
      <c r="P8" s="140">
        <f>Production!P7*(Assumptions!$C$29*(1+Assumptions!$C$30)^1)</f>
        <v/>
      </c>
      <c r="Q8" s="140">
        <f>Production!Q7*(Assumptions!$C$29*(1+Assumptions!$C$30)^1)</f>
        <v/>
      </c>
      <c r="R8" s="140">
        <f>Production!R7*(Assumptions!$C$29*(1+Assumptions!$C$30)^1)</f>
        <v/>
      </c>
      <c r="S8" s="140">
        <f>Production!S7*(Assumptions!$C$29*(1+Assumptions!$C$30)^1)</f>
        <v/>
      </c>
      <c r="T8" s="140">
        <f>Production!T7*(Assumptions!$C$29*(1+Assumptions!$C$30)^1)</f>
        <v/>
      </c>
      <c r="U8" s="140">
        <f>Production!U7*(Assumptions!$C$29*(1+Assumptions!$C$30)^1)</f>
        <v/>
      </c>
      <c r="V8" s="140">
        <f>Production!V7*(Assumptions!$C$29*(1+Assumptions!$C$30)^1)</f>
        <v/>
      </c>
      <c r="W8" s="140">
        <f>Production!W7*(Assumptions!$C$29*(1+Assumptions!$C$30)^1)</f>
        <v/>
      </c>
      <c r="X8" s="140">
        <f>Production!X7*(Assumptions!$C$29*(1+Assumptions!$C$30)^1)</f>
        <v/>
      </c>
      <c r="Y8" s="140">
        <f>Production!Y7*(Assumptions!$C$29*(1+Assumptions!$C$30)^1)</f>
        <v/>
      </c>
      <c r="Z8" s="140">
        <f>Production!Z7*(Assumptions!$C$29*(1+Assumptions!$C$30)^1)</f>
        <v/>
      </c>
      <c r="AA8" s="139">
        <f>SUM(O8:Z8)</f>
        <v/>
      </c>
      <c r="AB8" s="140">
        <f>Production!AB7*(Assumptions!$C$29*(1+Assumptions!$C$30)^2)</f>
        <v/>
      </c>
      <c r="AC8" s="140">
        <f>Production!AC7*(Assumptions!$C$29*(1+Assumptions!$C$30)^2)</f>
        <v/>
      </c>
      <c r="AD8" s="140">
        <f>Production!AD7*(Assumptions!$C$29*(1+Assumptions!$C$30)^2)</f>
        <v/>
      </c>
      <c r="AE8" s="140">
        <f>Production!AE7*(Assumptions!$C$29*(1+Assumptions!$C$30)^2)</f>
        <v/>
      </c>
      <c r="AF8" s="140">
        <f>Production!AF7*(Assumptions!$C$29*(1+Assumptions!$C$30)^2)</f>
        <v/>
      </c>
      <c r="AG8" s="140">
        <f>Production!AG7*(Assumptions!$C$29*(1+Assumptions!$C$30)^2)</f>
        <v/>
      </c>
      <c r="AH8" s="140">
        <f>Production!AH7*(Assumptions!$C$29*(1+Assumptions!$C$30)^2)</f>
        <v/>
      </c>
      <c r="AI8" s="140">
        <f>Production!AI7*(Assumptions!$C$29*(1+Assumptions!$C$30)^2)</f>
        <v/>
      </c>
      <c r="AJ8" s="140">
        <f>Production!AJ7*(Assumptions!$C$29*(1+Assumptions!$C$30)^2)</f>
        <v/>
      </c>
      <c r="AK8" s="140">
        <f>Production!AK7*(Assumptions!$C$29*(1+Assumptions!$C$30)^2)</f>
        <v/>
      </c>
      <c r="AL8" s="140">
        <f>Production!AL7*(Assumptions!$C$29*(1+Assumptions!$C$30)^2)</f>
        <v/>
      </c>
      <c r="AM8" s="140">
        <f>Production!AM7*(Assumptions!$C$29*(1+Assumptions!$C$30)^2)</f>
        <v/>
      </c>
      <c r="AN8" s="139">
        <f>SUM(AB8:AM8)</f>
        <v/>
      </c>
      <c r="AO8" s="140">
        <f>Production!AO7*(Assumptions!$C$29*(1+Assumptions!$C$30)^3)</f>
        <v/>
      </c>
      <c r="AP8" s="140">
        <f>Production!AP7*(Assumptions!$C$29*(1+Assumptions!$C$30)^3)</f>
        <v/>
      </c>
      <c r="AQ8" s="140">
        <f>Production!AQ7*(Assumptions!$C$29*(1+Assumptions!$C$30)^3)</f>
        <v/>
      </c>
      <c r="AR8" s="140">
        <f>Production!AR7*(Assumptions!$C$29*(1+Assumptions!$C$30)^3)</f>
        <v/>
      </c>
      <c r="AS8" s="140">
        <f>Production!AS7*(Assumptions!$C$29*(1+Assumptions!$C$30)^3)</f>
        <v/>
      </c>
      <c r="AT8" s="140">
        <f>Production!AT7*(Assumptions!$C$29*(1+Assumptions!$C$30)^3)</f>
        <v/>
      </c>
      <c r="AU8" s="140">
        <f>Production!AU7*(Assumptions!$C$29*(1+Assumptions!$C$30)^3)</f>
        <v/>
      </c>
      <c r="AV8" s="140">
        <f>Production!AV7*(Assumptions!$C$29*(1+Assumptions!$C$30)^3)</f>
        <v/>
      </c>
      <c r="AW8" s="140">
        <f>Production!AW7*(Assumptions!$C$29*(1+Assumptions!$C$30)^3)</f>
        <v/>
      </c>
      <c r="AX8" s="140">
        <f>Production!AX7*(Assumptions!$C$29*(1+Assumptions!$C$30)^3)</f>
        <v/>
      </c>
      <c r="AY8" s="140">
        <f>Production!AY7*(Assumptions!$C$29*(1+Assumptions!$C$30)^3)</f>
        <v/>
      </c>
      <c r="AZ8" s="140">
        <f>Production!AZ7*(Assumptions!$C$29*(1+Assumptions!$C$30)^3)</f>
        <v/>
      </c>
      <c r="BA8" s="139">
        <f>SUM(AO8:AZ8)</f>
        <v/>
      </c>
      <c r="BB8" s="140">
        <f>Production!BB7*(Assumptions!$C$29*(1+Assumptions!$C$30)^4)</f>
        <v/>
      </c>
      <c r="BC8" s="140">
        <f>Production!BC7*(Assumptions!$C$29*(1+Assumptions!$C$30)^4)</f>
        <v/>
      </c>
      <c r="BD8" s="140">
        <f>Production!BD7*(Assumptions!$C$29*(1+Assumptions!$C$30)^4)</f>
        <v/>
      </c>
      <c r="BE8" s="140">
        <f>Production!BE7*(Assumptions!$C$29*(1+Assumptions!$C$30)^4)</f>
        <v/>
      </c>
      <c r="BF8" s="140">
        <f>Production!BF7*(Assumptions!$C$29*(1+Assumptions!$C$30)^4)</f>
        <v/>
      </c>
      <c r="BG8" s="140">
        <f>Production!BG7*(Assumptions!$C$29*(1+Assumptions!$C$30)^4)</f>
        <v/>
      </c>
      <c r="BH8" s="140">
        <f>Production!BH7*(Assumptions!$C$29*(1+Assumptions!$C$30)^4)</f>
        <v/>
      </c>
      <c r="BI8" s="140">
        <f>Production!BI7*(Assumptions!$C$29*(1+Assumptions!$C$30)^4)</f>
        <v/>
      </c>
      <c r="BJ8" s="140">
        <f>Production!BJ7*(Assumptions!$C$29*(1+Assumptions!$C$30)^4)</f>
        <v/>
      </c>
      <c r="BK8" s="140">
        <f>Production!BK7*(Assumptions!$C$29*(1+Assumptions!$C$30)^4)</f>
        <v/>
      </c>
      <c r="BL8" s="140">
        <f>Production!BL7*(Assumptions!$C$29*(1+Assumptions!$C$30)^4)</f>
        <v/>
      </c>
      <c r="BM8" s="140">
        <f>Production!BM7*(Assumptions!$C$29*(1+Assumptions!$C$30)^4)</f>
        <v/>
      </c>
      <c r="BN8" s="139">
        <f>SUM(BB8:BM8)</f>
        <v/>
      </c>
    </row>
    <row r="9" ht="15" customHeight="1" s="82">
      <c r="A9" s="88">
        <f>IFERROR(VLOOKUP(Assumptions!$J$5,INDUSTRY_MAP,8,FALSE()),"Factory overheads")</f>
        <v/>
      </c>
      <c r="B9" s="143">
        <f>Assumptions!$C$34*(1+Assumptions!$C$35)^0</f>
        <v/>
      </c>
      <c r="C9" s="143">
        <f>Assumptions!$C$34*(1+Assumptions!$C$35)^0</f>
        <v/>
      </c>
      <c r="D9" s="143">
        <f>Assumptions!$C$34*(1+Assumptions!$C$35)^0</f>
        <v/>
      </c>
      <c r="E9" s="143">
        <f>Assumptions!$C$34*(1+Assumptions!$C$35)^0</f>
        <v/>
      </c>
      <c r="F9" s="143">
        <f>Assumptions!$C$34*(1+Assumptions!$C$35)^0</f>
        <v/>
      </c>
      <c r="G9" s="143">
        <f>Assumptions!$C$34*(1+Assumptions!$C$35)^0</f>
        <v/>
      </c>
      <c r="H9" s="143">
        <f>Assumptions!$C$34*(1+Assumptions!$C$35)^0</f>
        <v/>
      </c>
      <c r="I9" s="143">
        <f>Assumptions!$C$34*(1+Assumptions!$C$35)^0</f>
        <v/>
      </c>
      <c r="J9" s="143">
        <f>Assumptions!$C$34*(1+Assumptions!$C$35)^0</f>
        <v/>
      </c>
      <c r="K9" s="143">
        <f>Assumptions!$C$34*(1+Assumptions!$C$35)^0</f>
        <v/>
      </c>
      <c r="L9" s="143">
        <f>Assumptions!$C$34*(1+Assumptions!$C$35)^0</f>
        <v/>
      </c>
      <c r="M9" s="143">
        <f>Assumptions!$C$34*(1+Assumptions!$C$35)^0</f>
        <v/>
      </c>
      <c r="N9" s="139">
        <f>SUM(B9:M9)</f>
        <v/>
      </c>
      <c r="O9" s="143">
        <f>Assumptions!$C$34*(1+Assumptions!$C$35)^1</f>
        <v/>
      </c>
      <c r="P9" s="143">
        <f>Assumptions!$C$34*(1+Assumptions!$C$35)^1</f>
        <v/>
      </c>
      <c r="Q9" s="143">
        <f>Assumptions!$C$34*(1+Assumptions!$C$35)^1</f>
        <v/>
      </c>
      <c r="R9" s="143">
        <f>Assumptions!$C$34*(1+Assumptions!$C$35)^1</f>
        <v/>
      </c>
      <c r="S9" s="143">
        <f>Assumptions!$C$34*(1+Assumptions!$C$35)^1</f>
        <v/>
      </c>
      <c r="T9" s="143">
        <f>Assumptions!$C$34*(1+Assumptions!$C$35)^1</f>
        <v/>
      </c>
      <c r="U9" s="143">
        <f>Assumptions!$C$34*(1+Assumptions!$C$35)^1</f>
        <v/>
      </c>
      <c r="V9" s="143">
        <f>Assumptions!$C$34*(1+Assumptions!$C$35)^1</f>
        <v/>
      </c>
      <c r="W9" s="143">
        <f>Assumptions!$C$34*(1+Assumptions!$C$35)^1</f>
        <v/>
      </c>
      <c r="X9" s="143">
        <f>Assumptions!$C$34*(1+Assumptions!$C$35)^1</f>
        <v/>
      </c>
      <c r="Y9" s="143">
        <f>Assumptions!$C$34*(1+Assumptions!$C$35)^1</f>
        <v/>
      </c>
      <c r="Z9" s="143">
        <f>Assumptions!$C$34*(1+Assumptions!$C$35)^1</f>
        <v/>
      </c>
      <c r="AA9" s="139">
        <f>SUM(O9:Z9)</f>
        <v/>
      </c>
      <c r="AB9" s="143">
        <f>Assumptions!$C$34*(1+Assumptions!$C$35)^2</f>
        <v/>
      </c>
      <c r="AC9" s="143">
        <f>Assumptions!$C$34*(1+Assumptions!$C$35)^2</f>
        <v/>
      </c>
      <c r="AD9" s="143">
        <f>Assumptions!$C$34*(1+Assumptions!$C$35)^2</f>
        <v/>
      </c>
      <c r="AE9" s="143">
        <f>Assumptions!$C$34*(1+Assumptions!$C$35)^2</f>
        <v/>
      </c>
      <c r="AF9" s="143">
        <f>Assumptions!$C$34*(1+Assumptions!$C$35)^2</f>
        <v/>
      </c>
      <c r="AG9" s="143">
        <f>Assumptions!$C$34*(1+Assumptions!$C$35)^2</f>
        <v/>
      </c>
      <c r="AH9" s="143">
        <f>Assumptions!$C$34*(1+Assumptions!$C$35)^2</f>
        <v/>
      </c>
      <c r="AI9" s="143">
        <f>Assumptions!$C$34*(1+Assumptions!$C$35)^2</f>
        <v/>
      </c>
      <c r="AJ9" s="143">
        <f>Assumptions!$C$34*(1+Assumptions!$C$35)^2</f>
        <v/>
      </c>
      <c r="AK9" s="143">
        <f>Assumptions!$C$34*(1+Assumptions!$C$35)^2</f>
        <v/>
      </c>
      <c r="AL9" s="143">
        <f>Assumptions!$C$34*(1+Assumptions!$C$35)^2</f>
        <v/>
      </c>
      <c r="AM9" s="143">
        <f>Assumptions!$C$34*(1+Assumptions!$C$35)^2</f>
        <v/>
      </c>
      <c r="AN9" s="139">
        <f>SUM(AB9:AM9)</f>
        <v/>
      </c>
      <c r="AO9" s="143">
        <f>Assumptions!$C$34*(1+Assumptions!$C$35)^3</f>
        <v/>
      </c>
      <c r="AP9" s="143">
        <f>Assumptions!$C$34*(1+Assumptions!$C$35)^3</f>
        <v/>
      </c>
      <c r="AQ9" s="143">
        <f>Assumptions!$C$34*(1+Assumptions!$C$35)^3</f>
        <v/>
      </c>
      <c r="AR9" s="143">
        <f>Assumptions!$C$34*(1+Assumptions!$C$35)^3</f>
        <v/>
      </c>
      <c r="AS9" s="143">
        <f>Assumptions!$C$34*(1+Assumptions!$C$35)^3</f>
        <v/>
      </c>
      <c r="AT9" s="143">
        <f>Assumptions!$C$34*(1+Assumptions!$C$35)^3</f>
        <v/>
      </c>
      <c r="AU9" s="143">
        <f>Assumptions!$C$34*(1+Assumptions!$C$35)^3</f>
        <v/>
      </c>
      <c r="AV9" s="143">
        <f>Assumptions!$C$34*(1+Assumptions!$C$35)^3</f>
        <v/>
      </c>
      <c r="AW9" s="143">
        <f>Assumptions!$C$34*(1+Assumptions!$C$35)^3</f>
        <v/>
      </c>
      <c r="AX9" s="143">
        <f>Assumptions!$C$34*(1+Assumptions!$C$35)^3</f>
        <v/>
      </c>
      <c r="AY9" s="143">
        <f>Assumptions!$C$34*(1+Assumptions!$C$35)^3</f>
        <v/>
      </c>
      <c r="AZ9" s="143">
        <f>Assumptions!$C$34*(1+Assumptions!$C$35)^3</f>
        <v/>
      </c>
      <c r="BA9" s="139">
        <f>SUM(AO9:AZ9)</f>
        <v/>
      </c>
      <c r="BB9" s="143">
        <f>Assumptions!$C$34*(1+Assumptions!$C$35)^4</f>
        <v/>
      </c>
      <c r="BC9" s="143">
        <f>Assumptions!$C$34*(1+Assumptions!$C$35)^4</f>
        <v/>
      </c>
      <c r="BD9" s="143">
        <f>Assumptions!$C$34*(1+Assumptions!$C$35)^4</f>
        <v/>
      </c>
      <c r="BE9" s="143">
        <f>Assumptions!$C$34*(1+Assumptions!$C$35)^4</f>
        <v/>
      </c>
      <c r="BF9" s="143">
        <f>Assumptions!$C$34*(1+Assumptions!$C$35)^4</f>
        <v/>
      </c>
      <c r="BG9" s="143">
        <f>Assumptions!$C$34*(1+Assumptions!$C$35)^4</f>
        <v/>
      </c>
      <c r="BH9" s="143">
        <f>Assumptions!$C$34*(1+Assumptions!$C$35)^4</f>
        <v/>
      </c>
      <c r="BI9" s="143">
        <f>Assumptions!$C$34*(1+Assumptions!$C$35)^4</f>
        <v/>
      </c>
      <c r="BJ9" s="143">
        <f>Assumptions!$C$34*(1+Assumptions!$C$35)^4</f>
        <v/>
      </c>
      <c r="BK9" s="143">
        <f>Assumptions!$C$34*(1+Assumptions!$C$35)^4</f>
        <v/>
      </c>
      <c r="BL9" s="143">
        <f>Assumptions!$C$34*(1+Assumptions!$C$35)^4</f>
        <v/>
      </c>
      <c r="BM9" s="143">
        <f>Assumptions!$C$34*(1+Assumptions!$C$35)^4</f>
        <v/>
      </c>
      <c r="BN9" s="139">
        <f>SUM(BB9:BM9)</f>
        <v/>
      </c>
    </row>
    <row r="10" ht="15" customHeight="1" s="82">
      <c r="A10" s="88" t="inlineStr">
        <is>
          <t>Repairs &amp; maintenance</t>
        </is>
      </c>
      <c r="B10" s="143">
        <f>Assumptions!$C$36*(1+Assumptions!$C$37)^0</f>
        <v/>
      </c>
      <c r="C10" s="143">
        <f>Assumptions!$C$36*(1+Assumptions!$C$37)^0</f>
        <v/>
      </c>
      <c r="D10" s="143">
        <f>Assumptions!$C$36*(1+Assumptions!$C$37)^0</f>
        <v/>
      </c>
      <c r="E10" s="143">
        <f>Assumptions!$C$36*(1+Assumptions!$C$37)^0</f>
        <v/>
      </c>
      <c r="F10" s="143">
        <f>Assumptions!$C$36*(1+Assumptions!$C$37)^0</f>
        <v/>
      </c>
      <c r="G10" s="143">
        <f>Assumptions!$C$36*(1+Assumptions!$C$37)^0</f>
        <v/>
      </c>
      <c r="H10" s="143">
        <f>Assumptions!$C$36*(1+Assumptions!$C$37)^0</f>
        <v/>
      </c>
      <c r="I10" s="143">
        <f>Assumptions!$C$36*(1+Assumptions!$C$37)^0</f>
        <v/>
      </c>
      <c r="J10" s="143">
        <f>Assumptions!$C$36*(1+Assumptions!$C$37)^0</f>
        <v/>
      </c>
      <c r="K10" s="143">
        <f>Assumptions!$C$36*(1+Assumptions!$C$37)^0</f>
        <v/>
      </c>
      <c r="L10" s="143">
        <f>Assumptions!$C$36*(1+Assumptions!$C$37)^0</f>
        <v/>
      </c>
      <c r="M10" s="143">
        <f>Assumptions!$C$36*(1+Assumptions!$C$37)^0</f>
        <v/>
      </c>
      <c r="N10" s="139">
        <f>SUM(B10:M10)</f>
        <v/>
      </c>
      <c r="O10" s="143">
        <f>Assumptions!$C$36*(1+Assumptions!$C$37)^1</f>
        <v/>
      </c>
      <c r="P10" s="143">
        <f>Assumptions!$C$36*(1+Assumptions!$C$37)^1</f>
        <v/>
      </c>
      <c r="Q10" s="143">
        <f>Assumptions!$C$36*(1+Assumptions!$C$37)^1</f>
        <v/>
      </c>
      <c r="R10" s="143">
        <f>Assumptions!$C$36*(1+Assumptions!$C$37)^1</f>
        <v/>
      </c>
      <c r="S10" s="143">
        <f>Assumptions!$C$36*(1+Assumptions!$C$37)^1</f>
        <v/>
      </c>
      <c r="T10" s="143">
        <f>Assumptions!$C$36*(1+Assumptions!$C$37)^1</f>
        <v/>
      </c>
      <c r="U10" s="143">
        <f>Assumptions!$C$36*(1+Assumptions!$C$37)^1</f>
        <v/>
      </c>
      <c r="V10" s="143">
        <f>Assumptions!$C$36*(1+Assumptions!$C$37)^1</f>
        <v/>
      </c>
      <c r="W10" s="143">
        <f>Assumptions!$C$36*(1+Assumptions!$C$37)^1</f>
        <v/>
      </c>
      <c r="X10" s="143">
        <f>Assumptions!$C$36*(1+Assumptions!$C$37)^1</f>
        <v/>
      </c>
      <c r="Y10" s="143">
        <f>Assumptions!$C$36*(1+Assumptions!$C$37)^1</f>
        <v/>
      </c>
      <c r="Z10" s="143">
        <f>Assumptions!$C$36*(1+Assumptions!$C$37)^1</f>
        <v/>
      </c>
      <c r="AA10" s="139">
        <f>SUM(O10:Z10)</f>
        <v/>
      </c>
      <c r="AB10" s="143">
        <f>Assumptions!$C$36*(1+Assumptions!$C$37)^2</f>
        <v/>
      </c>
      <c r="AC10" s="143">
        <f>Assumptions!$C$36*(1+Assumptions!$C$37)^2</f>
        <v/>
      </c>
      <c r="AD10" s="143">
        <f>Assumptions!$C$36*(1+Assumptions!$C$37)^2</f>
        <v/>
      </c>
      <c r="AE10" s="143">
        <f>Assumptions!$C$36*(1+Assumptions!$C$37)^2</f>
        <v/>
      </c>
      <c r="AF10" s="143">
        <f>Assumptions!$C$36*(1+Assumptions!$C$37)^2</f>
        <v/>
      </c>
      <c r="AG10" s="143">
        <f>Assumptions!$C$36*(1+Assumptions!$C$37)^2</f>
        <v/>
      </c>
      <c r="AH10" s="143">
        <f>Assumptions!$C$36*(1+Assumptions!$C$37)^2</f>
        <v/>
      </c>
      <c r="AI10" s="143">
        <f>Assumptions!$C$36*(1+Assumptions!$C$37)^2</f>
        <v/>
      </c>
      <c r="AJ10" s="143">
        <f>Assumptions!$C$36*(1+Assumptions!$C$37)^2</f>
        <v/>
      </c>
      <c r="AK10" s="143">
        <f>Assumptions!$C$36*(1+Assumptions!$C$37)^2</f>
        <v/>
      </c>
      <c r="AL10" s="143">
        <f>Assumptions!$C$36*(1+Assumptions!$C$37)^2</f>
        <v/>
      </c>
      <c r="AM10" s="143">
        <f>Assumptions!$C$36*(1+Assumptions!$C$37)^2</f>
        <v/>
      </c>
      <c r="AN10" s="139">
        <f>SUM(AB10:AM10)</f>
        <v/>
      </c>
      <c r="AO10" s="143">
        <f>Assumptions!$C$36*(1+Assumptions!$C$37)^3</f>
        <v/>
      </c>
      <c r="AP10" s="143">
        <f>Assumptions!$C$36*(1+Assumptions!$C$37)^3</f>
        <v/>
      </c>
      <c r="AQ10" s="143">
        <f>Assumptions!$C$36*(1+Assumptions!$C$37)^3</f>
        <v/>
      </c>
      <c r="AR10" s="143">
        <f>Assumptions!$C$36*(1+Assumptions!$C$37)^3</f>
        <v/>
      </c>
      <c r="AS10" s="143">
        <f>Assumptions!$C$36*(1+Assumptions!$C$37)^3</f>
        <v/>
      </c>
      <c r="AT10" s="143">
        <f>Assumptions!$C$36*(1+Assumptions!$C$37)^3</f>
        <v/>
      </c>
      <c r="AU10" s="143">
        <f>Assumptions!$C$36*(1+Assumptions!$C$37)^3</f>
        <v/>
      </c>
      <c r="AV10" s="143">
        <f>Assumptions!$C$36*(1+Assumptions!$C$37)^3</f>
        <v/>
      </c>
      <c r="AW10" s="143">
        <f>Assumptions!$C$36*(1+Assumptions!$C$37)^3</f>
        <v/>
      </c>
      <c r="AX10" s="143">
        <f>Assumptions!$C$36*(1+Assumptions!$C$37)^3</f>
        <v/>
      </c>
      <c r="AY10" s="143">
        <f>Assumptions!$C$36*(1+Assumptions!$C$37)^3</f>
        <v/>
      </c>
      <c r="AZ10" s="143">
        <f>Assumptions!$C$36*(1+Assumptions!$C$37)^3</f>
        <v/>
      </c>
      <c r="BA10" s="139">
        <f>SUM(AO10:AZ10)</f>
        <v/>
      </c>
      <c r="BB10" s="143">
        <f>Assumptions!$C$36*(1+Assumptions!$C$37)^4</f>
        <v/>
      </c>
      <c r="BC10" s="143">
        <f>Assumptions!$C$36*(1+Assumptions!$C$37)^4</f>
        <v/>
      </c>
      <c r="BD10" s="143">
        <f>Assumptions!$C$36*(1+Assumptions!$C$37)^4</f>
        <v/>
      </c>
      <c r="BE10" s="143">
        <f>Assumptions!$C$36*(1+Assumptions!$C$37)^4</f>
        <v/>
      </c>
      <c r="BF10" s="143">
        <f>Assumptions!$C$36*(1+Assumptions!$C$37)^4</f>
        <v/>
      </c>
      <c r="BG10" s="143">
        <f>Assumptions!$C$36*(1+Assumptions!$C$37)^4</f>
        <v/>
      </c>
      <c r="BH10" s="143">
        <f>Assumptions!$C$36*(1+Assumptions!$C$37)^4</f>
        <v/>
      </c>
      <c r="BI10" s="143">
        <f>Assumptions!$C$36*(1+Assumptions!$C$37)^4</f>
        <v/>
      </c>
      <c r="BJ10" s="143">
        <f>Assumptions!$C$36*(1+Assumptions!$C$37)^4</f>
        <v/>
      </c>
      <c r="BK10" s="143">
        <f>Assumptions!$C$36*(1+Assumptions!$C$37)^4</f>
        <v/>
      </c>
      <c r="BL10" s="143">
        <f>Assumptions!$C$36*(1+Assumptions!$C$37)^4</f>
        <v/>
      </c>
      <c r="BM10" s="143">
        <f>Assumptions!$C$36*(1+Assumptions!$C$37)^4</f>
        <v/>
      </c>
      <c r="BN10" s="139">
        <f>SUM(BB10:BM10)</f>
        <v/>
      </c>
    </row>
    <row r="11" ht="15" customHeight="1" s="82">
      <c r="A11" s="88" t="inlineStr">
        <is>
          <t>Administrative expenses</t>
        </is>
      </c>
      <c r="B11" s="143">
        <f>Assumptions!$C$38*(1+Assumptions!$C$39)^0</f>
        <v/>
      </c>
      <c r="C11" s="143">
        <f>Assumptions!$C$38*(1+Assumptions!$C$39)^0</f>
        <v/>
      </c>
      <c r="D11" s="143">
        <f>Assumptions!$C$38*(1+Assumptions!$C$39)^0</f>
        <v/>
      </c>
      <c r="E11" s="143">
        <f>Assumptions!$C$38*(1+Assumptions!$C$39)^0</f>
        <v/>
      </c>
      <c r="F11" s="143">
        <f>Assumptions!$C$38*(1+Assumptions!$C$39)^0</f>
        <v/>
      </c>
      <c r="G11" s="143">
        <f>Assumptions!$C$38*(1+Assumptions!$C$39)^0</f>
        <v/>
      </c>
      <c r="H11" s="143">
        <f>Assumptions!$C$38*(1+Assumptions!$C$39)^0</f>
        <v/>
      </c>
      <c r="I11" s="143">
        <f>Assumptions!$C$38*(1+Assumptions!$C$39)^0</f>
        <v/>
      </c>
      <c r="J11" s="143">
        <f>Assumptions!$C$38*(1+Assumptions!$C$39)^0</f>
        <v/>
      </c>
      <c r="K11" s="143">
        <f>Assumptions!$C$38*(1+Assumptions!$C$39)^0</f>
        <v/>
      </c>
      <c r="L11" s="143">
        <f>Assumptions!$C$38*(1+Assumptions!$C$39)^0</f>
        <v/>
      </c>
      <c r="M11" s="143">
        <f>Assumptions!$C$38*(1+Assumptions!$C$39)^0</f>
        <v/>
      </c>
      <c r="N11" s="139">
        <f>SUM(B11:M11)</f>
        <v/>
      </c>
      <c r="O11" s="143">
        <f>Assumptions!$C$38*(1+Assumptions!$C$39)^1</f>
        <v/>
      </c>
      <c r="P11" s="143">
        <f>Assumptions!$C$38*(1+Assumptions!$C$39)^1</f>
        <v/>
      </c>
      <c r="Q11" s="143">
        <f>Assumptions!$C$38*(1+Assumptions!$C$39)^1</f>
        <v/>
      </c>
      <c r="R11" s="143">
        <f>Assumptions!$C$38*(1+Assumptions!$C$39)^1</f>
        <v/>
      </c>
      <c r="S11" s="143">
        <f>Assumptions!$C$38*(1+Assumptions!$C$39)^1</f>
        <v/>
      </c>
      <c r="T11" s="143">
        <f>Assumptions!$C$38*(1+Assumptions!$C$39)^1</f>
        <v/>
      </c>
      <c r="U11" s="143">
        <f>Assumptions!$C$38*(1+Assumptions!$C$39)^1</f>
        <v/>
      </c>
      <c r="V11" s="143">
        <f>Assumptions!$C$38*(1+Assumptions!$C$39)^1</f>
        <v/>
      </c>
      <c r="W11" s="143">
        <f>Assumptions!$C$38*(1+Assumptions!$C$39)^1</f>
        <v/>
      </c>
      <c r="X11" s="143">
        <f>Assumptions!$C$38*(1+Assumptions!$C$39)^1</f>
        <v/>
      </c>
      <c r="Y11" s="143">
        <f>Assumptions!$C$38*(1+Assumptions!$C$39)^1</f>
        <v/>
      </c>
      <c r="Z11" s="143">
        <f>Assumptions!$C$38*(1+Assumptions!$C$39)^1</f>
        <v/>
      </c>
      <c r="AA11" s="139">
        <f>SUM(O11:Z11)</f>
        <v/>
      </c>
      <c r="AB11" s="143">
        <f>Assumptions!$C$38*(1+Assumptions!$C$39)^2</f>
        <v/>
      </c>
      <c r="AC11" s="143">
        <f>Assumptions!$C$38*(1+Assumptions!$C$39)^2</f>
        <v/>
      </c>
      <c r="AD11" s="143">
        <f>Assumptions!$C$38*(1+Assumptions!$C$39)^2</f>
        <v/>
      </c>
      <c r="AE11" s="143">
        <f>Assumptions!$C$38*(1+Assumptions!$C$39)^2</f>
        <v/>
      </c>
      <c r="AF11" s="143">
        <f>Assumptions!$C$38*(1+Assumptions!$C$39)^2</f>
        <v/>
      </c>
      <c r="AG11" s="143">
        <f>Assumptions!$C$38*(1+Assumptions!$C$39)^2</f>
        <v/>
      </c>
      <c r="AH11" s="143">
        <f>Assumptions!$C$38*(1+Assumptions!$C$39)^2</f>
        <v/>
      </c>
      <c r="AI11" s="143">
        <f>Assumptions!$C$38*(1+Assumptions!$C$39)^2</f>
        <v/>
      </c>
      <c r="AJ11" s="143">
        <f>Assumptions!$C$38*(1+Assumptions!$C$39)^2</f>
        <v/>
      </c>
      <c r="AK11" s="143">
        <f>Assumptions!$C$38*(1+Assumptions!$C$39)^2</f>
        <v/>
      </c>
      <c r="AL11" s="143">
        <f>Assumptions!$C$38*(1+Assumptions!$C$39)^2</f>
        <v/>
      </c>
      <c r="AM11" s="143">
        <f>Assumptions!$C$38*(1+Assumptions!$C$39)^2</f>
        <v/>
      </c>
      <c r="AN11" s="139">
        <f>SUM(AB11:AM11)</f>
        <v/>
      </c>
      <c r="AO11" s="143">
        <f>Assumptions!$C$38*(1+Assumptions!$C$39)^3</f>
        <v/>
      </c>
      <c r="AP11" s="143">
        <f>Assumptions!$C$38*(1+Assumptions!$C$39)^3</f>
        <v/>
      </c>
      <c r="AQ11" s="143">
        <f>Assumptions!$C$38*(1+Assumptions!$C$39)^3</f>
        <v/>
      </c>
      <c r="AR11" s="143">
        <f>Assumptions!$C$38*(1+Assumptions!$C$39)^3</f>
        <v/>
      </c>
      <c r="AS11" s="143">
        <f>Assumptions!$C$38*(1+Assumptions!$C$39)^3</f>
        <v/>
      </c>
      <c r="AT11" s="143">
        <f>Assumptions!$C$38*(1+Assumptions!$C$39)^3</f>
        <v/>
      </c>
      <c r="AU11" s="143">
        <f>Assumptions!$C$38*(1+Assumptions!$C$39)^3</f>
        <v/>
      </c>
      <c r="AV11" s="143">
        <f>Assumptions!$C$38*(1+Assumptions!$C$39)^3</f>
        <v/>
      </c>
      <c r="AW11" s="143">
        <f>Assumptions!$C$38*(1+Assumptions!$C$39)^3</f>
        <v/>
      </c>
      <c r="AX11" s="143">
        <f>Assumptions!$C$38*(1+Assumptions!$C$39)^3</f>
        <v/>
      </c>
      <c r="AY11" s="143">
        <f>Assumptions!$C$38*(1+Assumptions!$C$39)^3</f>
        <v/>
      </c>
      <c r="AZ11" s="143">
        <f>Assumptions!$C$38*(1+Assumptions!$C$39)^3</f>
        <v/>
      </c>
      <c r="BA11" s="139">
        <f>SUM(AO11:AZ11)</f>
        <v/>
      </c>
      <c r="BB11" s="143">
        <f>Assumptions!$C$38*(1+Assumptions!$C$39)^4</f>
        <v/>
      </c>
      <c r="BC11" s="143">
        <f>Assumptions!$C$38*(1+Assumptions!$C$39)^4</f>
        <v/>
      </c>
      <c r="BD11" s="143">
        <f>Assumptions!$C$38*(1+Assumptions!$C$39)^4</f>
        <v/>
      </c>
      <c r="BE11" s="143">
        <f>Assumptions!$C$38*(1+Assumptions!$C$39)^4</f>
        <v/>
      </c>
      <c r="BF11" s="143">
        <f>Assumptions!$C$38*(1+Assumptions!$C$39)^4</f>
        <v/>
      </c>
      <c r="BG11" s="143">
        <f>Assumptions!$C$38*(1+Assumptions!$C$39)^4</f>
        <v/>
      </c>
      <c r="BH11" s="143">
        <f>Assumptions!$C$38*(1+Assumptions!$C$39)^4</f>
        <v/>
      </c>
      <c r="BI11" s="143">
        <f>Assumptions!$C$38*(1+Assumptions!$C$39)^4</f>
        <v/>
      </c>
      <c r="BJ11" s="143">
        <f>Assumptions!$C$38*(1+Assumptions!$C$39)^4</f>
        <v/>
      </c>
      <c r="BK11" s="143">
        <f>Assumptions!$C$38*(1+Assumptions!$C$39)^4</f>
        <v/>
      </c>
      <c r="BL11" s="143">
        <f>Assumptions!$C$38*(1+Assumptions!$C$39)^4</f>
        <v/>
      </c>
      <c r="BM11" s="143">
        <f>Assumptions!$C$38*(1+Assumptions!$C$39)^4</f>
        <v/>
      </c>
      <c r="BN11" s="139">
        <f>SUM(BB11:BM11)</f>
        <v/>
      </c>
    </row>
    <row r="12" ht="15" customHeight="1" s="82">
      <c r="A12" s="88" t="inlineStr">
        <is>
          <t>Selling &amp; distribution</t>
        </is>
      </c>
      <c r="B12" s="140">
        <f>Sales!B26*Assumptions!$C$40</f>
        <v/>
      </c>
      <c r="C12" s="140">
        <f>Sales!C26*Assumptions!$C$40</f>
        <v/>
      </c>
      <c r="D12" s="140">
        <f>Sales!D26*Assumptions!$C$40</f>
        <v/>
      </c>
      <c r="E12" s="140">
        <f>Sales!E26*Assumptions!$C$40</f>
        <v/>
      </c>
      <c r="F12" s="140">
        <f>Sales!F26*Assumptions!$C$40</f>
        <v/>
      </c>
      <c r="G12" s="140">
        <f>Sales!G26*Assumptions!$C$40</f>
        <v/>
      </c>
      <c r="H12" s="140">
        <f>Sales!H26*Assumptions!$C$40</f>
        <v/>
      </c>
      <c r="I12" s="140">
        <f>Sales!I26*Assumptions!$C$40</f>
        <v/>
      </c>
      <c r="J12" s="140">
        <f>Sales!J26*Assumptions!$C$40</f>
        <v/>
      </c>
      <c r="K12" s="140">
        <f>Sales!K26*Assumptions!$C$40</f>
        <v/>
      </c>
      <c r="L12" s="140">
        <f>Sales!L26*Assumptions!$C$40</f>
        <v/>
      </c>
      <c r="M12" s="140">
        <f>Sales!M26*Assumptions!$C$40</f>
        <v/>
      </c>
      <c r="N12" s="139">
        <f>SUM(B12:M12)</f>
        <v/>
      </c>
      <c r="O12" s="140">
        <f>Sales!O26*Assumptions!$C$40</f>
        <v/>
      </c>
      <c r="P12" s="140">
        <f>Sales!P26*Assumptions!$C$40</f>
        <v/>
      </c>
      <c r="Q12" s="140">
        <f>Sales!Q26*Assumptions!$C$40</f>
        <v/>
      </c>
      <c r="R12" s="140">
        <f>Sales!R26*Assumptions!$C$40</f>
        <v/>
      </c>
      <c r="S12" s="140">
        <f>Sales!S26*Assumptions!$C$40</f>
        <v/>
      </c>
      <c r="T12" s="140">
        <f>Sales!T26*Assumptions!$C$40</f>
        <v/>
      </c>
      <c r="U12" s="140">
        <f>Sales!U26*Assumptions!$C$40</f>
        <v/>
      </c>
      <c r="V12" s="140">
        <f>Sales!V26*Assumptions!$C$40</f>
        <v/>
      </c>
      <c r="W12" s="140">
        <f>Sales!W26*Assumptions!$C$40</f>
        <v/>
      </c>
      <c r="X12" s="140">
        <f>Sales!X26*Assumptions!$C$40</f>
        <v/>
      </c>
      <c r="Y12" s="140">
        <f>Sales!Y26*Assumptions!$C$40</f>
        <v/>
      </c>
      <c r="Z12" s="140">
        <f>Sales!Z26*Assumptions!$C$40</f>
        <v/>
      </c>
      <c r="AA12" s="139">
        <f>SUM(O12:Z12)</f>
        <v/>
      </c>
      <c r="AB12" s="140">
        <f>Sales!AB26*Assumptions!$C$40</f>
        <v/>
      </c>
      <c r="AC12" s="140">
        <f>Sales!AC26*Assumptions!$C$40</f>
        <v/>
      </c>
      <c r="AD12" s="140">
        <f>Sales!AD26*Assumptions!$C$40</f>
        <v/>
      </c>
      <c r="AE12" s="140">
        <f>Sales!AE26*Assumptions!$C$40</f>
        <v/>
      </c>
      <c r="AF12" s="140">
        <f>Sales!AF26*Assumptions!$C$40</f>
        <v/>
      </c>
      <c r="AG12" s="140">
        <f>Sales!AG26*Assumptions!$C$40</f>
        <v/>
      </c>
      <c r="AH12" s="140">
        <f>Sales!AH26*Assumptions!$C$40</f>
        <v/>
      </c>
      <c r="AI12" s="140">
        <f>Sales!AI26*Assumptions!$C$40</f>
        <v/>
      </c>
      <c r="AJ12" s="140">
        <f>Sales!AJ26*Assumptions!$C$40</f>
        <v/>
      </c>
      <c r="AK12" s="140">
        <f>Sales!AK26*Assumptions!$C$40</f>
        <v/>
      </c>
      <c r="AL12" s="140">
        <f>Sales!AL26*Assumptions!$C$40</f>
        <v/>
      </c>
      <c r="AM12" s="140">
        <f>Sales!AM26*Assumptions!$C$40</f>
        <v/>
      </c>
      <c r="AN12" s="139">
        <f>SUM(AB12:AM12)</f>
        <v/>
      </c>
      <c r="AO12" s="140">
        <f>Sales!AO26*Assumptions!$C$40</f>
        <v/>
      </c>
      <c r="AP12" s="140">
        <f>Sales!AP26*Assumptions!$C$40</f>
        <v/>
      </c>
      <c r="AQ12" s="140">
        <f>Sales!AQ26*Assumptions!$C$40</f>
        <v/>
      </c>
      <c r="AR12" s="140">
        <f>Sales!AR26*Assumptions!$C$40</f>
        <v/>
      </c>
      <c r="AS12" s="140">
        <f>Sales!AS26*Assumptions!$C$40</f>
        <v/>
      </c>
      <c r="AT12" s="140">
        <f>Sales!AT26*Assumptions!$C$40</f>
        <v/>
      </c>
      <c r="AU12" s="140">
        <f>Sales!AU26*Assumptions!$C$40</f>
        <v/>
      </c>
      <c r="AV12" s="140">
        <f>Sales!AV26*Assumptions!$C$40</f>
        <v/>
      </c>
      <c r="AW12" s="140">
        <f>Sales!AW26*Assumptions!$C$40</f>
        <v/>
      </c>
      <c r="AX12" s="140">
        <f>Sales!AX26*Assumptions!$C$40</f>
        <v/>
      </c>
      <c r="AY12" s="140">
        <f>Sales!AY26*Assumptions!$C$40</f>
        <v/>
      </c>
      <c r="AZ12" s="140">
        <f>Sales!AZ26*Assumptions!$C$40</f>
        <v/>
      </c>
      <c r="BA12" s="139">
        <f>SUM(AO12:AZ12)</f>
        <v/>
      </c>
      <c r="BB12" s="140">
        <f>Sales!BB26*Assumptions!$C$40</f>
        <v/>
      </c>
      <c r="BC12" s="140">
        <f>Sales!BC26*Assumptions!$C$40</f>
        <v/>
      </c>
      <c r="BD12" s="140">
        <f>Sales!BD26*Assumptions!$C$40</f>
        <v/>
      </c>
      <c r="BE12" s="140">
        <f>Sales!BE26*Assumptions!$C$40</f>
        <v/>
      </c>
      <c r="BF12" s="140">
        <f>Sales!BF26*Assumptions!$C$40</f>
        <v/>
      </c>
      <c r="BG12" s="140">
        <f>Sales!BG26*Assumptions!$C$40</f>
        <v/>
      </c>
      <c r="BH12" s="140">
        <f>Sales!BH26*Assumptions!$C$40</f>
        <v/>
      </c>
      <c r="BI12" s="140">
        <f>Sales!BI26*Assumptions!$C$40</f>
        <v/>
      </c>
      <c r="BJ12" s="140">
        <f>Sales!BJ26*Assumptions!$C$40</f>
        <v/>
      </c>
      <c r="BK12" s="140">
        <f>Sales!BK26*Assumptions!$C$40</f>
        <v/>
      </c>
      <c r="BL12" s="140">
        <f>Sales!BL26*Assumptions!$C$40</f>
        <v/>
      </c>
      <c r="BM12" s="140">
        <f>Sales!BM26*Assumptions!$C$40</f>
        <v/>
      </c>
      <c r="BN12" s="139">
        <f>SUM(BB12:BM12)</f>
        <v/>
      </c>
    </row>
    <row r="13" ht="15" customHeight="1" s="82">
      <c r="A13" s="88" t="inlineStr">
        <is>
          <t>Depreciation</t>
        </is>
      </c>
      <c r="B13" s="143">
        <f>(Assumptions!$C$43*Assumptions!$C$44+Assumptions!$C$45*Assumptions!$C$46+Assumptions!$C$47*Assumptions!$C$48)/12</f>
        <v/>
      </c>
      <c r="C13" s="143">
        <f>(Assumptions!$C$43*Assumptions!$C$44+Assumptions!$C$45*Assumptions!$C$46+Assumptions!$C$47*Assumptions!$C$48)/12</f>
        <v/>
      </c>
      <c r="D13" s="143">
        <f>(Assumptions!$C$43*Assumptions!$C$44+Assumptions!$C$45*Assumptions!$C$46+Assumptions!$C$47*Assumptions!$C$48)/12</f>
        <v/>
      </c>
      <c r="E13" s="143">
        <f>(Assumptions!$C$43*Assumptions!$C$44+Assumptions!$C$45*Assumptions!$C$46+Assumptions!$C$47*Assumptions!$C$48)/12</f>
        <v/>
      </c>
      <c r="F13" s="143">
        <f>(Assumptions!$C$43*Assumptions!$C$44+Assumptions!$C$45*Assumptions!$C$46+Assumptions!$C$47*Assumptions!$C$48)/12</f>
        <v/>
      </c>
      <c r="G13" s="143">
        <f>(Assumptions!$C$43*Assumptions!$C$44+Assumptions!$C$45*Assumptions!$C$46+Assumptions!$C$47*Assumptions!$C$48)/12</f>
        <v/>
      </c>
      <c r="H13" s="143">
        <f>(Assumptions!$C$43*Assumptions!$C$44+Assumptions!$C$45*Assumptions!$C$46+Assumptions!$C$47*Assumptions!$C$48)/12</f>
        <v/>
      </c>
      <c r="I13" s="143">
        <f>(Assumptions!$C$43*Assumptions!$C$44+Assumptions!$C$45*Assumptions!$C$46+Assumptions!$C$47*Assumptions!$C$48)/12</f>
        <v/>
      </c>
      <c r="J13" s="143">
        <f>(Assumptions!$C$43*Assumptions!$C$44+Assumptions!$C$45*Assumptions!$C$46+Assumptions!$C$47*Assumptions!$C$48)/12</f>
        <v/>
      </c>
      <c r="K13" s="143">
        <f>(Assumptions!$C$43*Assumptions!$C$44+Assumptions!$C$45*Assumptions!$C$46+Assumptions!$C$47*Assumptions!$C$48)/12</f>
        <v/>
      </c>
      <c r="L13" s="143">
        <f>(Assumptions!$C$43*Assumptions!$C$44+Assumptions!$C$45*Assumptions!$C$46+Assumptions!$C$47*Assumptions!$C$48)/12</f>
        <v/>
      </c>
      <c r="M13" s="143">
        <f>(Assumptions!$C$43*Assumptions!$C$44+Assumptions!$C$45*Assumptions!$C$46+Assumptions!$C$47*Assumptions!$C$48)/12</f>
        <v/>
      </c>
      <c r="N13" s="139">
        <f>SUM(B13:M13)</f>
        <v/>
      </c>
      <c r="O13" s="143">
        <f>(Assumptions!$C$43*Assumptions!$C$44+Assumptions!$C$45*Assumptions!$C$46+Assumptions!$C$47*Assumptions!$C$48)/12</f>
        <v/>
      </c>
      <c r="P13" s="143">
        <f>(Assumptions!$C$43*Assumptions!$C$44+Assumptions!$C$45*Assumptions!$C$46+Assumptions!$C$47*Assumptions!$C$48)/12</f>
        <v/>
      </c>
      <c r="Q13" s="143">
        <f>(Assumptions!$C$43*Assumptions!$C$44+Assumptions!$C$45*Assumptions!$C$46+Assumptions!$C$47*Assumptions!$C$48)/12</f>
        <v/>
      </c>
      <c r="R13" s="143">
        <f>(Assumptions!$C$43*Assumptions!$C$44+Assumptions!$C$45*Assumptions!$C$46+Assumptions!$C$47*Assumptions!$C$48)/12</f>
        <v/>
      </c>
      <c r="S13" s="143">
        <f>(Assumptions!$C$43*Assumptions!$C$44+Assumptions!$C$45*Assumptions!$C$46+Assumptions!$C$47*Assumptions!$C$48)/12</f>
        <v/>
      </c>
      <c r="T13" s="143">
        <f>(Assumptions!$C$43*Assumptions!$C$44+Assumptions!$C$45*Assumptions!$C$46+Assumptions!$C$47*Assumptions!$C$48)/12</f>
        <v/>
      </c>
      <c r="U13" s="143">
        <f>(Assumptions!$C$43*Assumptions!$C$44+Assumptions!$C$45*Assumptions!$C$46+Assumptions!$C$47*Assumptions!$C$48)/12</f>
        <v/>
      </c>
      <c r="V13" s="143">
        <f>(Assumptions!$C$43*Assumptions!$C$44+Assumptions!$C$45*Assumptions!$C$46+Assumptions!$C$47*Assumptions!$C$48)/12</f>
        <v/>
      </c>
      <c r="W13" s="143">
        <f>(Assumptions!$C$43*Assumptions!$C$44+Assumptions!$C$45*Assumptions!$C$46+Assumptions!$C$47*Assumptions!$C$48)/12</f>
        <v/>
      </c>
      <c r="X13" s="143">
        <f>(Assumptions!$C$43*Assumptions!$C$44+Assumptions!$C$45*Assumptions!$C$46+Assumptions!$C$47*Assumptions!$C$48)/12</f>
        <v/>
      </c>
      <c r="Y13" s="143">
        <f>(Assumptions!$C$43*Assumptions!$C$44+Assumptions!$C$45*Assumptions!$C$46+Assumptions!$C$47*Assumptions!$C$48)/12</f>
        <v/>
      </c>
      <c r="Z13" s="143">
        <f>(Assumptions!$C$43*Assumptions!$C$44+Assumptions!$C$45*Assumptions!$C$46+Assumptions!$C$47*Assumptions!$C$48)/12</f>
        <v/>
      </c>
      <c r="AA13" s="139">
        <f>SUM(O13:Z13)</f>
        <v/>
      </c>
      <c r="AB13" s="143">
        <f>(Assumptions!$C$43*Assumptions!$C$44+Assumptions!$C$45*Assumptions!$C$46+Assumptions!$C$47*Assumptions!$C$48)/12</f>
        <v/>
      </c>
      <c r="AC13" s="143">
        <f>(Assumptions!$C$43*Assumptions!$C$44+Assumptions!$C$45*Assumptions!$C$46+Assumptions!$C$47*Assumptions!$C$48)/12</f>
        <v/>
      </c>
      <c r="AD13" s="143">
        <f>(Assumptions!$C$43*Assumptions!$C$44+Assumptions!$C$45*Assumptions!$C$46+Assumptions!$C$47*Assumptions!$C$48)/12</f>
        <v/>
      </c>
      <c r="AE13" s="143">
        <f>(Assumptions!$C$43*Assumptions!$C$44+Assumptions!$C$45*Assumptions!$C$46+Assumptions!$C$47*Assumptions!$C$48)/12</f>
        <v/>
      </c>
      <c r="AF13" s="143">
        <f>(Assumptions!$C$43*Assumptions!$C$44+Assumptions!$C$45*Assumptions!$C$46+Assumptions!$C$47*Assumptions!$C$48)/12</f>
        <v/>
      </c>
      <c r="AG13" s="143">
        <f>(Assumptions!$C$43*Assumptions!$C$44+Assumptions!$C$45*Assumptions!$C$46+Assumptions!$C$47*Assumptions!$C$48)/12</f>
        <v/>
      </c>
      <c r="AH13" s="143">
        <f>(Assumptions!$C$43*Assumptions!$C$44+Assumptions!$C$45*Assumptions!$C$46+Assumptions!$C$47*Assumptions!$C$48)/12</f>
        <v/>
      </c>
      <c r="AI13" s="143">
        <f>(Assumptions!$C$43*Assumptions!$C$44+Assumptions!$C$45*Assumptions!$C$46+Assumptions!$C$47*Assumptions!$C$48)/12</f>
        <v/>
      </c>
      <c r="AJ13" s="143">
        <f>(Assumptions!$C$43*Assumptions!$C$44+Assumptions!$C$45*Assumptions!$C$46+Assumptions!$C$47*Assumptions!$C$48)/12</f>
        <v/>
      </c>
      <c r="AK13" s="143">
        <f>(Assumptions!$C$43*Assumptions!$C$44+Assumptions!$C$45*Assumptions!$C$46+Assumptions!$C$47*Assumptions!$C$48)/12</f>
        <v/>
      </c>
      <c r="AL13" s="143">
        <f>(Assumptions!$C$43*Assumptions!$C$44+Assumptions!$C$45*Assumptions!$C$46+Assumptions!$C$47*Assumptions!$C$48)/12</f>
        <v/>
      </c>
      <c r="AM13" s="143">
        <f>(Assumptions!$C$43*Assumptions!$C$44+Assumptions!$C$45*Assumptions!$C$46+Assumptions!$C$47*Assumptions!$C$48)/12</f>
        <v/>
      </c>
      <c r="AN13" s="139">
        <f>SUM(AB13:AM13)</f>
        <v/>
      </c>
      <c r="AO13" s="143">
        <f>(Assumptions!$C$43*Assumptions!$C$44+Assumptions!$C$45*Assumptions!$C$46+Assumptions!$C$47*Assumptions!$C$48)/12</f>
        <v/>
      </c>
      <c r="AP13" s="143">
        <f>(Assumptions!$C$43*Assumptions!$C$44+Assumptions!$C$45*Assumptions!$C$46+Assumptions!$C$47*Assumptions!$C$48)/12</f>
        <v/>
      </c>
      <c r="AQ13" s="143">
        <f>(Assumptions!$C$43*Assumptions!$C$44+Assumptions!$C$45*Assumptions!$C$46+Assumptions!$C$47*Assumptions!$C$48)/12</f>
        <v/>
      </c>
      <c r="AR13" s="143">
        <f>(Assumptions!$C$43*Assumptions!$C$44+Assumptions!$C$45*Assumptions!$C$46+Assumptions!$C$47*Assumptions!$C$48)/12</f>
        <v/>
      </c>
      <c r="AS13" s="143">
        <f>(Assumptions!$C$43*Assumptions!$C$44+Assumptions!$C$45*Assumptions!$C$46+Assumptions!$C$47*Assumptions!$C$48)/12</f>
        <v/>
      </c>
      <c r="AT13" s="143">
        <f>(Assumptions!$C$43*Assumptions!$C$44+Assumptions!$C$45*Assumptions!$C$46+Assumptions!$C$47*Assumptions!$C$48)/12</f>
        <v/>
      </c>
      <c r="AU13" s="143">
        <f>(Assumptions!$C$43*Assumptions!$C$44+Assumptions!$C$45*Assumptions!$C$46+Assumptions!$C$47*Assumptions!$C$48)/12</f>
        <v/>
      </c>
      <c r="AV13" s="143">
        <f>(Assumptions!$C$43*Assumptions!$C$44+Assumptions!$C$45*Assumptions!$C$46+Assumptions!$C$47*Assumptions!$C$48)/12</f>
        <v/>
      </c>
      <c r="AW13" s="143">
        <f>(Assumptions!$C$43*Assumptions!$C$44+Assumptions!$C$45*Assumptions!$C$46+Assumptions!$C$47*Assumptions!$C$48)/12</f>
        <v/>
      </c>
      <c r="AX13" s="143">
        <f>(Assumptions!$C$43*Assumptions!$C$44+Assumptions!$C$45*Assumptions!$C$46+Assumptions!$C$47*Assumptions!$C$48)/12</f>
        <v/>
      </c>
      <c r="AY13" s="143">
        <f>(Assumptions!$C$43*Assumptions!$C$44+Assumptions!$C$45*Assumptions!$C$46+Assumptions!$C$47*Assumptions!$C$48)/12</f>
        <v/>
      </c>
      <c r="AZ13" s="143">
        <f>(Assumptions!$C$43*Assumptions!$C$44+Assumptions!$C$45*Assumptions!$C$46+Assumptions!$C$47*Assumptions!$C$48)/12</f>
        <v/>
      </c>
      <c r="BA13" s="139">
        <f>SUM(AO13:AZ13)</f>
        <v/>
      </c>
      <c r="BB13" s="143">
        <f>(Assumptions!$C$43*Assumptions!$C$44+Assumptions!$C$45*Assumptions!$C$46+Assumptions!$C$47*Assumptions!$C$48)/12</f>
        <v/>
      </c>
      <c r="BC13" s="143">
        <f>(Assumptions!$C$43*Assumptions!$C$44+Assumptions!$C$45*Assumptions!$C$46+Assumptions!$C$47*Assumptions!$C$48)/12</f>
        <v/>
      </c>
      <c r="BD13" s="143">
        <f>(Assumptions!$C$43*Assumptions!$C$44+Assumptions!$C$45*Assumptions!$C$46+Assumptions!$C$47*Assumptions!$C$48)/12</f>
        <v/>
      </c>
      <c r="BE13" s="143">
        <f>(Assumptions!$C$43*Assumptions!$C$44+Assumptions!$C$45*Assumptions!$C$46+Assumptions!$C$47*Assumptions!$C$48)/12</f>
        <v/>
      </c>
      <c r="BF13" s="143">
        <f>(Assumptions!$C$43*Assumptions!$C$44+Assumptions!$C$45*Assumptions!$C$46+Assumptions!$C$47*Assumptions!$C$48)/12</f>
        <v/>
      </c>
      <c r="BG13" s="143">
        <f>(Assumptions!$C$43*Assumptions!$C$44+Assumptions!$C$45*Assumptions!$C$46+Assumptions!$C$47*Assumptions!$C$48)/12</f>
        <v/>
      </c>
      <c r="BH13" s="143">
        <f>(Assumptions!$C$43*Assumptions!$C$44+Assumptions!$C$45*Assumptions!$C$46+Assumptions!$C$47*Assumptions!$C$48)/12</f>
        <v/>
      </c>
      <c r="BI13" s="143">
        <f>(Assumptions!$C$43*Assumptions!$C$44+Assumptions!$C$45*Assumptions!$C$46+Assumptions!$C$47*Assumptions!$C$48)/12</f>
        <v/>
      </c>
      <c r="BJ13" s="143">
        <f>(Assumptions!$C$43*Assumptions!$C$44+Assumptions!$C$45*Assumptions!$C$46+Assumptions!$C$47*Assumptions!$C$48)/12</f>
        <v/>
      </c>
      <c r="BK13" s="143">
        <f>(Assumptions!$C$43*Assumptions!$C$44+Assumptions!$C$45*Assumptions!$C$46+Assumptions!$C$47*Assumptions!$C$48)/12</f>
        <v/>
      </c>
      <c r="BL13" s="143">
        <f>(Assumptions!$C$43*Assumptions!$C$44+Assumptions!$C$45*Assumptions!$C$46+Assumptions!$C$47*Assumptions!$C$48)/12</f>
        <v/>
      </c>
      <c r="BM13" s="143">
        <f>(Assumptions!$C$43*Assumptions!$C$44+Assumptions!$C$45*Assumptions!$C$46+Assumptions!$C$47*Assumptions!$C$48)/12</f>
        <v/>
      </c>
      <c r="BN13" s="139">
        <f>SUM(BB13:BM13)</f>
        <v/>
      </c>
    </row>
    <row r="14" ht="15" customHeight="1" s="82">
      <c r="A14" s="88" t="inlineStr">
        <is>
          <t>Interest — Term Loan</t>
        </is>
      </c>
      <c r="B14" s="140">
        <f>Repayment!C6/12+'Existing Loan'!C14/12</f>
        <v/>
      </c>
      <c r="C14" s="140">
        <f>Repayment!C6/12+'Existing Loan'!C14/12</f>
        <v/>
      </c>
      <c r="D14" s="140">
        <f>Repayment!C6/12+'Existing Loan'!C14/12</f>
        <v/>
      </c>
      <c r="E14" s="140">
        <f>Repayment!C6/12+'Existing Loan'!C14/12</f>
        <v/>
      </c>
      <c r="F14" s="140">
        <f>Repayment!C6/12+'Existing Loan'!C14/12</f>
        <v/>
      </c>
      <c r="G14" s="140">
        <f>Repayment!C6/12+'Existing Loan'!C14/12</f>
        <v/>
      </c>
      <c r="H14" s="140">
        <f>Repayment!C6/12+'Existing Loan'!C14/12</f>
        <v/>
      </c>
      <c r="I14" s="140">
        <f>Repayment!C6/12+'Existing Loan'!C14/12</f>
        <v/>
      </c>
      <c r="J14" s="140">
        <f>Repayment!C6/12+'Existing Loan'!C14/12</f>
        <v/>
      </c>
      <c r="K14" s="140">
        <f>Repayment!C6/12+'Existing Loan'!C14/12</f>
        <v/>
      </c>
      <c r="L14" s="140">
        <f>Repayment!C6/12+'Existing Loan'!C14/12</f>
        <v/>
      </c>
      <c r="M14" s="140">
        <f>Repayment!C6/12+'Existing Loan'!C14/12</f>
        <v/>
      </c>
      <c r="N14" s="139">
        <f>SUM(B14:M14)</f>
        <v/>
      </c>
      <c r="O14" s="140">
        <f>Repayment!D6/12+'Existing Loan'!D14/12</f>
        <v/>
      </c>
      <c r="P14" s="140">
        <f>Repayment!D6/12+'Existing Loan'!D14/12</f>
        <v/>
      </c>
      <c r="Q14" s="140">
        <f>Repayment!D6/12+'Existing Loan'!D14/12</f>
        <v/>
      </c>
      <c r="R14" s="140">
        <f>Repayment!D6/12+'Existing Loan'!D14/12</f>
        <v/>
      </c>
      <c r="S14" s="140">
        <f>Repayment!D6/12+'Existing Loan'!D14/12</f>
        <v/>
      </c>
      <c r="T14" s="140">
        <f>Repayment!D6/12+'Existing Loan'!D14/12</f>
        <v/>
      </c>
      <c r="U14" s="140">
        <f>Repayment!D6/12+'Existing Loan'!D14/12</f>
        <v/>
      </c>
      <c r="V14" s="140">
        <f>Repayment!D6/12+'Existing Loan'!D14/12</f>
        <v/>
      </c>
      <c r="W14" s="140">
        <f>Repayment!D6/12+'Existing Loan'!D14/12</f>
        <v/>
      </c>
      <c r="X14" s="140">
        <f>Repayment!D6/12+'Existing Loan'!D14/12</f>
        <v/>
      </c>
      <c r="Y14" s="140">
        <f>Repayment!D6/12+'Existing Loan'!D14/12</f>
        <v/>
      </c>
      <c r="Z14" s="140">
        <f>Repayment!D6/12+'Existing Loan'!D14/12</f>
        <v/>
      </c>
      <c r="AA14" s="139">
        <f>SUM(O14:Z14)</f>
        <v/>
      </c>
      <c r="AB14" s="140">
        <f>Repayment!E6/12+'Existing Loan'!E14/12</f>
        <v/>
      </c>
      <c r="AC14" s="140">
        <f>Repayment!E6/12+'Existing Loan'!E14/12</f>
        <v/>
      </c>
      <c r="AD14" s="140">
        <f>Repayment!E6/12+'Existing Loan'!E14/12</f>
        <v/>
      </c>
      <c r="AE14" s="140">
        <f>Repayment!E6/12+'Existing Loan'!E14/12</f>
        <v/>
      </c>
      <c r="AF14" s="140">
        <f>Repayment!E6/12+'Existing Loan'!E14/12</f>
        <v/>
      </c>
      <c r="AG14" s="140">
        <f>Repayment!E6/12+'Existing Loan'!E14/12</f>
        <v/>
      </c>
      <c r="AH14" s="140">
        <f>Repayment!E6/12+'Existing Loan'!E14/12</f>
        <v/>
      </c>
      <c r="AI14" s="140">
        <f>Repayment!E6/12+'Existing Loan'!E14/12</f>
        <v/>
      </c>
      <c r="AJ14" s="140">
        <f>Repayment!E6/12+'Existing Loan'!E14/12</f>
        <v/>
      </c>
      <c r="AK14" s="140">
        <f>Repayment!E6/12+'Existing Loan'!E14/12</f>
        <v/>
      </c>
      <c r="AL14" s="140">
        <f>Repayment!E6/12+'Existing Loan'!E14/12</f>
        <v/>
      </c>
      <c r="AM14" s="140">
        <f>Repayment!E6/12+'Existing Loan'!E14/12</f>
        <v/>
      </c>
      <c r="AN14" s="139">
        <f>SUM(AB14:AM14)</f>
        <v/>
      </c>
      <c r="AO14" s="140">
        <f>Repayment!F6/12+'Existing Loan'!F14/12</f>
        <v/>
      </c>
      <c r="AP14" s="140">
        <f>Repayment!F6/12+'Existing Loan'!F14/12</f>
        <v/>
      </c>
      <c r="AQ14" s="140">
        <f>Repayment!F6/12+'Existing Loan'!F14/12</f>
        <v/>
      </c>
      <c r="AR14" s="140">
        <f>Repayment!F6/12+'Existing Loan'!F14/12</f>
        <v/>
      </c>
      <c r="AS14" s="140">
        <f>Repayment!F6/12+'Existing Loan'!F14/12</f>
        <v/>
      </c>
      <c r="AT14" s="140">
        <f>Repayment!F6/12+'Existing Loan'!F14/12</f>
        <v/>
      </c>
      <c r="AU14" s="140">
        <f>Repayment!F6/12+'Existing Loan'!F14/12</f>
        <v/>
      </c>
      <c r="AV14" s="140">
        <f>Repayment!F6/12+'Existing Loan'!F14/12</f>
        <v/>
      </c>
      <c r="AW14" s="140">
        <f>Repayment!F6/12+'Existing Loan'!F14/12</f>
        <v/>
      </c>
      <c r="AX14" s="140">
        <f>Repayment!F6/12+'Existing Loan'!F14/12</f>
        <v/>
      </c>
      <c r="AY14" s="140">
        <f>Repayment!F6/12+'Existing Loan'!F14/12</f>
        <v/>
      </c>
      <c r="AZ14" s="140">
        <f>Repayment!F6/12+'Existing Loan'!F14/12</f>
        <v/>
      </c>
      <c r="BA14" s="139">
        <f>SUM(AO14:AZ14)</f>
        <v/>
      </c>
      <c r="BB14" s="140">
        <f>Repayment!G6/12+'Existing Loan'!G14/12</f>
        <v/>
      </c>
      <c r="BC14" s="140">
        <f>Repayment!G6/12+'Existing Loan'!G14/12</f>
        <v/>
      </c>
      <c r="BD14" s="140">
        <f>Repayment!G6/12+'Existing Loan'!G14/12</f>
        <v/>
      </c>
      <c r="BE14" s="140">
        <f>Repayment!G6/12+'Existing Loan'!G14/12</f>
        <v/>
      </c>
      <c r="BF14" s="140">
        <f>Repayment!G6/12+'Existing Loan'!G14/12</f>
        <v/>
      </c>
      <c r="BG14" s="140">
        <f>Repayment!G6/12+'Existing Loan'!G14/12</f>
        <v/>
      </c>
      <c r="BH14" s="140">
        <f>Repayment!G6/12+'Existing Loan'!G14/12</f>
        <v/>
      </c>
      <c r="BI14" s="140">
        <f>Repayment!G6/12+'Existing Loan'!G14/12</f>
        <v/>
      </c>
      <c r="BJ14" s="140">
        <f>Repayment!G6/12+'Existing Loan'!G14/12</f>
        <v/>
      </c>
      <c r="BK14" s="140">
        <f>Repayment!G6/12+'Existing Loan'!G14/12</f>
        <v/>
      </c>
      <c r="BL14" s="140">
        <f>Repayment!G6/12+'Existing Loan'!G14/12</f>
        <v/>
      </c>
      <c r="BM14" s="140">
        <f>Repayment!G6/12+'Existing Loan'!G14/12</f>
        <v/>
      </c>
      <c r="BN14" s="139">
        <f>SUM(BB14:BM14)</f>
        <v/>
      </c>
    </row>
    <row r="15" ht="15" customHeight="1" s="82">
      <c r="A15" s="88" t="inlineStr">
        <is>
          <t>Interest — Working Capital</t>
        </is>
      </c>
      <c r="B15" s="140">
        <f>Form_V_MPBF!C11*Assumptions!$C$13/12</f>
        <v/>
      </c>
      <c r="C15" s="140">
        <f>Form_V_MPBF!C11*Assumptions!$C$13/12</f>
        <v/>
      </c>
      <c r="D15" s="140">
        <f>Form_V_MPBF!C11*Assumptions!$C$13/12</f>
        <v/>
      </c>
      <c r="E15" s="140">
        <f>Form_V_MPBF!C11*Assumptions!$C$13/12</f>
        <v/>
      </c>
      <c r="F15" s="140">
        <f>Form_V_MPBF!C11*Assumptions!$C$13/12</f>
        <v/>
      </c>
      <c r="G15" s="140">
        <f>Form_V_MPBF!C11*Assumptions!$C$13/12</f>
        <v/>
      </c>
      <c r="H15" s="140">
        <f>Form_V_MPBF!C11*Assumptions!$C$13/12</f>
        <v/>
      </c>
      <c r="I15" s="140">
        <f>Form_V_MPBF!C11*Assumptions!$C$13/12</f>
        <v/>
      </c>
      <c r="J15" s="140">
        <f>Form_V_MPBF!C11*Assumptions!$C$13/12</f>
        <v/>
      </c>
      <c r="K15" s="140">
        <f>Form_V_MPBF!C11*Assumptions!$C$13/12</f>
        <v/>
      </c>
      <c r="L15" s="140">
        <f>Form_V_MPBF!C11*Assumptions!$C$13/12</f>
        <v/>
      </c>
      <c r="M15" s="140">
        <f>Form_V_MPBF!C11*Assumptions!$C$13/12</f>
        <v/>
      </c>
      <c r="N15" s="139">
        <f>SUM(B15:M15)</f>
        <v/>
      </c>
      <c r="O15" s="140">
        <f>Form_V_MPBF!D11*Assumptions!$C$13/12</f>
        <v/>
      </c>
      <c r="P15" s="140">
        <f>Form_V_MPBF!D11*Assumptions!$C$13/12</f>
        <v/>
      </c>
      <c r="Q15" s="140">
        <f>Form_V_MPBF!D11*Assumptions!$C$13/12</f>
        <v/>
      </c>
      <c r="R15" s="140">
        <f>Form_V_MPBF!D11*Assumptions!$C$13/12</f>
        <v/>
      </c>
      <c r="S15" s="140">
        <f>Form_V_MPBF!D11*Assumptions!$C$13/12</f>
        <v/>
      </c>
      <c r="T15" s="140">
        <f>Form_V_MPBF!D11*Assumptions!$C$13/12</f>
        <v/>
      </c>
      <c r="U15" s="140">
        <f>Form_V_MPBF!D11*Assumptions!$C$13/12</f>
        <v/>
      </c>
      <c r="V15" s="140">
        <f>Form_V_MPBF!D11*Assumptions!$C$13/12</f>
        <v/>
      </c>
      <c r="W15" s="140">
        <f>Form_V_MPBF!D11*Assumptions!$C$13/12</f>
        <v/>
      </c>
      <c r="X15" s="140">
        <f>Form_V_MPBF!D11*Assumptions!$C$13/12</f>
        <v/>
      </c>
      <c r="Y15" s="140">
        <f>Form_V_MPBF!D11*Assumptions!$C$13/12</f>
        <v/>
      </c>
      <c r="Z15" s="140">
        <f>Form_V_MPBF!D11*Assumptions!$C$13/12</f>
        <v/>
      </c>
      <c r="AA15" s="139">
        <f>SUM(O15:Z15)</f>
        <v/>
      </c>
      <c r="AB15" s="140">
        <f>Form_V_MPBF!E11*Assumptions!$C$13/12</f>
        <v/>
      </c>
      <c r="AC15" s="140">
        <f>Form_V_MPBF!E11*Assumptions!$C$13/12</f>
        <v/>
      </c>
      <c r="AD15" s="140">
        <f>Form_V_MPBF!E11*Assumptions!$C$13/12</f>
        <v/>
      </c>
      <c r="AE15" s="140">
        <f>Form_V_MPBF!E11*Assumptions!$C$13/12</f>
        <v/>
      </c>
      <c r="AF15" s="140">
        <f>Form_V_MPBF!E11*Assumptions!$C$13/12</f>
        <v/>
      </c>
      <c r="AG15" s="140">
        <f>Form_V_MPBF!E11*Assumptions!$C$13/12</f>
        <v/>
      </c>
      <c r="AH15" s="140">
        <f>Form_V_MPBF!E11*Assumptions!$C$13/12</f>
        <v/>
      </c>
      <c r="AI15" s="140">
        <f>Form_V_MPBF!E11*Assumptions!$C$13/12</f>
        <v/>
      </c>
      <c r="AJ15" s="140">
        <f>Form_V_MPBF!E11*Assumptions!$C$13/12</f>
        <v/>
      </c>
      <c r="AK15" s="140">
        <f>Form_V_MPBF!E11*Assumptions!$C$13/12</f>
        <v/>
      </c>
      <c r="AL15" s="140">
        <f>Form_V_MPBF!E11*Assumptions!$C$13/12</f>
        <v/>
      </c>
      <c r="AM15" s="140">
        <f>Form_V_MPBF!E11*Assumptions!$C$13/12</f>
        <v/>
      </c>
      <c r="AN15" s="139">
        <f>SUM(AB15:AM15)</f>
        <v/>
      </c>
      <c r="AO15" s="140">
        <f>Form_V_MPBF!F11*Assumptions!$C$13/12</f>
        <v/>
      </c>
      <c r="AP15" s="140">
        <f>Form_V_MPBF!F11*Assumptions!$C$13/12</f>
        <v/>
      </c>
      <c r="AQ15" s="140">
        <f>Form_V_MPBF!F11*Assumptions!$C$13/12</f>
        <v/>
      </c>
      <c r="AR15" s="140">
        <f>Form_V_MPBF!F11*Assumptions!$C$13/12</f>
        <v/>
      </c>
      <c r="AS15" s="140">
        <f>Form_V_MPBF!F11*Assumptions!$C$13/12</f>
        <v/>
      </c>
      <c r="AT15" s="140">
        <f>Form_V_MPBF!F11*Assumptions!$C$13/12</f>
        <v/>
      </c>
      <c r="AU15" s="140">
        <f>Form_V_MPBF!F11*Assumptions!$C$13/12</f>
        <v/>
      </c>
      <c r="AV15" s="140">
        <f>Form_V_MPBF!F11*Assumptions!$C$13/12</f>
        <v/>
      </c>
      <c r="AW15" s="140">
        <f>Form_V_MPBF!F11*Assumptions!$C$13/12</f>
        <v/>
      </c>
      <c r="AX15" s="140">
        <f>Form_V_MPBF!F11*Assumptions!$C$13/12</f>
        <v/>
      </c>
      <c r="AY15" s="140">
        <f>Form_V_MPBF!F11*Assumptions!$C$13/12</f>
        <v/>
      </c>
      <c r="AZ15" s="140">
        <f>Form_V_MPBF!F11*Assumptions!$C$13/12</f>
        <v/>
      </c>
      <c r="BA15" s="139">
        <f>SUM(AO15:AZ15)</f>
        <v/>
      </c>
      <c r="BB15" s="140">
        <f>Form_V_MPBF!G11*Assumptions!$C$13/12</f>
        <v/>
      </c>
      <c r="BC15" s="140">
        <f>Form_V_MPBF!G11*Assumptions!$C$13/12</f>
        <v/>
      </c>
      <c r="BD15" s="140">
        <f>Form_V_MPBF!G11*Assumptions!$C$13/12</f>
        <v/>
      </c>
      <c r="BE15" s="140">
        <f>Form_V_MPBF!G11*Assumptions!$C$13/12</f>
        <v/>
      </c>
      <c r="BF15" s="140">
        <f>Form_V_MPBF!G11*Assumptions!$C$13/12</f>
        <v/>
      </c>
      <c r="BG15" s="140">
        <f>Form_V_MPBF!G11*Assumptions!$C$13/12</f>
        <v/>
      </c>
      <c r="BH15" s="140">
        <f>Form_V_MPBF!G11*Assumptions!$C$13/12</f>
        <v/>
      </c>
      <c r="BI15" s="140">
        <f>Form_V_MPBF!G11*Assumptions!$C$13/12</f>
        <v/>
      </c>
      <c r="BJ15" s="140">
        <f>Form_V_MPBF!G11*Assumptions!$C$13/12</f>
        <v/>
      </c>
      <c r="BK15" s="140">
        <f>Form_V_MPBF!G11*Assumptions!$C$13/12</f>
        <v/>
      </c>
      <c r="BL15" s="140">
        <f>Form_V_MPBF!G11*Assumptions!$C$13/12</f>
        <v/>
      </c>
      <c r="BM15" s="140">
        <f>Form_V_MPBF!G11*Assumptions!$C$13/12</f>
        <v/>
      </c>
      <c r="BN15" s="139">
        <f>SUM(BB15:BM15)</f>
        <v/>
      </c>
    </row>
    <row r="16" ht="15" customHeight="1" s="82">
      <c r="A16" s="137" t="inlineStr">
        <is>
          <t>Total Operating Expenses</t>
        </is>
      </c>
      <c r="B16" s="139">
        <f>SUM(B5:B15)</f>
        <v/>
      </c>
      <c r="C16" s="139">
        <f>SUM(C5:C15)</f>
        <v/>
      </c>
      <c r="D16" s="139">
        <f>SUM(D5:D15)</f>
        <v/>
      </c>
      <c r="E16" s="139">
        <f>SUM(E5:E15)</f>
        <v/>
      </c>
      <c r="F16" s="139">
        <f>SUM(F5:F15)</f>
        <v/>
      </c>
      <c r="G16" s="139">
        <f>SUM(G5:G15)</f>
        <v/>
      </c>
      <c r="H16" s="139">
        <f>SUM(H5:H15)</f>
        <v/>
      </c>
      <c r="I16" s="139">
        <f>SUM(I5:I15)</f>
        <v/>
      </c>
      <c r="J16" s="139">
        <f>SUM(J5:J15)</f>
        <v/>
      </c>
      <c r="K16" s="139">
        <f>SUM(K5:K15)</f>
        <v/>
      </c>
      <c r="L16" s="139">
        <f>SUM(L5:L15)</f>
        <v/>
      </c>
      <c r="M16" s="139">
        <f>SUM(M5:M15)</f>
        <v/>
      </c>
      <c r="N16" s="139">
        <f>SUM(B16:M16)</f>
        <v/>
      </c>
      <c r="O16" s="139">
        <f>SUM(O5:O15)</f>
        <v/>
      </c>
      <c r="P16" s="139">
        <f>SUM(P5:P15)</f>
        <v/>
      </c>
      <c r="Q16" s="139">
        <f>SUM(Q5:Q15)</f>
        <v/>
      </c>
      <c r="R16" s="139">
        <f>SUM(R5:R15)</f>
        <v/>
      </c>
      <c r="S16" s="139">
        <f>SUM(S5:S15)</f>
        <v/>
      </c>
      <c r="T16" s="139">
        <f>SUM(T5:T15)</f>
        <v/>
      </c>
      <c r="U16" s="139">
        <f>SUM(U5:U15)</f>
        <v/>
      </c>
      <c r="V16" s="139">
        <f>SUM(V5:V15)</f>
        <v/>
      </c>
      <c r="W16" s="139">
        <f>SUM(W5:W15)</f>
        <v/>
      </c>
      <c r="X16" s="139">
        <f>SUM(X5:X15)</f>
        <v/>
      </c>
      <c r="Y16" s="139">
        <f>SUM(Y5:Y15)</f>
        <v/>
      </c>
      <c r="Z16" s="139">
        <f>SUM(Z5:Z15)</f>
        <v/>
      </c>
      <c r="AA16" s="139">
        <f>SUM(O16:Z16)</f>
        <v/>
      </c>
      <c r="AB16" s="139">
        <f>SUM(AB5:AB15)</f>
        <v/>
      </c>
      <c r="AC16" s="139">
        <f>SUM(AC5:AC15)</f>
        <v/>
      </c>
      <c r="AD16" s="139">
        <f>SUM(AD5:AD15)</f>
        <v/>
      </c>
      <c r="AE16" s="139">
        <f>SUM(AE5:AE15)</f>
        <v/>
      </c>
      <c r="AF16" s="139">
        <f>SUM(AF5:AF15)</f>
        <v/>
      </c>
      <c r="AG16" s="139">
        <f>SUM(AG5:AG15)</f>
        <v/>
      </c>
      <c r="AH16" s="139">
        <f>SUM(AH5:AH15)</f>
        <v/>
      </c>
      <c r="AI16" s="139">
        <f>SUM(AI5:AI15)</f>
        <v/>
      </c>
      <c r="AJ16" s="139">
        <f>SUM(AJ5:AJ15)</f>
        <v/>
      </c>
      <c r="AK16" s="139">
        <f>SUM(AK5:AK15)</f>
        <v/>
      </c>
      <c r="AL16" s="139">
        <f>SUM(AL5:AL15)</f>
        <v/>
      </c>
      <c r="AM16" s="139">
        <f>SUM(AM5:AM15)</f>
        <v/>
      </c>
      <c r="AN16" s="139">
        <f>SUM(AB16:AM16)</f>
        <v/>
      </c>
      <c r="AO16" s="139">
        <f>SUM(AO5:AO15)</f>
        <v/>
      </c>
      <c r="AP16" s="139">
        <f>SUM(AP5:AP15)</f>
        <v/>
      </c>
      <c r="AQ16" s="139">
        <f>SUM(AQ5:AQ15)</f>
        <v/>
      </c>
      <c r="AR16" s="139">
        <f>SUM(AR5:AR15)</f>
        <v/>
      </c>
      <c r="AS16" s="139">
        <f>SUM(AS5:AS15)</f>
        <v/>
      </c>
      <c r="AT16" s="139">
        <f>SUM(AT5:AT15)</f>
        <v/>
      </c>
      <c r="AU16" s="139">
        <f>SUM(AU5:AU15)</f>
        <v/>
      </c>
      <c r="AV16" s="139">
        <f>SUM(AV5:AV15)</f>
        <v/>
      </c>
      <c r="AW16" s="139">
        <f>SUM(AW5:AW15)</f>
        <v/>
      </c>
      <c r="AX16" s="139">
        <f>SUM(AX5:AX15)</f>
        <v/>
      </c>
      <c r="AY16" s="139">
        <f>SUM(AY5:AY15)</f>
        <v/>
      </c>
      <c r="AZ16" s="139">
        <f>SUM(AZ5:AZ15)</f>
        <v/>
      </c>
      <c r="BA16" s="139">
        <f>SUM(AO16:AZ16)</f>
        <v/>
      </c>
      <c r="BB16" s="139">
        <f>SUM(BB5:BB15)</f>
        <v/>
      </c>
      <c r="BC16" s="139">
        <f>SUM(BC5:BC15)</f>
        <v/>
      </c>
      <c r="BD16" s="139">
        <f>SUM(BD5:BD15)</f>
        <v/>
      </c>
      <c r="BE16" s="139">
        <f>SUM(BE5:BE15)</f>
        <v/>
      </c>
      <c r="BF16" s="139">
        <f>SUM(BF5:BF15)</f>
        <v/>
      </c>
      <c r="BG16" s="139">
        <f>SUM(BG5:BG15)</f>
        <v/>
      </c>
      <c r="BH16" s="139">
        <f>SUM(BH5:BH15)</f>
        <v/>
      </c>
      <c r="BI16" s="139">
        <f>SUM(BI5:BI15)</f>
        <v/>
      </c>
      <c r="BJ16" s="139">
        <f>SUM(BJ5:BJ15)</f>
        <v/>
      </c>
      <c r="BK16" s="139">
        <f>SUM(BK5:BK15)</f>
        <v/>
      </c>
      <c r="BL16" s="139">
        <f>SUM(BL5:BL15)</f>
        <v/>
      </c>
      <c r="BM16" s="139">
        <f>SUM(BM5:BM15)</f>
        <v/>
      </c>
      <c r="BN16" s="139">
        <f>SUM(BB16:BM16)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N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PROFITABILITY (P&amp;L)  —  60-MONTH PROJECTION</t>
        </is>
      </c>
    </row>
    <row r="2" ht="15" customHeight="1" s="82">
      <c r="A2" s="114" t="inlineStr">
        <is>
          <t>EBITDA → EBIT → PBT → PAT, fully linked to Sales and Expenses.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137" t="inlineStr">
        <is>
          <t>Revenue from production</t>
        </is>
      </c>
      <c r="B5" s="303">
        <f>Sales!B8</f>
        <v/>
      </c>
      <c r="C5" s="303">
        <f>Sales!C8</f>
        <v/>
      </c>
      <c r="D5" s="303">
        <f>Sales!D8</f>
        <v/>
      </c>
      <c r="E5" s="303">
        <f>Sales!E8</f>
        <v/>
      </c>
      <c r="F5" s="303">
        <f>Sales!F8</f>
        <v/>
      </c>
      <c r="G5" s="303">
        <f>Sales!G8</f>
        <v/>
      </c>
      <c r="H5" s="303">
        <f>Sales!H8</f>
        <v/>
      </c>
      <c r="I5" s="303">
        <f>Sales!I8</f>
        <v/>
      </c>
      <c r="J5" s="303">
        <f>Sales!J8</f>
        <v/>
      </c>
      <c r="K5" s="303">
        <f>Sales!K8</f>
        <v/>
      </c>
      <c r="L5" s="303">
        <f>Sales!L8</f>
        <v/>
      </c>
      <c r="M5" s="303">
        <f>Sales!M8</f>
        <v/>
      </c>
      <c r="N5" s="303">
        <f>SUM(B5:M5)</f>
        <v/>
      </c>
      <c r="O5" s="303">
        <f>Sales!O8</f>
        <v/>
      </c>
      <c r="P5" s="303">
        <f>Sales!P8</f>
        <v/>
      </c>
      <c r="Q5" s="303">
        <f>Sales!Q8</f>
        <v/>
      </c>
      <c r="R5" s="303">
        <f>Sales!R8</f>
        <v/>
      </c>
      <c r="S5" s="303">
        <f>Sales!S8</f>
        <v/>
      </c>
      <c r="T5" s="303">
        <f>Sales!T8</f>
        <v/>
      </c>
      <c r="U5" s="303">
        <f>Sales!U8</f>
        <v/>
      </c>
      <c r="V5" s="303">
        <f>Sales!V8</f>
        <v/>
      </c>
      <c r="W5" s="303">
        <f>Sales!W8</f>
        <v/>
      </c>
      <c r="X5" s="303">
        <f>Sales!X8</f>
        <v/>
      </c>
      <c r="Y5" s="303">
        <f>Sales!Y8</f>
        <v/>
      </c>
      <c r="Z5" s="303">
        <f>Sales!Z8</f>
        <v/>
      </c>
      <c r="AA5" s="303">
        <f>SUM(O5:Z5)</f>
        <v/>
      </c>
      <c r="AB5" s="303">
        <f>Sales!AB8</f>
        <v/>
      </c>
      <c r="AC5" s="303">
        <f>Sales!AC8</f>
        <v/>
      </c>
      <c r="AD5" s="303">
        <f>Sales!AD8</f>
        <v/>
      </c>
      <c r="AE5" s="303">
        <f>Sales!AE8</f>
        <v/>
      </c>
      <c r="AF5" s="303">
        <f>Sales!AF8</f>
        <v/>
      </c>
      <c r="AG5" s="303">
        <f>Sales!AG8</f>
        <v/>
      </c>
      <c r="AH5" s="303">
        <f>Sales!AH8</f>
        <v/>
      </c>
      <c r="AI5" s="303">
        <f>Sales!AI8</f>
        <v/>
      </c>
      <c r="AJ5" s="303">
        <f>Sales!AJ8</f>
        <v/>
      </c>
      <c r="AK5" s="303">
        <f>Sales!AK8</f>
        <v/>
      </c>
      <c r="AL5" s="303">
        <f>Sales!AL8</f>
        <v/>
      </c>
      <c r="AM5" s="303">
        <f>Sales!AM8</f>
        <v/>
      </c>
      <c r="AN5" s="303">
        <f>SUM(AB5:AM5)</f>
        <v/>
      </c>
      <c r="AO5" s="303">
        <f>Sales!AO8</f>
        <v/>
      </c>
      <c r="AP5" s="303">
        <f>Sales!AP8</f>
        <v/>
      </c>
      <c r="AQ5" s="303">
        <f>Sales!AQ8</f>
        <v/>
      </c>
      <c r="AR5" s="303">
        <f>Sales!AR8</f>
        <v/>
      </c>
      <c r="AS5" s="303">
        <f>Sales!AS8</f>
        <v/>
      </c>
      <c r="AT5" s="303">
        <f>Sales!AT8</f>
        <v/>
      </c>
      <c r="AU5" s="303">
        <f>Sales!AU8</f>
        <v/>
      </c>
      <c r="AV5" s="303">
        <f>Sales!AV8</f>
        <v/>
      </c>
      <c r="AW5" s="303">
        <f>Sales!AW8</f>
        <v/>
      </c>
      <c r="AX5" s="303">
        <f>Sales!AX8</f>
        <v/>
      </c>
      <c r="AY5" s="303">
        <f>Sales!AY8</f>
        <v/>
      </c>
      <c r="AZ5" s="303">
        <f>Sales!AZ8</f>
        <v/>
      </c>
      <c r="BA5" s="303">
        <f>SUM(AO5:AZ5)</f>
        <v/>
      </c>
      <c r="BB5" s="303">
        <f>Sales!BB8</f>
        <v/>
      </c>
      <c r="BC5" s="303">
        <f>Sales!BC8</f>
        <v/>
      </c>
      <c r="BD5" s="303">
        <f>Sales!BD8</f>
        <v/>
      </c>
      <c r="BE5" s="303">
        <f>Sales!BE8</f>
        <v/>
      </c>
      <c r="BF5" s="303">
        <f>Sales!BF8</f>
        <v/>
      </c>
      <c r="BG5" s="303">
        <f>Sales!BG8</f>
        <v/>
      </c>
      <c r="BH5" s="303">
        <f>Sales!BH8</f>
        <v/>
      </c>
      <c r="BI5" s="303">
        <f>Sales!BI8</f>
        <v/>
      </c>
      <c r="BJ5" s="303">
        <f>Sales!BJ8</f>
        <v/>
      </c>
      <c r="BK5" s="303">
        <f>Sales!BK8</f>
        <v/>
      </c>
      <c r="BL5" s="303">
        <f>Sales!BL8</f>
        <v/>
      </c>
      <c r="BM5" s="303">
        <f>Sales!BM8</f>
        <v/>
      </c>
      <c r="BN5" s="303">
        <f>SUM(BB5:BM5)</f>
        <v/>
      </c>
    </row>
    <row r="6" ht="15" customHeight="1" s="82">
      <c r="A6" s="137" t="inlineStr">
        <is>
          <t>By-product / scrap sales</t>
        </is>
      </c>
      <c r="B6" s="303">
        <f>Sales!B12</f>
        <v/>
      </c>
      <c r="C6" s="303">
        <f>Sales!C12</f>
        <v/>
      </c>
      <c r="D6" s="303">
        <f>Sales!D12</f>
        <v/>
      </c>
      <c r="E6" s="303">
        <f>Sales!E12</f>
        <v/>
      </c>
      <c r="F6" s="303">
        <f>Sales!F12</f>
        <v/>
      </c>
      <c r="G6" s="303">
        <f>Sales!G12</f>
        <v/>
      </c>
      <c r="H6" s="303">
        <f>Sales!H12</f>
        <v/>
      </c>
      <c r="I6" s="303">
        <f>Sales!I12</f>
        <v/>
      </c>
      <c r="J6" s="303">
        <f>Sales!J12</f>
        <v/>
      </c>
      <c r="K6" s="303">
        <f>Sales!K12</f>
        <v/>
      </c>
      <c r="L6" s="303">
        <f>Sales!L12</f>
        <v/>
      </c>
      <c r="M6" s="303">
        <f>Sales!M12</f>
        <v/>
      </c>
      <c r="N6" s="303">
        <f>SUM(B6:M6)</f>
        <v/>
      </c>
      <c r="O6" s="303">
        <f>Sales!O12</f>
        <v/>
      </c>
      <c r="P6" s="303">
        <f>Sales!P12</f>
        <v/>
      </c>
      <c r="Q6" s="303">
        <f>Sales!Q12</f>
        <v/>
      </c>
      <c r="R6" s="303">
        <f>Sales!R12</f>
        <v/>
      </c>
      <c r="S6" s="303">
        <f>Sales!S12</f>
        <v/>
      </c>
      <c r="T6" s="303">
        <f>Sales!T12</f>
        <v/>
      </c>
      <c r="U6" s="303">
        <f>Sales!U12</f>
        <v/>
      </c>
      <c r="V6" s="303">
        <f>Sales!V12</f>
        <v/>
      </c>
      <c r="W6" s="303">
        <f>Sales!W12</f>
        <v/>
      </c>
      <c r="X6" s="303">
        <f>Sales!X12</f>
        <v/>
      </c>
      <c r="Y6" s="303">
        <f>Sales!Y12</f>
        <v/>
      </c>
      <c r="Z6" s="303">
        <f>Sales!Z12</f>
        <v/>
      </c>
      <c r="AA6" s="303">
        <f>SUM(O6:Z6)</f>
        <v/>
      </c>
      <c r="AB6" s="303">
        <f>Sales!AB12</f>
        <v/>
      </c>
      <c r="AC6" s="303">
        <f>Sales!AC12</f>
        <v/>
      </c>
      <c r="AD6" s="303">
        <f>Sales!AD12</f>
        <v/>
      </c>
      <c r="AE6" s="303">
        <f>Sales!AE12</f>
        <v/>
      </c>
      <c r="AF6" s="303">
        <f>Sales!AF12</f>
        <v/>
      </c>
      <c r="AG6" s="303">
        <f>Sales!AG12</f>
        <v/>
      </c>
      <c r="AH6" s="303">
        <f>Sales!AH12</f>
        <v/>
      </c>
      <c r="AI6" s="303">
        <f>Sales!AI12</f>
        <v/>
      </c>
      <c r="AJ6" s="303">
        <f>Sales!AJ12</f>
        <v/>
      </c>
      <c r="AK6" s="303">
        <f>Sales!AK12</f>
        <v/>
      </c>
      <c r="AL6" s="303">
        <f>Sales!AL12</f>
        <v/>
      </c>
      <c r="AM6" s="303">
        <f>Sales!AM12</f>
        <v/>
      </c>
      <c r="AN6" s="303">
        <f>SUM(AB6:AM6)</f>
        <v/>
      </c>
      <c r="AO6" s="303">
        <f>Sales!AO12</f>
        <v/>
      </c>
      <c r="AP6" s="303">
        <f>Sales!AP12</f>
        <v/>
      </c>
      <c r="AQ6" s="303">
        <f>Sales!AQ12</f>
        <v/>
      </c>
      <c r="AR6" s="303">
        <f>Sales!AR12</f>
        <v/>
      </c>
      <c r="AS6" s="303">
        <f>Sales!AS12</f>
        <v/>
      </c>
      <c r="AT6" s="303">
        <f>Sales!AT12</f>
        <v/>
      </c>
      <c r="AU6" s="303">
        <f>Sales!AU12</f>
        <v/>
      </c>
      <c r="AV6" s="303">
        <f>Sales!AV12</f>
        <v/>
      </c>
      <c r="AW6" s="303">
        <f>Sales!AW12</f>
        <v/>
      </c>
      <c r="AX6" s="303">
        <f>Sales!AX12</f>
        <v/>
      </c>
      <c r="AY6" s="303">
        <f>Sales!AY12</f>
        <v/>
      </c>
      <c r="AZ6" s="303">
        <f>Sales!AZ12</f>
        <v/>
      </c>
      <c r="BA6" s="303">
        <f>SUM(AO6:AZ6)</f>
        <v/>
      </c>
      <c r="BB6" s="303">
        <f>Sales!BB12</f>
        <v/>
      </c>
      <c r="BC6" s="303">
        <f>Sales!BC12</f>
        <v/>
      </c>
      <c r="BD6" s="303">
        <f>Sales!BD12</f>
        <v/>
      </c>
      <c r="BE6" s="303">
        <f>Sales!BE12</f>
        <v/>
      </c>
      <c r="BF6" s="303">
        <f>Sales!BF12</f>
        <v/>
      </c>
      <c r="BG6" s="303">
        <f>Sales!BG12</f>
        <v/>
      </c>
      <c r="BH6" s="303">
        <f>Sales!BH12</f>
        <v/>
      </c>
      <c r="BI6" s="303">
        <f>Sales!BI12</f>
        <v/>
      </c>
      <c r="BJ6" s="303">
        <f>Sales!BJ12</f>
        <v/>
      </c>
      <c r="BK6" s="303">
        <f>Sales!BK12</f>
        <v/>
      </c>
      <c r="BL6" s="303">
        <f>Sales!BL12</f>
        <v/>
      </c>
      <c r="BM6" s="303">
        <f>Sales!BM12</f>
        <v/>
      </c>
      <c r="BN6" s="303">
        <f>SUM(BB6:BM6)</f>
        <v/>
      </c>
    </row>
    <row r="7" ht="15" customHeight="1" s="82">
      <c r="A7" s="137" t="inlineStr">
        <is>
          <t>Job work / contract manufacturing</t>
        </is>
      </c>
      <c r="B7" s="303">
        <f>Sales!B16</f>
        <v/>
      </c>
      <c r="C7" s="303">
        <f>Sales!C16</f>
        <v/>
      </c>
      <c r="D7" s="303">
        <f>Sales!D16</f>
        <v/>
      </c>
      <c r="E7" s="303">
        <f>Sales!E16</f>
        <v/>
      </c>
      <c r="F7" s="303">
        <f>Sales!F16</f>
        <v/>
      </c>
      <c r="G7" s="303">
        <f>Sales!G16</f>
        <v/>
      </c>
      <c r="H7" s="303">
        <f>Sales!H16</f>
        <v/>
      </c>
      <c r="I7" s="303">
        <f>Sales!I16</f>
        <v/>
      </c>
      <c r="J7" s="303">
        <f>Sales!J16</f>
        <v/>
      </c>
      <c r="K7" s="303">
        <f>Sales!K16</f>
        <v/>
      </c>
      <c r="L7" s="303">
        <f>Sales!L16</f>
        <v/>
      </c>
      <c r="M7" s="303">
        <f>Sales!M16</f>
        <v/>
      </c>
      <c r="N7" s="303">
        <f>SUM(B7:M7)</f>
        <v/>
      </c>
      <c r="O7" s="303">
        <f>Sales!O16</f>
        <v/>
      </c>
      <c r="P7" s="303">
        <f>Sales!P16</f>
        <v/>
      </c>
      <c r="Q7" s="303">
        <f>Sales!Q16</f>
        <v/>
      </c>
      <c r="R7" s="303">
        <f>Sales!R16</f>
        <v/>
      </c>
      <c r="S7" s="303">
        <f>Sales!S16</f>
        <v/>
      </c>
      <c r="T7" s="303">
        <f>Sales!T16</f>
        <v/>
      </c>
      <c r="U7" s="303">
        <f>Sales!U16</f>
        <v/>
      </c>
      <c r="V7" s="303">
        <f>Sales!V16</f>
        <v/>
      </c>
      <c r="W7" s="303">
        <f>Sales!W16</f>
        <v/>
      </c>
      <c r="X7" s="303">
        <f>Sales!X16</f>
        <v/>
      </c>
      <c r="Y7" s="303">
        <f>Sales!Y16</f>
        <v/>
      </c>
      <c r="Z7" s="303">
        <f>Sales!Z16</f>
        <v/>
      </c>
      <c r="AA7" s="303">
        <f>SUM(O7:Z7)</f>
        <v/>
      </c>
      <c r="AB7" s="303">
        <f>Sales!AB16</f>
        <v/>
      </c>
      <c r="AC7" s="303">
        <f>Sales!AC16</f>
        <v/>
      </c>
      <c r="AD7" s="303">
        <f>Sales!AD16</f>
        <v/>
      </c>
      <c r="AE7" s="303">
        <f>Sales!AE16</f>
        <v/>
      </c>
      <c r="AF7" s="303">
        <f>Sales!AF16</f>
        <v/>
      </c>
      <c r="AG7" s="303">
        <f>Sales!AG16</f>
        <v/>
      </c>
      <c r="AH7" s="303">
        <f>Sales!AH16</f>
        <v/>
      </c>
      <c r="AI7" s="303">
        <f>Sales!AI16</f>
        <v/>
      </c>
      <c r="AJ7" s="303">
        <f>Sales!AJ16</f>
        <v/>
      </c>
      <c r="AK7" s="303">
        <f>Sales!AK16</f>
        <v/>
      </c>
      <c r="AL7" s="303">
        <f>Sales!AL16</f>
        <v/>
      </c>
      <c r="AM7" s="303">
        <f>Sales!AM16</f>
        <v/>
      </c>
      <c r="AN7" s="303">
        <f>SUM(AB7:AM7)</f>
        <v/>
      </c>
      <c r="AO7" s="303">
        <f>Sales!AO16</f>
        <v/>
      </c>
      <c r="AP7" s="303">
        <f>Sales!AP16</f>
        <v/>
      </c>
      <c r="AQ7" s="303">
        <f>Sales!AQ16</f>
        <v/>
      </c>
      <c r="AR7" s="303">
        <f>Sales!AR16</f>
        <v/>
      </c>
      <c r="AS7" s="303">
        <f>Sales!AS16</f>
        <v/>
      </c>
      <c r="AT7" s="303">
        <f>Sales!AT16</f>
        <v/>
      </c>
      <c r="AU7" s="303">
        <f>Sales!AU16</f>
        <v/>
      </c>
      <c r="AV7" s="303">
        <f>Sales!AV16</f>
        <v/>
      </c>
      <c r="AW7" s="303">
        <f>Sales!AW16</f>
        <v/>
      </c>
      <c r="AX7" s="303">
        <f>Sales!AX16</f>
        <v/>
      </c>
      <c r="AY7" s="303">
        <f>Sales!AY16</f>
        <v/>
      </c>
      <c r="AZ7" s="303">
        <f>Sales!AZ16</f>
        <v/>
      </c>
      <c r="BA7" s="303">
        <f>SUM(AO7:AZ7)</f>
        <v/>
      </c>
      <c r="BB7" s="303">
        <f>Sales!BB16</f>
        <v/>
      </c>
      <c r="BC7" s="303">
        <f>Sales!BC16</f>
        <v/>
      </c>
      <c r="BD7" s="303">
        <f>Sales!BD16</f>
        <v/>
      </c>
      <c r="BE7" s="303">
        <f>Sales!BE16</f>
        <v/>
      </c>
      <c r="BF7" s="303">
        <f>Sales!BF16</f>
        <v/>
      </c>
      <c r="BG7" s="303">
        <f>Sales!BG16</f>
        <v/>
      </c>
      <c r="BH7" s="303">
        <f>Sales!BH16</f>
        <v/>
      </c>
      <c r="BI7" s="303">
        <f>Sales!BI16</f>
        <v/>
      </c>
      <c r="BJ7" s="303">
        <f>Sales!BJ16</f>
        <v/>
      </c>
      <c r="BK7" s="303">
        <f>Sales!BK16</f>
        <v/>
      </c>
      <c r="BL7" s="303">
        <f>Sales!BL16</f>
        <v/>
      </c>
      <c r="BM7" s="303">
        <f>Sales!BM16</f>
        <v/>
      </c>
      <c r="BN7" s="303">
        <f>SUM(BB7:BM7)</f>
        <v/>
      </c>
    </row>
    <row r="8" ht="15" customHeight="1" s="82">
      <c r="A8" s="137" t="inlineStr">
        <is>
          <t>Trading of bought-out items</t>
        </is>
      </c>
      <c r="B8" s="303">
        <f>Sales!B20</f>
        <v/>
      </c>
      <c r="C8" s="303">
        <f>Sales!C20</f>
        <v/>
      </c>
      <c r="D8" s="303">
        <f>Sales!D20</f>
        <v/>
      </c>
      <c r="E8" s="303">
        <f>Sales!E20</f>
        <v/>
      </c>
      <c r="F8" s="303">
        <f>Sales!F20</f>
        <v/>
      </c>
      <c r="G8" s="303">
        <f>Sales!G20</f>
        <v/>
      </c>
      <c r="H8" s="303">
        <f>Sales!H20</f>
        <v/>
      </c>
      <c r="I8" s="303">
        <f>Sales!I20</f>
        <v/>
      </c>
      <c r="J8" s="303">
        <f>Sales!J20</f>
        <v/>
      </c>
      <c r="K8" s="303">
        <f>Sales!K20</f>
        <v/>
      </c>
      <c r="L8" s="303">
        <f>Sales!L20</f>
        <v/>
      </c>
      <c r="M8" s="303">
        <f>Sales!M20</f>
        <v/>
      </c>
      <c r="N8" s="303">
        <f>SUM(B8:M8)</f>
        <v/>
      </c>
      <c r="O8" s="303">
        <f>Sales!O20</f>
        <v/>
      </c>
      <c r="P8" s="303">
        <f>Sales!P20</f>
        <v/>
      </c>
      <c r="Q8" s="303">
        <f>Sales!Q20</f>
        <v/>
      </c>
      <c r="R8" s="303">
        <f>Sales!R20</f>
        <v/>
      </c>
      <c r="S8" s="303">
        <f>Sales!S20</f>
        <v/>
      </c>
      <c r="T8" s="303">
        <f>Sales!T20</f>
        <v/>
      </c>
      <c r="U8" s="303">
        <f>Sales!U20</f>
        <v/>
      </c>
      <c r="V8" s="303">
        <f>Sales!V20</f>
        <v/>
      </c>
      <c r="W8" s="303">
        <f>Sales!W20</f>
        <v/>
      </c>
      <c r="X8" s="303">
        <f>Sales!X20</f>
        <v/>
      </c>
      <c r="Y8" s="303">
        <f>Sales!Y20</f>
        <v/>
      </c>
      <c r="Z8" s="303">
        <f>Sales!Z20</f>
        <v/>
      </c>
      <c r="AA8" s="303">
        <f>SUM(O8:Z8)</f>
        <v/>
      </c>
      <c r="AB8" s="303">
        <f>Sales!AB20</f>
        <v/>
      </c>
      <c r="AC8" s="303">
        <f>Sales!AC20</f>
        <v/>
      </c>
      <c r="AD8" s="303">
        <f>Sales!AD20</f>
        <v/>
      </c>
      <c r="AE8" s="303">
        <f>Sales!AE20</f>
        <v/>
      </c>
      <c r="AF8" s="303">
        <f>Sales!AF20</f>
        <v/>
      </c>
      <c r="AG8" s="303">
        <f>Sales!AG20</f>
        <v/>
      </c>
      <c r="AH8" s="303">
        <f>Sales!AH20</f>
        <v/>
      </c>
      <c r="AI8" s="303">
        <f>Sales!AI20</f>
        <v/>
      </c>
      <c r="AJ8" s="303">
        <f>Sales!AJ20</f>
        <v/>
      </c>
      <c r="AK8" s="303">
        <f>Sales!AK20</f>
        <v/>
      </c>
      <c r="AL8" s="303">
        <f>Sales!AL20</f>
        <v/>
      </c>
      <c r="AM8" s="303">
        <f>Sales!AM20</f>
        <v/>
      </c>
      <c r="AN8" s="303">
        <f>SUM(AB8:AM8)</f>
        <v/>
      </c>
      <c r="AO8" s="303">
        <f>Sales!AO20</f>
        <v/>
      </c>
      <c r="AP8" s="303">
        <f>Sales!AP20</f>
        <v/>
      </c>
      <c r="AQ8" s="303">
        <f>Sales!AQ20</f>
        <v/>
      </c>
      <c r="AR8" s="303">
        <f>Sales!AR20</f>
        <v/>
      </c>
      <c r="AS8" s="303">
        <f>Sales!AS20</f>
        <v/>
      </c>
      <c r="AT8" s="303">
        <f>Sales!AT20</f>
        <v/>
      </c>
      <c r="AU8" s="303">
        <f>Sales!AU20</f>
        <v/>
      </c>
      <c r="AV8" s="303">
        <f>Sales!AV20</f>
        <v/>
      </c>
      <c r="AW8" s="303">
        <f>Sales!AW20</f>
        <v/>
      </c>
      <c r="AX8" s="303">
        <f>Sales!AX20</f>
        <v/>
      </c>
      <c r="AY8" s="303">
        <f>Sales!AY20</f>
        <v/>
      </c>
      <c r="AZ8" s="303">
        <f>Sales!AZ20</f>
        <v/>
      </c>
      <c r="BA8" s="303">
        <f>SUM(AO8:AZ8)</f>
        <v/>
      </c>
      <c r="BB8" s="303">
        <f>Sales!BB20</f>
        <v/>
      </c>
      <c r="BC8" s="303">
        <f>Sales!BC20</f>
        <v/>
      </c>
      <c r="BD8" s="303">
        <f>Sales!BD20</f>
        <v/>
      </c>
      <c r="BE8" s="303">
        <f>Sales!BE20</f>
        <v/>
      </c>
      <c r="BF8" s="303">
        <f>Sales!BF20</f>
        <v/>
      </c>
      <c r="BG8" s="303">
        <f>Sales!BG20</f>
        <v/>
      </c>
      <c r="BH8" s="303">
        <f>Sales!BH20</f>
        <v/>
      </c>
      <c r="BI8" s="303">
        <f>Sales!BI20</f>
        <v/>
      </c>
      <c r="BJ8" s="303">
        <f>Sales!BJ20</f>
        <v/>
      </c>
      <c r="BK8" s="303">
        <f>Sales!BK20</f>
        <v/>
      </c>
      <c r="BL8" s="303">
        <f>Sales!BL20</f>
        <v/>
      </c>
      <c r="BM8" s="303">
        <f>Sales!BM20</f>
        <v/>
      </c>
      <c r="BN8" s="303">
        <f>SUM(BB8:BM8)</f>
        <v/>
      </c>
    </row>
    <row r="9" ht="15" customHeight="1" s="82">
      <c r="A9" s="137" t="inlineStr">
        <is>
          <t>Other operating income</t>
        </is>
      </c>
      <c r="B9" s="303">
        <f>Sales!B24</f>
        <v/>
      </c>
      <c r="C9" s="303">
        <f>Sales!C24</f>
        <v/>
      </c>
      <c r="D9" s="303">
        <f>Sales!D24</f>
        <v/>
      </c>
      <c r="E9" s="303">
        <f>Sales!E24</f>
        <v/>
      </c>
      <c r="F9" s="303">
        <f>Sales!F24</f>
        <v/>
      </c>
      <c r="G9" s="303">
        <f>Sales!G24</f>
        <v/>
      </c>
      <c r="H9" s="303">
        <f>Sales!H24</f>
        <v/>
      </c>
      <c r="I9" s="303">
        <f>Sales!I24</f>
        <v/>
      </c>
      <c r="J9" s="303">
        <f>Sales!J24</f>
        <v/>
      </c>
      <c r="K9" s="303">
        <f>Sales!K24</f>
        <v/>
      </c>
      <c r="L9" s="303">
        <f>Sales!L24</f>
        <v/>
      </c>
      <c r="M9" s="303">
        <f>Sales!M24</f>
        <v/>
      </c>
      <c r="N9" s="303">
        <f>SUM(B9:M9)</f>
        <v/>
      </c>
      <c r="O9" s="303">
        <f>Sales!O24</f>
        <v/>
      </c>
      <c r="P9" s="303">
        <f>Sales!P24</f>
        <v/>
      </c>
      <c r="Q9" s="303">
        <f>Sales!Q24</f>
        <v/>
      </c>
      <c r="R9" s="303">
        <f>Sales!R24</f>
        <v/>
      </c>
      <c r="S9" s="303">
        <f>Sales!S24</f>
        <v/>
      </c>
      <c r="T9" s="303">
        <f>Sales!T24</f>
        <v/>
      </c>
      <c r="U9" s="303">
        <f>Sales!U24</f>
        <v/>
      </c>
      <c r="V9" s="303">
        <f>Sales!V24</f>
        <v/>
      </c>
      <c r="W9" s="303">
        <f>Sales!W24</f>
        <v/>
      </c>
      <c r="X9" s="303">
        <f>Sales!X24</f>
        <v/>
      </c>
      <c r="Y9" s="303">
        <f>Sales!Y24</f>
        <v/>
      </c>
      <c r="Z9" s="303">
        <f>Sales!Z24</f>
        <v/>
      </c>
      <c r="AA9" s="303">
        <f>SUM(O9:Z9)</f>
        <v/>
      </c>
      <c r="AB9" s="303">
        <f>Sales!AB24</f>
        <v/>
      </c>
      <c r="AC9" s="303">
        <f>Sales!AC24</f>
        <v/>
      </c>
      <c r="AD9" s="303">
        <f>Sales!AD24</f>
        <v/>
      </c>
      <c r="AE9" s="303">
        <f>Sales!AE24</f>
        <v/>
      </c>
      <c r="AF9" s="303">
        <f>Sales!AF24</f>
        <v/>
      </c>
      <c r="AG9" s="303">
        <f>Sales!AG24</f>
        <v/>
      </c>
      <c r="AH9" s="303">
        <f>Sales!AH24</f>
        <v/>
      </c>
      <c r="AI9" s="303">
        <f>Sales!AI24</f>
        <v/>
      </c>
      <c r="AJ9" s="303">
        <f>Sales!AJ24</f>
        <v/>
      </c>
      <c r="AK9" s="303">
        <f>Sales!AK24</f>
        <v/>
      </c>
      <c r="AL9" s="303">
        <f>Sales!AL24</f>
        <v/>
      </c>
      <c r="AM9" s="303">
        <f>Sales!AM24</f>
        <v/>
      </c>
      <c r="AN9" s="303">
        <f>SUM(AB9:AM9)</f>
        <v/>
      </c>
      <c r="AO9" s="303">
        <f>Sales!AO24</f>
        <v/>
      </c>
      <c r="AP9" s="303">
        <f>Sales!AP24</f>
        <v/>
      </c>
      <c r="AQ9" s="303">
        <f>Sales!AQ24</f>
        <v/>
      </c>
      <c r="AR9" s="303">
        <f>Sales!AR24</f>
        <v/>
      </c>
      <c r="AS9" s="303">
        <f>Sales!AS24</f>
        <v/>
      </c>
      <c r="AT9" s="303">
        <f>Sales!AT24</f>
        <v/>
      </c>
      <c r="AU9" s="303">
        <f>Sales!AU24</f>
        <v/>
      </c>
      <c r="AV9" s="303">
        <f>Sales!AV24</f>
        <v/>
      </c>
      <c r="AW9" s="303">
        <f>Sales!AW24</f>
        <v/>
      </c>
      <c r="AX9" s="303">
        <f>Sales!AX24</f>
        <v/>
      </c>
      <c r="AY9" s="303">
        <f>Sales!AY24</f>
        <v/>
      </c>
      <c r="AZ9" s="303">
        <f>Sales!AZ24</f>
        <v/>
      </c>
      <c r="BA9" s="303">
        <f>SUM(AO9:AZ9)</f>
        <v/>
      </c>
      <c r="BB9" s="303">
        <f>Sales!BB24</f>
        <v/>
      </c>
      <c r="BC9" s="303">
        <f>Sales!BC24</f>
        <v/>
      </c>
      <c r="BD9" s="303">
        <f>Sales!BD24</f>
        <v/>
      </c>
      <c r="BE9" s="303">
        <f>Sales!BE24</f>
        <v/>
      </c>
      <c r="BF9" s="303">
        <f>Sales!BF24</f>
        <v/>
      </c>
      <c r="BG9" s="303">
        <f>Sales!BG24</f>
        <v/>
      </c>
      <c r="BH9" s="303">
        <f>Sales!BH24</f>
        <v/>
      </c>
      <c r="BI9" s="303">
        <f>Sales!BI24</f>
        <v/>
      </c>
      <c r="BJ9" s="303">
        <f>Sales!BJ24</f>
        <v/>
      </c>
      <c r="BK9" s="303">
        <f>Sales!BK24</f>
        <v/>
      </c>
      <c r="BL9" s="303">
        <f>Sales!BL24</f>
        <v/>
      </c>
      <c r="BM9" s="303">
        <f>Sales!BM24</f>
        <v/>
      </c>
      <c r="BN9" s="303">
        <f>SUM(BB9:BM9)</f>
        <v/>
      </c>
    </row>
    <row r="10" ht="15" customHeight="1" s="82">
      <c r="A10" s="304" t="inlineStr">
        <is>
          <t>Total Revenue</t>
        </is>
      </c>
      <c r="B10" s="305">
        <f>B5+B6+B7+B8+B9</f>
        <v/>
      </c>
      <c r="C10" s="305">
        <f>C5+C6+C7+C8+C9</f>
        <v/>
      </c>
      <c r="D10" s="305">
        <f>D5+D6+D7+D8+D9</f>
        <v/>
      </c>
      <c r="E10" s="305">
        <f>E5+E6+E7+E8+E9</f>
        <v/>
      </c>
      <c r="F10" s="305">
        <f>F5+F6+F7+F8+F9</f>
        <v/>
      </c>
      <c r="G10" s="305">
        <f>G5+G6+G7+G8+G9</f>
        <v/>
      </c>
      <c r="H10" s="305">
        <f>H5+H6+H7+H8+H9</f>
        <v/>
      </c>
      <c r="I10" s="305">
        <f>I5+I6+I7+I8+I9</f>
        <v/>
      </c>
      <c r="J10" s="305">
        <f>J5+J6+J7+J8+J9</f>
        <v/>
      </c>
      <c r="K10" s="305">
        <f>K5+K6+K7+K8+K9</f>
        <v/>
      </c>
      <c r="L10" s="305">
        <f>L5+L6+L7+L8+L9</f>
        <v/>
      </c>
      <c r="M10" s="305">
        <f>M5+M6+M7+M8+M9</f>
        <v/>
      </c>
      <c r="N10" s="305">
        <f>SUM(B10:M10)</f>
        <v/>
      </c>
      <c r="O10" s="305">
        <f>O5+O6+O7+O8+O9</f>
        <v/>
      </c>
      <c r="P10" s="305">
        <f>P5+P6+P7+P8+P9</f>
        <v/>
      </c>
      <c r="Q10" s="305">
        <f>Q5+Q6+Q7+Q8+Q9</f>
        <v/>
      </c>
      <c r="R10" s="305">
        <f>R5+R6+R7+R8+R9</f>
        <v/>
      </c>
      <c r="S10" s="305">
        <f>S5+S6+S7+S8+S9</f>
        <v/>
      </c>
      <c r="T10" s="305">
        <f>T5+T6+T7+T8+T9</f>
        <v/>
      </c>
      <c r="U10" s="305">
        <f>U5+U6+U7+U8+U9</f>
        <v/>
      </c>
      <c r="V10" s="305">
        <f>V5+V6+V7+V8+V9</f>
        <v/>
      </c>
      <c r="W10" s="305">
        <f>W5+W6+W7+W8+W9</f>
        <v/>
      </c>
      <c r="X10" s="305">
        <f>X5+X6+X7+X8+X9</f>
        <v/>
      </c>
      <c r="Y10" s="305">
        <f>Y5+Y6+Y7+Y8+Y9</f>
        <v/>
      </c>
      <c r="Z10" s="305">
        <f>Z5+Z6+Z7+Z8+Z9</f>
        <v/>
      </c>
      <c r="AA10" s="305">
        <f>SUM(O10:Z10)</f>
        <v/>
      </c>
      <c r="AB10" s="305">
        <f>AB5+AB6+AB7+AB8+AB9</f>
        <v/>
      </c>
      <c r="AC10" s="305">
        <f>AC5+AC6+AC7+AC8+AC9</f>
        <v/>
      </c>
      <c r="AD10" s="305">
        <f>AD5+AD6+AD7+AD8+AD9</f>
        <v/>
      </c>
      <c r="AE10" s="305">
        <f>AE5+AE6+AE7+AE8+AE9</f>
        <v/>
      </c>
      <c r="AF10" s="305">
        <f>AF5+AF6+AF7+AF8+AF9</f>
        <v/>
      </c>
      <c r="AG10" s="305">
        <f>AG5+AG6+AG7+AG8+AG9</f>
        <v/>
      </c>
      <c r="AH10" s="305">
        <f>AH5+AH6+AH7+AH8+AH9</f>
        <v/>
      </c>
      <c r="AI10" s="305">
        <f>AI5+AI6+AI7+AI8+AI9</f>
        <v/>
      </c>
      <c r="AJ10" s="305">
        <f>AJ5+AJ6+AJ7+AJ8+AJ9</f>
        <v/>
      </c>
      <c r="AK10" s="305">
        <f>AK5+AK6+AK7+AK8+AK9</f>
        <v/>
      </c>
      <c r="AL10" s="305">
        <f>AL5+AL6+AL7+AL8+AL9</f>
        <v/>
      </c>
      <c r="AM10" s="305">
        <f>AM5+AM6+AM7+AM8+AM9</f>
        <v/>
      </c>
      <c r="AN10" s="305">
        <f>SUM(AB10:AM10)</f>
        <v/>
      </c>
      <c r="AO10" s="305">
        <f>AO5+AO6+AO7+AO8+AO9</f>
        <v/>
      </c>
      <c r="AP10" s="305">
        <f>AP5+AP6+AP7+AP8+AP9</f>
        <v/>
      </c>
      <c r="AQ10" s="305">
        <f>AQ5+AQ6+AQ7+AQ8+AQ9</f>
        <v/>
      </c>
      <c r="AR10" s="305">
        <f>AR5+AR6+AR7+AR8+AR9</f>
        <v/>
      </c>
      <c r="AS10" s="305">
        <f>AS5+AS6+AS7+AS8+AS9</f>
        <v/>
      </c>
      <c r="AT10" s="305">
        <f>AT5+AT6+AT7+AT8+AT9</f>
        <v/>
      </c>
      <c r="AU10" s="305">
        <f>AU5+AU6+AU7+AU8+AU9</f>
        <v/>
      </c>
      <c r="AV10" s="305">
        <f>AV5+AV6+AV7+AV8+AV9</f>
        <v/>
      </c>
      <c r="AW10" s="305">
        <f>AW5+AW6+AW7+AW8+AW9</f>
        <v/>
      </c>
      <c r="AX10" s="305">
        <f>AX5+AX6+AX7+AX8+AX9</f>
        <v/>
      </c>
      <c r="AY10" s="305">
        <f>AY5+AY6+AY7+AY8+AY9</f>
        <v/>
      </c>
      <c r="AZ10" s="305">
        <f>AZ5+AZ6+AZ7+AZ8+AZ9</f>
        <v/>
      </c>
      <c r="BA10" s="305">
        <f>SUM(AO10:AZ10)</f>
        <v/>
      </c>
      <c r="BB10" s="305">
        <f>BB5+BB6+BB7+BB8+BB9</f>
        <v/>
      </c>
      <c r="BC10" s="305">
        <f>BC5+BC6+BC7+BC8+BC9</f>
        <v/>
      </c>
      <c r="BD10" s="305">
        <f>BD5+BD6+BD7+BD8+BD9</f>
        <v/>
      </c>
      <c r="BE10" s="305">
        <f>BE5+BE6+BE7+BE8+BE9</f>
        <v/>
      </c>
      <c r="BF10" s="305">
        <f>BF5+BF6+BF7+BF8+BF9</f>
        <v/>
      </c>
      <c r="BG10" s="305">
        <f>BG5+BG6+BG7+BG8+BG9</f>
        <v/>
      </c>
      <c r="BH10" s="305">
        <f>BH5+BH6+BH7+BH8+BH9</f>
        <v/>
      </c>
      <c r="BI10" s="305">
        <f>BI5+BI6+BI7+BI8+BI9</f>
        <v/>
      </c>
      <c r="BJ10" s="305">
        <f>BJ5+BJ6+BJ7+BJ8+BJ9</f>
        <v/>
      </c>
      <c r="BK10" s="305">
        <f>BK5+BK6+BK7+BK8+BK9</f>
        <v/>
      </c>
      <c r="BL10" s="305">
        <f>BL5+BL6+BL7+BL8+BL9</f>
        <v/>
      </c>
      <c r="BM10" s="305">
        <f>BM5+BM6+BM7+BM8+BM9</f>
        <v/>
      </c>
      <c r="BN10" s="305">
        <f>SUM(BB10:BM10)</f>
        <v/>
      </c>
    </row>
    <row r="11" ht="15" customHeight="1" s="82">
      <c r="A11" s="144">
        <f>IFERROR("(-) "&amp;VLOOKUP(Assumptions!$J$5,INDUSTRY_MAP,5,FALSE()),"(-) Raw materials")</f>
        <v/>
      </c>
      <c r="B11" s="306">
        <f>Expenses!B5</f>
        <v/>
      </c>
      <c r="C11" s="306">
        <f>Expenses!C5</f>
        <v/>
      </c>
      <c r="D11" s="306">
        <f>Expenses!D5</f>
        <v/>
      </c>
      <c r="E11" s="306">
        <f>Expenses!E5</f>
        <v/>
      </c>
      <c r="F11" s="306">
        <f>Expenses!F5</f>
        <v/>
      </c>
      <c r="G11" s="306">
        <f>Expenses!G5</f>
        <v/>
      </c>
      <c r="H11" s="306">
        <f>Expenses!H5</f>
        <v/>
      </c>
      <c r="I11" s="306">
        <f>Expenses!I5</f>
        <v/>
      </c>
      <c r="J11" s="306">
        <f>Expenses!J5</f>
        <v/>
      </c>
      <c r="K11" s="306">
        <f>Expenses!K5</f>
        <v/>
      </c>
      <c r="L11" s="306">
        <f>Expenses!L5</f>
        <v/>
      </c>
      <c r="M11" s="306">
        <f>Expenses!M5</f>
        <v/>
      </c>
      <c r="N11" s="306">
        <f>SUM(B11:M11)</f>
        <v/>
      </c>
      <c r="O11" s="306">
        <f>Expenses!O5</f>
        <v/>
      </c>
      <c r="P11" s="306">
        <f>Expenses!P5</f>
        <v/>
      </c>
      <c r="Q11" s="306">
        <f>Expenses!Q5</f>
        <v/>
      </c>
      <c r="R11" s="306">
        <f>Expenses!R5</f>
        <v/>
      </c>
      <c r="S11" s="306">
        <f>Expenses!S5</f>
        <v/>
      </c>
      <c r="T11" s="306">
        <f>Expenses!T5</f>
        <v/>
      </c>
      <c r="U11" s="306">
        <f>Expenses!U5</f>
        <v/>
      </c>
      <c r="V11" s="306">
        <f>Expenses!V5</f>
        <v/>
      </c>
      <c r="W11" s="306">
        <f>Expenses!W5</f>
        <v/>
      </c>
      <c r="X11" s="306">
        <f>Expenses!X5</f>
        <v/>
      </c>
      <c r="Y11" s="306">
        <f>Expenses!Y5</f>
        <v/>
      </c>
      <c r="Z11" s="306">
        <f>Expenses!Z5</f>
        <v/>
      </c>
      <c r="AA11" s="306">
        <f>SUM(O11:Z11)</f>
        <v/>
      </c>
      <c r="AB11" s="306">
        <f>Expenses!AB5</f>
        <v/>
      </c>
      <c r="AC11" s="306">
        <f>Expenses!AC5</f>
        <v/>
      </c>
      <c r="AD11" s="306">
        <f>Expenses!AD5</f>
        <v/>
      </c>
      <c r="AE11" s="306">
        <f>Expenses!AE5</f>
        <v/>
      </c>
      <c r="AF11" s="306">
        <f>Expenses!AF5</f>
        <v/>
      </c>
      <c r="AG11" s="306">
        <f>Expenses!AG5</f>
        <v/>
      </c>
      <c r="AH11" s="306">
        <f>Expenses!AH5</f>
        <v/>
      </c>
      <c r="AI11" s="306">
        <f>Expenses!AI5</f>
        <v/>
      </c>
      <c r="AJ11" s="306">
        <f>Expenses!AJ5</f>
        <v/>
      </c>
      <c r="AK11" s="306">
        <f>Expenses!AK5</f>
        <v/>
      </c>
      <c r="AL11" s="306">
        <f>Expenses!AL5</f>
        <v/>
      </c>
      <c r="AM11" s="306">
        <f>Expenses!AM5</f>
        <v/>
      </c>
      <c r="AN11" s="306">
        <f>SUM(AB11:AM11)</f>
        <v/>
      </c>
      <c r="AO11" s="306">
        <f>Expenses!AO5</f>
        <v/>
      </c>
      <c r="AP11" s="306">
        <f>Expenses!AP5</f>
        <v/>
      </c>
      <c r="AQ11" s="306">
        <f>Expenses!AQ5</f>
        <v/>
      </c>
      <c r="AR11" s="306">
        <f>Expenses!AR5</f>
        <v/>
      </c>
      <c r="AS11" s="306">
        <f>Expenses!AS5</f>
        <v/>
      </c>
      <c r="AT11" s="306">
        <f>Expenses!AT5</f>
        <v/>
      </c>
      <c r="AU11" s="306">
        <f>Expenses!AU5</f>
        <v/>
      </c>
      <c r="AV11" s="306">
        <f>Expenses!AV5</f>
        <v/>
      </c>
      <c r="AW11" s="306">
        <f>Expenses!AW5</f>
        <v/>
      </c>
      <c r="AX11" s="306">
        <f>Expenses!AX5</f>
        <v/>
      </c>
      <c r="AY11" s="306">
        <f>Expenses!AY5</f>
        <v/>
      </c>
      <c r="AZ11" s="306">
        <f>Expenses!AZ5</f>
        <v/>
      </c>
      <c r="BA11" s="306">
        <f>SUM(AO11:AZ11)</f>
        <v/>
      </c>
      <c r="BB11" s="306">
        <f>Expenses!BB5</f>
        <v/>
      </c>
      <c r="BC11" s="306">
        <f>Expenses!BC5</f>
        <v/>
      </c>
      <c r="BD11" s="306">
        <f>Expenses!BD5</f>
        <v/>
      </c>
      <c r="BE11" s="306">
        <f>Expenses!BE5</f>
        <v/>
      </c>
      <c r="BF11" s="306">
        <f>Expenses!BF5</f>
        <v/>
      </c>
      <c r="BG11" s="306">
        <f>Expenses!BG5</f>
        <v/>
      </c>
      <c r="BH11" s="306">
        <f>Expenses!BH5</f>
        <v/>
      </c>
      <c r="BI11" s="306">
        <f>Expenses!BI5</f>
        <v/>
      </c>
      <c r="BJ11" s="306">
        <f>Expenses!BJ5</f>
        <v/>
      </c>
      <c r="BK11" s="306">
        <f>Expenses!BK5</f>
        <v/>
      </c>
      <c r="BL11" s="306">
        <f>Expenses!BL5</f>
        <v/>
      </c>
      <c r="BM11" s="306">
        <f>Expenses!BM5</f>
        <v/>
      </c>
      <c r="BN11" s="306">
        <f>SUM(BB11:BM11)</f>
        <v/>
      </c>
    </row>
    <row r="12" ht="15" customHeight="1" s="82">
      <c r="A12" s="144">
        <f>IFERROR("(-) "&amp;VLOOKUP(Assumptions!$J$5,INDUSTRY_MAP,7,FALSE()),"(-) Power &amp; fuel")</f>
        <v/>
      </c>
      <c r="B12" s="306">
        <f>Expenses!B6</f>
        <v/>
      </c>
      <c r="C12" s="306">
        <f>Expenses!C6</f>
        <v/>
      </c>
      <c r="D12" s="306">
        <f>Expenses!D6</f>
        <v/>
      </c>
      <c r="E12" s="306">
        <f>Expenses!E6</f>
        <v/>
      </c>
      <c r="F12" s="306">
        <f>Expenses!F6</f>
        <v/>
      </c>
      <c r="G12" s="306">
        <f>Expenses!G6</f>
        <v/>
      </c>
      <c r="H12" s="306">
        <f>Expenses!H6</f>
        <v/>
      </c>
      <c r="I12" s="306">
        <f>Expenses!I6</f>
        <v/>
      </c>
      <c r="J12" s="306">
        <f>Expenses!J6</f>
        <v/>
      </c>
      <c r="K12" s="306">
        <f>Expenses!K6</f>
        <v/>
      </c>
      <c r="L12" s="306">
        <f>Expenses!L6</f>
        <v/>
      </c>
      <c r="M12" s="306">
        <f>Expenses!M6</f>
        <v/>
      </c>
      <c r="N12" s="306">
        <f>SUM(B12:M12)</f>
        <v/>
      </c>
      <c r="O12" s="306">
        <f>Expenses!O6</f>
        <v/>
      </c>
      <c r="P12" s="306">
        <f>Expenses!P6</f>
        <v/>
      </c>
      <c r="Q12" s="306">
        <f>Expenses!Q6</f>
        <v/>
      </c>
      <c r="R12" s="306">
        <f>Expenses!R6</f>
        <v/>
      </c>
      <c r="S12" s="306">
        <f>Expenses!S6</f>
        <v/>
      </c>
      <c r="T12" s="306">
        <f>Expenses!T6</f>
        <v/>
      </c>
      <c r="U12" s="306">
        <f>Expenses!U6</f>
        <v/>
      </c>
      <c r="V12" s="306">
        <f>Expenses!V6</f>
        <v/>
      </c>
      <c r="W12" s="306">
        <f>Expenses!W6</f>
        <v/>
      </c>
      <c r="X12" s="306">
        <f>Expenses!X6</f>
        <v/>
      </c>
      <c r="Y12" s="306">
        <f>Expenses!Y6</f>
        <v/>
      </c>
      <c r="Z12" s="306">
        <f>Expenses!Z6</f>
        <v/>
      </c>
      <c r="AA12" s="306">
        <f>SUM(O12:Z12)</f>
        <v/>
      </c>
      <c r="AB12" s="306">
        <f>Expenses!AB6</f>
        <v/>
      </c>
      <c r="AC12" s="306">
        <f>Expenses!AC6</f>
        <v/>
      </c>
      <c r="AD12" s="306">
        <f>Expenses!AD6</f>
        <v/>
      </c>
      <c r="AE12" s="306">
        <f>Expenses!AE6</f>
        <v/>
      </c>
      <c r="AF12" s="306">
        <f>Expenses!AF6</f>
        <v/>
      </c>
      <c r="AG12" s="306">
        <f>Expenses!AG6</f>
        <v/>
      </c>
      <c r="AH12" s="306">
        <f>Expenses!AH6</f>
        <v/>
      </c>
      <c r="AI12" s="306">
        <f>Expenses!AI6</f>
        <v/>
      </c>
      <c r="AJ12" s="306">
        <f>Expenses!AJ6</f>
        <v/>
      </c>
      <c r="AK12" s="306">
        <f>Expenses!AK6</f>
        <v/>
      </c>
      <c r="AL12" s="306">
        <f>Expenses!AL6</f>
        <v/>
      </c>
      <c r="AM12" s="306">
        <f>Expenses!AM6</f>
        <v/>
      </c>
      <c r="AN12" s="306">
        <f>SUM(AB12:AM12)</f>
        <v/>
      </c>
      <c r="AO12" s="306">
        <f>Expenses!AO6</f>
        <v/>
      </c>
      <c r="AP12" s="306">
        <f>Expenses!AP6</f>
        <v/>
      </c>
      <c r="AQ12" s="306">
        <f>Expenses!AQ6</f>
        <v/>
      </c>
      <c r="AR12" s="306">
        <f>Expenses!AR6</f>
        <v/>
      </c>
      <c r="AS12" s="306">
        <f>Expenses!AS6</f>
        <v/>
      </c>
      <c r="AT12" s="306">
        <f>Expenses!AT6</f>
        <v/>
      </c>
      <c r="AU12" s="306">
        <f>Expenses!AU6</f>
        <v/>
      </c>
      <c r="AV12" s="306">
        <f>Expenses!AV6</f>
        <v/>
      </c>
      <c r="AW12" s="306">
        <f>Expenses!AW6</f>
        <v/>
      </c>
      <c r="AX12" s="306">
        <f>Expenses!AX6</f>
        <v/>
      </c>
      <c r="AY12" s="306">
        <f>Expenses!AY6</f>
        <v/>
      </c>
      <c r="AZ12" s="306">
        <f>Expenses!AZ6</f>
        <v/>
      </c>
      <c r="BA12" s="306">
        <f>SUM(AO12:AZ12)</f>
        <v/>
      </c>
      <c r="BB12" s="306">
        <f>Expenses!BB6</f>
        <v/>
      </c>
      <c r="BC12" s="306">
        <f>Expenses!BC6</f>
        <v/>
      </c>
      <c r="BD12" s="306">
        <f>Expenses!BD6</f>
        <v/>
      </c>
      <c r="BE12" s="306">
        <f>Expenses!BE6</f>
        <v/>
      </c>
      <c r="BF12" s="306">
        <f>Expenses!BF6</f>
        <v/>
      </c>
      <c r="BG12" s="306">
        <f>Expenses!BG6</f>
        <v/>
      </c>
      <c r="BH12" s="306">
        <f>Expenses!BH6</f>
        <v/>
      </c>
      <c r="BI12" s="306">
        <f>Expenses!BI6</f>
        <v/>
      </c>
      <c r="BJ12" s="306">
        <f>Expenses!BJ6</f>
        <v/>
      </c>
      <c r="BK12" s="306">
        <f>Expenses!BK6</f>
        <v/>
      </c>
      <c r="BL12" s="306">
        <f>Expenses!BL6</f>
        <v/>
      </c>
      <c r="BM12" s="306">
        <f>Expenses!BM6</f>
        <v/>
      </c>
      <c r="BN12" s="306">
        <f>SUM(BB12:BM12)</f>
        <v/>
      </c>
    </row>
    <row r="13" ht="15" customHeight="1" s="82">
      <c r="A13" s="144" t="inlineStr">
        <is>
          <t>(-) Direct wages &amp; salaries</t>
        </is>
      </c>
      <c r="B13" s="306">
        <f>Expenses!B7</f>
        <v/>
      </c>
      <c r="C13" s="306">
        <f>Expenses!C7</f>
        <v/>
      </c>
      <c r="D13" s="306">
        <f>Expenses!D7</f>
        <v/>
      </c>
      <c r="E13" s="306">
        <f>Expenses!E7</f>
        <v/>
      </c>
      <c r="F13" s="306">
        <f>Expenses!F7</f>
        <v/>
      </c>
      <c r="G13" s="306">
        <f>Expenses!G7</f>
        <v/>
      </c>
      <c r="H13" s="306">
        <f>Expenses!H7</f>
        <v/>
      </c>
      <c r="I13" s="306">
        <f>Expenses!I7</f>
        <v/>
      </c>
      <c r="J13" s="306">
        <f>Expenses!J7</f>
        <v/>
      </c>
      <c r="K13" s="306">
        <f>Expenses!K7</f>
        <v/>
      </c>
      <c r="L13" s="306">
        <f>Expenses!L7</f>
        <v/>
      </c>
      <c r="M13" s="306">
        <f>Expenses!M7</f>
        <v/>
      </c>
      <c r="N13" s="306">
        <f>SUM(B13:M13)</f>
        <v/>
      </c>
      <c r="O13" s="306">
        <f>Expenses!O7</f>
        <v/>
      </c>
      <c r="P13" s="306">
        <f>Expenses!P7</f>
        <v/>
      </c>
      <c r="Q13" s="306">
        <f>Expenses!Q7</f>
        <v/>
      </c>
      <c r="R13" s="306">
        <f>Expenses!R7</f>
        <v/>
      </c>
      <c r="S13" s="306">
        <f>Expenses!S7</f>
        <v/>
      </c>
      <c r="T13" s="306">
        <f>Expenses!T7</f>
        <v/>
      </c>
      <c r="U13" s="306">
        <f>Expenses!U7</f>
        <v/>
      </c>
      <c r="V13" s="306">
        <f>Expenses!V7</f>
        <v/>
      </c>
      <c r="W13" s="306">
        <f>Expenses!W7</f>
        <v/>
      </c>
      <c r="X13" s="306">
        <f>Expenses!X7</f>
        <v/>
      </c>
      <c r="Y13" s="306">
        <f>Expenses!Y7</f>
        <v/>
      </c>
      <c r="Z13" s="306">
        <f>Expenses!Z7</f>
        <v/>
      </c>
      <c r="AA13" s="306">
        <f>SUM(O13:Z13)</f>
        <v/>
      </c>
      <c r="AB13" s="306">
        <f>Expenses!AB7</f>
        <v/>
      </c>
      <c r="AC13" s="306">
        <f>Expenses!AC7</f>
        <v/>
      </c>
      <c r="AD13" s="306">
        <f>Expenses!AD7</f>
        <v/>
      </c>
      <c r="AE13" s="306">
        <f>Expenses!AE7</f>
        <v/>
      </c>
      <c r="AF13" s="306">
        <f>Expenses!AF7</f>
        <v/>
      </c>
      <c r="AG13" s="306">
        <f>Expenses!AG7</f>
        <v/>
      </c>
      <c r="AH13" s="306">
        <f>Expenses!AH7</f>
        <v/>
      </c>
      <c r="AI13" s="306">
        <f>Expenses!AI7</f>
        <v/>
      </c>
      <c r="AJ13" s="306">
        <f>Expenses!AJ7</f>
        <v/>
      </c>
      <c r="AK13" s="306">
        <f>Expenses!AK7</f>
        <v/>
      </c>
      <c r="AL13" s="306">
        <f>Expenses!AL7</f>
        <v/>
      </c>
      <c r="AM13" s="306">
        <f>Expenses!AM7</f>
        <v/>
      </c>
      <c r="AN13" s="306">
        <f>SUM(AB13:AM13)</f>
        <v/>
      </c>
      <c r="AO13" s="306">
        <f>Expenses!AO7</f>
        <v/>
      </c>
      <c r="AP13" s="306">
        <f>Expenses!AP7</f>
        <v/>
      </c>
      <c r="AQ13" s="306">
        <f>Expenses!AQ7</f>
        <v/>
      </c>
      <c r="AR13" s="306">
        <f>Expenses!AR7</f>
        <v/>
      </c>
      <c r="AS13" s="306">
        <f>Expenses!AS7</f>
        <v/>
      </c>
      <c r="AT13" s="306">
        <f>Expenses!AT7</f>
        <v/>
      </c>
      <c r="AU13" s="306">
        <f>Expenses!AU7</f>
        <v/>
      </c>
      <c r="AV13" s="306">
        <f>Expenses!AV7</f>
        <v/>
      </c>
      <c r="AW13" s="306">
        <f>Expenses!AW7</f>
        <v/>
      </c>
      <c r="AX13" s="306">
        <f>Expenses!AX7</f>
        <v/>
      </c>
      <c r="AY13" s="306">
        <f>Expenses!AY7</f>
        <v/>
      </c>
      <c r="AZ13" s="306">
        <f>Expenses!AZ7</f>
        <v/>
      </c>
      <c r="BA13" s="306">
        <f>SUM(AO13:AZ13)</f>
        <v/>
      </c>
      <c r="BB13" s="306">
        <f>Expenses!BB7</f>
        <v/>
      </c>
      <c r="BC13" s="306">
        <f>Expenses!BC7</f>
        <v/>
      </c>
      <c r="BD13" s="306">
        <f>Expenses!BD7</f>
        <v/>
      </c>
      <c r="BE13" s="306">
        <f>Expenses!BE7</f>
        <v/>
      </c>
      <c r="BF13" s="306">
        <f>Expenses!BF7</f>
        <v/>
      </c>
      <c r="BG13" s="306">
        <f>Expenses!BG7</f>
        <v/>
      </c>
      <c r="BH13" s="306">
        <f>Expenses!BH7</f>
        <v/>
      </c>
      <c r="BI13" s="306">
        <f>Expenses!BI7</f>
        <v/>
      </c>
      <c r="BJ13" s="306">
        <f>Expenses!BJ7</f>
        <v/>
      </c>
      <c r="BK13" s="306">
        <f>Expenses!BK7</f>
        <v/>
      </c>
      <c r="BL13" s="306">
        <f>Expenses!BL7</f>
        <v/>
      </c>
      <c r="BM13" s="306">
        <f>Expenses!BM7</f>
        <v/>
      </c>
      <c r="BN13" s="306">
        <f>SUM(BB13:BM13)</f>
        <v/>
      </c>
    </row>
    <row r="14" ht="15" customHeight="1" s="82">
      <c r="A14" s="144" t="inlineStr">
        <is>
          <t>(-) Other variable cost</t>
        </is>
      </c>
      <c r="B14" s="306">
        <f>Expenses!B8</f>
        <v/>
      </c>
      <c r="C14" s="306">
        <f>Expenses!C8</f>
        <v/>
      </c>
      <c r="D14" s="306">
        <f>Expenses!D8</f>
        <v/>
      </c>
      <c r="E14" s="306">
        <f>Expenses!E8</f>
        <v/>
      </c>
      <c r="F14" s="306">
        <f>Expenses!F8</f>
        <v/>
      </c>
      <c r="G14" s="306">
        <f>Expenses!G8</f>
        <v/>
      </c>
      <c r="H14" s="306">
        <f>Expenses!H8</f>
        <v/>
      </c>
      <c r="I14" s="306">
        <f>Expenses!I8</f>
        <v/>
      </c>
      <c r="J14" s="306">
        <f>Expenses!J8</f>
        <v/>
      </c>
      <c r="K14" s="306">
        <f>Expenses!K8</f>
        <v/>
      </c>
      <c r="L14" s="306">
        <f>Expenses!L8</f>
        <v/>
      </c>
      <c r="M14" s="306">
        <f>Expenses!M8</f>
        <v/>
      </c>
      <c r="N14" s="306">
        <f>SUM(B14:M14)</f>
        <v/>
      </c>
      <c r="O14" s="306">
        <f>Expenses!O8</f>
        <v/>
      </c>
      <c r="P14" s="306">
        <f>Expenses!P8</f>
        <v/>
      </c>
      <c r="Q14" s="306">
        <f>Expenses!Q8</f>
        <v/>
      </c>
      <c r="R14" s="306">
        <f>Expenses!R8</f>
        <v/>
      </c>
      <c r="S14" s="306">
        <f>Expenses!S8</f>
        <v/>
      </c>
      <c r="T14" s="306">
        <f>Expenses!T8</f>
        <v/>
      </c>
      <c r="U14" s="306">
        <f>Expenses!U8</f>
        <v/>
      </c>
      <c r="V14" s="306">
        <f>Expenses!V8</f>
        <v/>
      </c>
      <c r="W14" s="306">
        <f>Expenses!W8</f>
        <v/>
      </c>
      <c r="X14" s="306">
        <f>Expenses!X8</f>
        <v/>
      </c>
      <c r="Y14" s="306">
        <f>Expenses!Y8</f>
        <v/>
      </c>
      <c r="Z14" s="306">
        <f>Expenses!Z8</f>
        <v/>
      </c>
      <c r="AA14" s="306">
        <f>SUM(O14:Z14)</f>
        <v/>
      </c>
      <c r="AB14" s="306">
        <f>Expenses!AB8</f>
        <v/>
      </c>
      <c r="AC14" s="306">
        <f>Expenses!AC8</f>
        <v/>
      </c>
      <c r="AD14" s="306">
        <f>Expenses!AD8</f>
        <v/>
      </c>
      <c r="AE14" s="306">
        <f>Expenses!AE8</f>
        <v/>
      </c>
      <c r="AF14" s="306">
        <f>Expenses!AF8</f>
        <v/>
      </c>
      <c r="AG14" s="306">
        <f>Expenses!AG8</f>
        <v/>
      </c>
      <c r="AH14" s="306">
        <f>Expenses!AH8</f>
        <v/>
      </c>
      <c r="AI14" s="306">
        <f>Expenses!AI8</f>
        <v/>
      </c>
      <c r="AJ14" s="306">
        <f>Expenses!AJ8</f>
        <v/>
      </c>
      <c r="AK14" s="306">
        <f>Expenses!AK8</f>
        <v/>
      </c>
      <c r="AL14" s="306">
        <f>Expenses!AL8</f>
        <v/>
      </c>
      <c r="AM14" s="306">
        <f>Expenses!AM8</f>
        <v/>
      </c>
      <c r="AN14" s="306">
        <f>SUM(AB14:AM14)</f>
        <v/>
      </c>
      <c r="AO14" s="306">
        <f>Expenses!AO8</f>
        <v/>
      </c>
      <c r="AP14" s="306">
        <f>Expenses!AP8</f>
        <v/>
      </c>
      <c r="AQ14" s="306">
        <f>Expenses!AQ8</f>
        <v/>
      </c>
      <c r="AR14" s="306">
        <f>Expenses!AR8</f>
        <v/>
      </c>
      <c r="AS14" s="306">
        <f>Expenses!AS8</f>
        <v/>
      </c>
      <c r="AT14" s="306">
        <f>Expenses!AT8</f>
        <v/>
      </c>
      <c r="AU14" s="306">
        <f>Expenses!AU8</f>
        <v/>
      </c>
      <c r="AV14" s="306">
        <f>Expenses!AV8</f>
        <v/>
      </c>
      <c r="AW14" s="306">
        <f>Expenses!AW8</f>
        <v/>
      </c>
      <c r="AX14" s="306">
        <f>Expenses!AX8</f>
        <v/>
      </c>
      <c r="AY14" s="306">
        <f>Expenses!AY8</f>
        <v/>
      </c>
      <c r="AZ14" s="306">
        <f>Expenses!AZ8</f>
        <v/>
      </c>
      <c r="BA14" s="306">
        <f>SUM(AO14:AZ14)</f>
        <v/>
      </c>
      <c r="BB14" s="306">
        <f>Expenses!BB8</f>
        <v/>
      </c>
      <c r="BC14" s="306">
        <f>Expenses!BC8</f>
        <v/>
      </c>
      <c r="BD14" s="306">
        <f>Expenses!BD8</f>
        <v/>
      </c>
      <c r="BE14" s="306">
        <f>Expenses!BE8</f>
        <v/>
      </c>
      <c r="BF14" s="306">
        <f>Expenses!BF8</f>
        <v/>
      </c>
      <c r="BG14" s="306">
        <f>Expenses!BG8</f>
        <v/>
      </c>
      <c r="BH14" s="306">
        <f>Expenses!BH8</f>
        <v/>
      </c>
      <c r="BI14" s="306">
        <f>Expenses!BI8</f>
        <v/>
      </c>
      <c r="BJ14" s="306">
        <f>Expenses!BJ8</f>
        <v/>
      </c>
      <c r="BK14" s="306">
        <f>Expenses!BK8</f>
        <v/>
      </c>
      <c r="BL14" s="306">
        <f>Expenses!BL8</f>
        <v/>
      </c>
      <c r="BM14" s="306">
        <f>Expenses!BM8</f>
        <v/>
      </c>
      <c r="BN14" s="306">
        <f>SUM(BB14:BM14)</f>
        <v/>
      </c>
    </row>
    <row r="15" ht="15" customHeight="1" s="82">
      <c r="A15" s="144">
        <f>IFERROR("(-) "&amp;VLOOKUP(Assumptions!$J$5,INDUSTRY_MAP,8,FALSE()),"(-) Factory overheads")</f>
        <v/>
      </c>
      <c r="B15" s="306">
        <f>Expenses!B9</f>
        <v/>
      </c>
      <c r="C15" s="306">
        <f>Expenses!C9</f>
        <v/>
      </c>
      <c r="D15" s="306">
        <f>Expenses!D9</f>
        <v/>
      </c>
      <c r="E15" s="306">
        <f>Expenses!E9</f>
        <v/>
      </c>
      <c r="F15" s="306">
        <f>Expenses!F9</f>
        <v/>
      </c>
      <c r="G15" s="306">
        <f>Expenses!G9</f>
        <v/>
      </c>
      <c r="H15" s="306">
        <f>Expenses!H9</f>
        <v/>
      </c>
      <c r="I15" s="306">
        <f>Expenses!I9</f>
        <v/>
      </c>
      <c r="J15" s="306">
        <f>Expenses!J9</f>
        <v/>
      </c>
      <c r="K15" s="306">
        <f>Expenses!K9</f>
        <v/>
      </c>
      <c r="L15" s="306">
        <f>Expenses!L9</f>
        <v/>
      </c>
      <c r="M15" s="306">
        <f>Expenses!M9</f>
        <v/>
      </c>
      <c r="N15" s="306">
        <f>SUM(B15:M15)</f>
        <v/>
      </c>
      <c r="O15" s="306">
        <f>Expenses!O9</f>
        <v/>
      </c>
      <c r="P15" s="306">
        <f>Expenses!P9</f>
        <v/>
      </c>
      <c r="Q15" s="306">
        <f>Expenses!Q9</f>
        <v/>
      </c>
      <c r="R15" s="306">
        <f>Expenses!R9</f>
        <v/>
      </c>
      <c r="S15" s="306">
        <f>Expenses!S9</f>
        <v/>
      </c>
      <c r="T15" s="306">
        <f>Expenses!T9</f>
        <v/>
      </c>
      <c r="U15" s="306">
        <f>Expenses!U9</f>
        <v/>
      </c>
      <c r="V15" s="306">
        <f>Expenses!V9</f>
        <v/>
      </c>
      <c r="W15" s="306">
        <f>Expenses!W9</f>
        <v/>
      </c>
      <c r="X15" s="306">
        <f>Expenses!X9</f>
        <v/>
      </c>
      <c r="Y15" s="306">
        <f>Expenses!Y9</f>
        <v/>
      </c>
      <c r="Z15" s="306">
        <f>Expenses!Z9</f>
        <v/>
      </c>
      <c r="AA15" s="306">
        <f>SUM(O15:Z15)</f>
        <v/>
      </c>
      <c r="AB15" s="306">
        <f>Expenses!AB9</f>
        <v/>
      </c>
      <c r="AC15" s="306">
        <f>Expenses!AC9</f>
        <v/>
      </c>
      <c r="AD15" s="306">
        <f>Expenses!AD9</f>
        <v/>
      </c>
      <c r="AE15" s="306">
        <f>Expenses!AE9</f>
        <v/>
      </c>
      <c r="AF15" s="306">
        <f>Expenses!AF9</f>
        <v/>
      </c>
      <c r="AG15" s="306">
        <f>Expenses!AG9</f>
        <v/>
      </c>
      <c r="AH15" s="306">
        <f>Expenses!AH9</f>
        <v/>
      </c>
      <c r="AI15" s="306">
        <f>Expenses!AI9</f>
        <v/>
      </c>
      <c r="AJ15" s="306">
        <f>Expenses!AJ9</f>
        <v/>
      </c>
      <c r="AK15" s="306">
        <f>Expenses!AK9</f>
        <v/>
      </c>
      <c r="AL15" s="306">
        <f>Expenses!AL9</f>
        <v/>
      </c>
      <c r="AM15" s="306">
        <f>Expenses!AM9</f>
        <v/>
      </c>
      <c r="AN15" s="306">
        <f>SUM(AB15:AM15)</f>
        <v/>
      </c>
      <c r="AO15" s="306">
        <f>Expenses!AO9</f>
        <v/>
      </c>
      <c r="AP15" s="306">
        <f>Expenses!AP9</f>
        <v/>
      </c>
      <c r="AQ15" s="306">
        <f>Expenses!AQ9</f>
        <v/>
      </c>
      <c r="AR15" s="306">
        <f>Expenses!AR9</f>
        <v/>
      </c>
      <c r="AS15" s="306">
        <f>Expenses!AS9</f>
        <v/>
      </c>
      <c r="AT15" s="306">
        <f>Expenses!AT9</f>
        <v/>
      </c>
      <c r="AU15" s="306">
        <f>Expenses!AU9</f>
        <v/>
      </c>
      <c r="AV15" s="306">
        <f>Expenses!AV9</f>
        <v/>
      </c>
      <c r="AW15" s="306">
        <f>Expenses!AW9</f>
        <v/>
      </c>
      <c r="AX15" s="306">
        <f>Expenses!AX9</f>
        <v/>
      </c>
      <c r="AY15" s="306">
        <f>Expenses!AY9</f>
        <v/>
      </c>
      <c r="AZ15" s="306">
        <f>Expenses!AZ9</f>
        <v/>
      </c>
      <c r="BA15" s="306">
        <f>SUM(AO15:AZ15)</f>
        <v/>
      </c>
      <c r="BB15" s="306">
        <f>Expenses!BB9</f>
        <v/>
      </c>
      <c r="BC15" s="306">
        <f>Expenses!BC9</f>
        <v/>
      </c>
      <c r="BD15" s="306">
        <f>Expenses!BD9</f>
        <v/>
      </c>
      <c r="BE15" s="306">
        <f>Expenses!BE9</f>
        <v/>
      </c>
      <c r="BF15" s="306">
        <f>Expenses!BF9</f>
        <v/>
      </c>
      <c r="BG15" s="306">
        <f>Expenses!BG9</f>
        <v/>
      </c>
      <c r="BH15" s="306">
        <f>Expenses!BH9</f>
        <v/>
      </c>
      <c r="BI15" s="306">
        <f>Expenses!BI9</f>
        <v/>
      </c>
      <c r="BJ15" s="306">
        <f>Expenses!BJ9</f>
        <v/>
      </c>
      <c r="BK15" s="306">
        <f>Expenses!BK9</f>
        <v/>
      </c>
      <c r="BL15" s="306">
        <f>Expenses!BL9</f>
        <v/>
      </c>
      <c r="BM15" s="306">
        <f>Expenses!BM9</f>
        <v/>
      </c>
      <c r="BN15" s="306">
        <f>SUM(BB15:BM15)</f>
        <v/>
      </c>
    </row>
    <row r="16" ht="15" customHeight="1" s="82">
      <c r="A16" s="144" t="inlineStr">
        <is>
          <t>(-) Repairs &amp; maintenance</t>
        </is>
      </c>
      <c r="B16" s="306">
        <f>Expenses!B10</f>
        <v/>
      </c>
      <c r="C16" s="306">
        <f>Expenses!C10</f>
        <v/>
      </c>
      <c r="D16" s="306">
        <f>Expenses!D10</f>
        <v/>
      </c>
      <c r="E16" s="306">
        <f>Expenses!E10</f>
        <v/>
      </c>
      <c r="F16" s="306">
        <f>Expenses!F10</f>
        <v/>
      </c>
      <c r="G16" s="306">
        <f>Expenses!G10</f>
        <v/>
      </c>
      <c r="H16" s="306">
        <f>Expenses!H10</f>
        <v/>
      </c>
      <c r="I16" s="306">
        <f>Expenses!I10</f>
        <v/>
      </c>
      <c r="J16" s="306">
        <f>Expenses!J10</f>
        <v/>
      </c>
      <c r="K16" s="306">
        <f>Expenses!K10</f>
        <v/>
      </c>
      <c r="L16" s="306">
        <f>Expenses!L10</f>
        <v/>
      </c>
      <c r="M16" s="306">
        <f>Expenses!M10</f>
        <v/>
      </c>
      <c r="N16" s="306">
        <f>SUM(B16:M16)</f>
        <v/>
      </c>
      <c r="O16" s="306">
        <f>Expenses!O10</f>
        <v/>
      </c>
      <c r="P16" s="306">
        <f>Expenses!P10</f>
        <v/>
      </c>
      <c r="Q16" s="306">
        <f>Expenses!Q10</f>
        <v/>
      </c>
      <c r="R16" s="306">
        <f>Expenses!R10</f>
        <v/>
      </c>
      <c r="S16" s="306">
        <f>Expenses!S10</f>
        <v/>
      </c>
      <c r="T16" s="306">
        <f>Expenses!T10</f>
        <v/>
      </c>
      <c r="U16" s="306">
        <f>Expenses!U10</f>
        <v/>
      </c>
      <c r="V16" s="306">
        <f>Expenses!V10</f>
        <v/>
      </c>
      <c r="W16" s="306">
        <f>Expenses!W10</f>
        <v/>
      </c>
      <c r="X16" s="306">
        <f>Expenses!X10</f>
        <v/>
      </c>
      <c r="Y16" s="306">
        <f>Expenses!Y10</f>
        <v/>
      </c>
      <c r="Z16" s="306">
        <f>Expenses!Z10</f>
        <v/>
      </c>
      <c r="AA16" s="306">
        <f>SUM(O16:Z16)</f>
        <v/>
      </c>
      <c r="AB16" s="306">
        <f>Expenses!AB10</f>
        <v/>
      </c>
      <c r="AC16" s="306">
        <f>Expenses!AC10</f>
        <v/>
      </c>
      <c r="AD16" s="306">
        <f>Expenses!AD10</f>
        <v/>
      </c>
      <c r="AE16" s="306">
        <f>Expenses!AE10</f>
        <v/>
      </c>
      <c r="AF16" s="306">
        <f>Expenses!AF10</f>
        <v/>
      </c>
      <c r="AG16" s="306">
        <f>Expenses!AG10</f>
        <v/>
      </c>
      <c r="AH16" s="306">
        <f>Expenses!AH10</f>
        <v/>
      </c>
      <c r="AI16" s="306">
        <f>Expenses!AI10</f>
        <v/>
      </c>
      <c r="AJ16" s="306">
        <f>Expenses!AJ10</f>
        <v/>
      </c>
      <c r="AK16" s="306">
        <f>Expenses!AK10</f>
        <v/>
      </c>
      <c r="AL16" s="306">
        <f>Expenses!AL10</f>
        <v/>
      </c>
      <c r="AM16" s="306">
        <f>Expenses!AM10</f>
        <v/>
      </c>
      <c r="AN16" s="306">
        <f>SUM(AB16:AM16)</f>
        <v/>
      </c>
      <c r="AO16" s="306">
        <f>Expenses!AO10</f>
        <v/>
      </c>
      <c r="AP16" s="306">
        <f>Expenses!AP10</f>
        <v/>
      </c>
      <c r="AQ16" s="306">
        <f>Expenses!AQ10</f>
        <v/>
      </c>
      <c r="AR16" s="306">
        <f>Expenses!AR10</f>
        <v/>
      </c>
      <c r="AS16" s="306">
        <f>Expenses!AS10</f>
        <v/>
      </c>
      <c r="AT16" s="306">
        <f>Expenses!AT10</f>
        <v/>
      </c>
      <c r="AU16" s="306">
        <f>Expenses!AU10</f>
        <v/>
      </c>
      <c r="AV16" s="306">
        <f>Expenses!AV10</f>
        <v/>
      </c>
      <c r="AW16" s="306">
        <f>Expenses!AW10</f>
        <v/>
      </c>
      <c r="AX16" s="306">
        <f>Expenses!AX10</f>
        <v/>
      </c>
      <c r="AY16" s="306">
        <f>Expenses!AY10</f>
        <v/>
      </c>
      <c r="AZ16" s="306">
        <f>Expenses!AZ10</f>
        <v/>
      </c>
      <c r="BA16" s="306">
        <f>SUM(AO16:AZ16)</f>
        <v/>
      </c>
      <c r="BB16" s="306">
        <f>Expenses!BB10</f>
        <v/>
      </c>
      <c r="BC16" s="306">
        <f>Expenses!BC10</f>
        <v/>
      </c>
      <c r="BD16" s="306">
        <f>Expenses!BD10</f>
        <v/>
      </c>
      <c r="BE16" s="306">
        <f>Expenses!BE10</f>
        <v/>
      </c>
      <c r="BF16" s="306">
        <f>Expenses!BF10</f>
        <v/>
      </c>
      <c r="BG16" s="306">
        <f>Expenses!BG10</f>
        <v/>
      </c>
      <c r="BH16" s="306">
        <f>Expenses!BH10</f>
        <v/>
      </c>
      <c r="BI16" s="306">
        <f>Expenses!BI10</f>
        <v/>
      </c>
      <c r="BJ16" s="306">
        <f>Expenses!BJ10</f>
        <v/>
      </c>
      <c r="BK16" s="306">
        <f>Expenses!BK10</f>
        <v/>
      </c>
      <c r="BL16" s="306">
        <f>Expenses!BL10</f>
        <v/>
      </c>
      <c r="BM16" s="306">
        <f>Expenses!BM10</f>
        <v/>
      </c>
      <c r="BN16" s="306">
        <f>SUM(BB16:BM16)</f>
        <v/>
      </c>
    </row>
    <row r="17" ht="15" customHeight="1" s="82">
      <c r="A17" s="144" t="inlineStr">
        <is>
          <t>(-) Administrative expenses</t>
        </is>
      </c>
      <c r="B17" s="306">
        <f>Expenses!B11</f>
        <v/>
      </c>
      <c r="C17" s="306">
        <f>Expenses!C11</f>
        <v/>
      </c>
      <c r="D17" s="306">
        <f>Expenses!D11</f>
        <v/>
      </c>
      <c r="E17" s="306">
        <f>Expenses!E11</f>
        <v/>
      </c>
      <c r="F17" s="306">
        <f>Expenses!F11</f>
        <v/>
      </c>
      <c r="G17" s="306">
        <f>Expenses!G11</f>
        <v/>
      </c>
      <c r="H17" s="306">
        <f>Expenses!H11</f>
        <v/>
      </c>
      <c r="I17" s="306">
        <f>Expenses!I11</f>
        <v/>
      </c>
      <c r="J17" s="306">
        <f>Expenses!J11</f>
        <v/>
      </c>
      <c r="K17" s="306">
        <f>Expenses!K11</f>
        <v/>
      </c>
      <c r="L17" s="306">
        <f>Expenses!L11</f>
        <v/>
      </c>
      <c r="M17" s="306">
        <f>Expenses!M11</f>
        <v/>
      </c>
      <c r="N17" s="306">
        <f>SUM(B17:M17)</f>
        <v/>
      </c>
      <c r="O17" s="306">
        <f>Expenses!O11</f>
        <v/>
      </c>
      <c r="P17" s="306">
        <f>Expenses!P11</f>
        <v/>
      </c>
      <c r="Q17" s="306">
        <f>Expenses!Q11</f>
        <v/>
      </c>
      <c r="R17" s="306">
        <f>Expenses!R11</f>
        <v/>
      </c>
      <c r="S17" s="306">
        <f>Expenses!S11</f>
        <v/>
      </c>
      <c r="T17" s="306">
        <f>Expenses!T11</f>
        <v/>
      </c>
      <c r="U17" s="306">
        <f>Expenses!U11</f>
        <v/>
      </c>
      <c r="V17" s="306">
        <f>Expenses!V11</f>
        <v/>
      </c>
      <c r="W17" s="306">
        <f>Expenses!W11</f>
        <v/>
      </c>
      <c r="X17" s="306">
        <f>Expenses!X11</f>
        <v/>
      </c>
      <c r="Y17" s="306">
        <f>Expenses!Y11</f>
        <v/>
      </c>
      <c r="Z17" s="306">
        <f>Expenses!Z11</f>
        <v/>
      </c>
      <c r="AA17" s="306">
        <f>SUM(O17:Z17)</f>
        <v/>
      </c>
      <c r="AB17" s="306">
        <f>Expenses!AB11</f>
        <v/>
      </c>
      <c r="AC17" s="306">
        <f>Expenses!AC11</f>
        <v/>
      </c>
      <c r="AD17" s="306">
        <f>Expenses!AD11</f>
        <v/>
      </c>
      <c r="AE17" s="306">
        <f>Expenses!AE11</f>
        <v/>
      </c>
      <c r="AF17" s="306">
        <f>Expenses!AF11</f>
        <v/>
      </c>
      <c r="AG17" s="306">
        <f>Expenses!AG11</f>
        <v/>
      </c>
      <c r="AH17" s="306">
        <f>Expenses!AH11</f>
        <v/>
      </c>
      <c r="AI17" s="306">
        <f>Expenses!AI11</f>
        <v/>
      </c>
      <c r="AJ17" s="306">
        <f>Expenses!AJ11</f>
        <v/>
      </c>
      <c r="AK17" s="306">
        <f>Expenses!AK11</f>
        <v/>
      </c>
      <c r="AL17" s="306">
        <f>Expenses!AL11</f>
        <v/>
      </c>
      <c r="AM17" s="306">
        <f>Expenses!AM11</f>
        <v/>
      </c>
      <c r="AN17" s="306">
        <f>SUM(AB17:AM17)</f>
        <v/>
      </c>
      <c r="AO17" s="306">
        <f>Expenses!AO11</f>
        <v/>
      </c>
      <c r="AP17" s="306">
        <f>Expenses!AP11</f>
        <v/>
      </c>
      <c r="AQ17" s="306">
        <f>Expenses!AQ11</f>
        <v/>
      </c>
      <c r="AR17" s="306">
        <f>Expenses!AR11</f>
        <v/>
      </c>
      <c r="AS17" s="306">
        <f>Expenses!AS11</f>
        <v/>
      </c>
      <c r="AT17" s="306">
        <f>Expenses!AT11</f>
        <v/>
      </c>
      <c r="AU17" s="306">
        <f>Expenses!AU11</f>
        <v/>
      </c>
      <c r="AV17" s="306">
        <f>Expenses!AV11</f>
        <v/>
      </c>
      <c r="AW17" s="306">
        <f>Expenses!AW11</f>
        <v/>
      </c>
      <c r="AX17" s="306">
        <f>Expenses!AX11</f>
        <v/>
      </c>
      <c r="AY17" s="306">
        <f>Expenses!AY11</f>
        <v/>
      </c>
      <c r="AZ17" s="306">
        <f>Expenses!AZ11</f>
        <v/>
      </c>
      <c r="BA17" s="306">
        <f>SUM(AO17:AZ17)</f>
        <v/>
      </c>
      <c r="BB17" s="306">
        <f>Expenses!BB11</f>
        <v/>
      </c>
      <c r="BC17" s="306">
        <f>Expenses!BC11</f>
        <v/>
      </c>
      <c r="BD17" s="306">
        <f>Expenses!BD11</f>
        <v/>
      </c>
      <c r="BE17" s="306">
        <f>Expenses!BE11</f>
        <v/>
      </c>
      <c r="BF17" s="306">
        <f>Expenses!BF11</f>
        <v/>
      </c>
      <c r="BG17" s="306">
        <f>Expenses!BG11</f>
        <v/>
      </c>
      <c r="BH17" s="306">
        <f>Expenses!BH11</f>
        <v/>
      </c>
      <c r="BI17" s="306">
        <f>Expenses!BI11</f>
        <v/>
      </c>
      <c r="BJ17" s="306">
        <f>Expenses!BJ11</f>
        <v/>
      </c>
      <c r="BK17" s="306">
        <f>Expenses!BK11</f>
        <v/>
      </c>
      <c r="BL17" s="306">
        <f>Expenses!BL11</f>
        <v/>
      </c>
      <c r="BM17" s="306">
        <f>Expenses!BM11</f>
        <v/>
      </c>
      <c r="BN17" s="306">
        <f>SUM(BB17:BM17)</f>
        <v/>
      </c>
    </row>
    <row r="18" ht="15" customHeight="1" s="82">
      <c r="A18" s="144" t="inlineStr">
        <is>
          <t>(-) Selling &amp; distribution</t>
        </is>
      </c>
      <c r="B18" s="306">
        <f>Expenses!B12</f>
        <v/>
      </c>
      <c r="C18" s="306">
        <f>Expenses!C12</f>
        <v/>
      </c>
      <c r="D18" s="306">
        <f>Expenses!D12</f>
        <v/>
      </c>
      <c r="E18" s="306">
        <f>Expenses!E12</f>
        <v/>
      </c>
      <c r="F18" s="306">
        <f>Expenses!F12</f>
        <v/>
      </c>
      <c r="G18" s="306">
        <f>Expenses!G12</f>
        <v/>
      </c>
      <c r="H18" s="306">
        <f>Expenses!H12</f>
        <v/>
      </c>
      <c r="I18" s="306">
        <f>Expenses!I12</f>
        <v/>
      </c>
      <c r="J18" s="306">
        <f>Expenses!J12</f>
        <v/>
      </c>
      <c r="K18" s="306">
        <f>Expenses!K12</f>
        <v/>
      </c>
      <c r="L18" s="306">
        <f>Expenses!L12</f>
        <v/>
      </c>
      <c r="M18" s="306">
        <f>Expenses!M12</f>
        <v/>
      </c>
      <c r="N18" s="306">
        <f>SUM(B18:M18)</f>
        <v/>
      </c>
      <c r="O18" s="306">
        <f>Expenses!O12</f>
        <v/>
      </c>
      <c r="P18" s="306">
        <f>Expenses!P12</f>
        <v/>
      </c>
      <c r="Q18" s="306">
        <f>Expenses!Q12</f>
        <v/>
      </c>
      <c r="R18" s="306">
        <f>Expenses!R12</f>
        <v/>
      </c>
      <c r="S18" s="306">
        <f>Expenses!S12</f>
        <v/>
      </c>
      <c r="T18" s="306">
        <f>Expenses!T12</f>
        <v/>
      </c>
      <c r="U18" s="306">
        <f>Expenses!U12</f>
        <v/>
      </c>
      <c r="V18" s="306">
        <f>Expenses!V12</f>
        <v/>
      </c>
      <c r="W18" s="306">
        <f>Expenses!W12</f>
        <v/>
      </c>
      <c r="X18" s="306">
        <f>Expenses!X12</f>
        <v/>
      </c>
      <c r="Y18" s="306">
        <f>Expenses!Y12</f>
        <v/>
      </c>
      <c r="Z18" s="306">
        <f>Expenses!Z12</f>
        <v/>
      </c>
      <c r="AA18" s="306">
        <f>SUM(O18:Z18)</f>
        <v/>
      </c>
      <c r="AB18" s="306">
        <f>Expenses!AB12</f>
        <v/>
      </c>
      <c r="AC18" s="306">
        <f>Expenses!AC12</f>
        <v/>
      </c>
      <c r="AD18" s="306">
        <f>Expenses!AD12</f>
        <v/>
      </c>
      <c r="AE18" s="306">
        <f>Expenses!AE12</f>
        <v/>
      </c>
      <c r="AF18" s="306">
        <f>Expenses!AF12</f>
        <v/>
      </c>
      <c r="AG18" s="306">
        <f>Expenses!AG12</f>
        <v/>
      </c>
      <c r="AH18" s="306">
        <f>Expenses!AH12</f>
        <v/>
      </c>
      <c r="AI18" s="306">
        <f>Expenses!AI12</f>
        <v/>
      </c>
      <c r="AJ18" s="306">
        <f>Expenses!AJ12</f>
        <v/>
      </c>
      <c r="AK18" s="306">
        <f>Expenses!AK12</f>
        <v/>
      </c>
      <c r="AL18" s="306">
        <f>Expenses!AL12</f>
        <v/>
      </c>
      <c r="AM18" s="306">
        <f>Expenses!AM12</f>
        <v/>
      </c>
      <c r="AN18" s="306">
        <f>SUM(AB18:AM18)</f>
        <v/>
      </c>
      <c r="AO18" s="306">
        <f>Expenses!AO12</f>
        <v/>
      </c>
      <c r="AP18" s="306">
        <f>Expenses!AP12</f>
        <v/>
      </c>
      <c r="AQ18" s="306">
        <f>Expenses!AQ12</f>
        <v/>
      </c>
      <c r="AR18" s="306">
        <f>Expenses!AR12</f>
        <v/>
      </c>
      <c r="AS18" s="306">
        <f>Expenses!AS12</f>
        <v/>
      </c>
      <c r="AT18" s="306">
        <f>Expenses!AT12</f>
        <v/>
      </c>
      <c r="AU18" s="306">
        <f>Expenses!AU12</f>
        <v/>
      </c>
      <c r="AV18" s="306">
        <f>Expenses!AV12</f>
        <v/>
      </c>
      <c r="AW18" s="306">
        <f>Expenses!AW12</f>
        <v/>
      </c>
      <c r="AX18" s="306">
        <f>Expenses!AX12</f>
        <v/>
      </c>
      <c r="AY18" s="306">
        <f>Expenses!AY12</f>
        <v/>
      </c>
      <c r="AZ18" s="306">
        <f>Expenses!AZ12</f>
        <v/>
      </c>
      <c r="BA18" s="306">
        <f>SUM(AO18:AZ18)</f>
        <v/>
      </c>
      <c r="BB18" s="306">
        <f>Expenses!BB12</f>
        <v/>
      </c>
      <c r="BC18" s="306">
        <f>Expenses!BC12</f>
        <v/>
      </c>
      <c r="BD18" s="306">
        <f>Expenses!BD12</f>
        <v/>
      </c>
      <c r="BE18" s="306">
        <f>Expenses!BE12</f>
        <v/>
      </c>
      <c r="BF18" s="306">
        <f>Expenses!BF12</f>
        <v/>
      </c>
      <c r="BG18" s="306">
        <f>Expenses!BG12</f>
        <v/>
      </c>
      <c r="BH18" s="306">
        <f>Expenses!BH12</f>
        <v/>
      </c>
      <c r="BI18" s="306">
        <f>Expenses!BI12</f>
        <v/>
      </c>
      <c r="BJ18" s="306">
        <f>Expenses!BJ12</f>
        <v/>
      </c>
      <c r="BK18" s="306">
        <f>Expenses!BK12</f>
        <v/>
      </c>
      <c r="BL18" s="306">
        <f>Expenses!BL12</f>
        <v/>
      </c>
      <c r="BM18" s="306">
        <f>Expenses!BM12</f>
        <v/>
      </c>
      <c r="BN18" s="306">
        <f>SUM(BB18:BM18)</f>
        <v/>
      </c>
    </row>
    <row r="19" ht="15" customHeight="1" s="82">
      <c r="A19" s="304" t="inlineStr">
        <is>
          <t>EBITDA</t>
        </is>
      </c>
      <c r="B19" s="305">
        <f>B10-SUM(B11:B18)</f>
        <v/>
      </c>
      <c r="C19" s="305">
        <f>C10-SUM(C11:C18)</f>
        <v/>
      </c>
      <c r="D19" s="305">
        <f>D10-SUM(D11:D18)</f>
        <v/>
      </c>
      <c r="E19" s="305">
        <f>E10-SUM(E11:E18)</f>
        <v/>
      </c>
      <c r="F19" s="305">
        <f>F10-SUM(F11:F18)</f>
        <v/>
      </c>
      <c r="G19" s="305">
        <f>G10-SUM(G11:G18)</f>
        <v/>
      </c>
      <c r="H19" s="305">
        <f>H10-SUM(H11:H18)</f>
        <v/>
      </c>
      <c r="I19" s="305">
        <f>I10-SUM(I11:I18)</f>
        <v/>
      </c>
      <c r="J19" s="305">
        <f>J10-SUM(J11:J18)</f>
        <v/>
      </c>
      <c r="K19" s="305">
        <f>K10-SUM(K11:K18)</f>
        <v/>
      </c>
      <c r="L19" s="305">
        <f>L10-SUM(L11:L18)</f>
        <v/>
      </c>
      <c r="M19" s="305">
        <f>M10-SUM(M11:M18)</f>
        <v/>
      </c>
      <c r="N19" s="305">
        <f>SUM(B19:M19)</f>
        <v/>
      </c>
      <c r="O19" s="305">
        <f>O10-SUM(O11:O18)</f>
        <v/>
      </c>
      <c r="P19" s="305">
        <f>P10-SUM(P11:P18)</f>
        <v/>
      </c>
      <c r="Q19" s="305">
        <f>Q10-SUM(Q11:Q18)</f>
        <v/>
      </c>
      <c r="R19" s="305">
        <f>R10-SUM(R11:R18)</f>
        <v/>
      </c>
      <c r="S19" s="305">
        <f>S10-SUM(S11:S18)</f>
        <v/>
      </c>
      <c r="T19" s="305">
        <f>T10-SUM(T11:T18)</f>
        <v/>
      </c>
      <c r="U19" s="305">
        <f>U10-SUM(U11:U18)</f>
        <v/>
      </c>
      <c r="V19" s="305">
        <f>V10-SUM(V11:V18)</f>
        <v/>
      </c>
      <c r="W19" s="305">
        <f>W10-SUM(W11:W18)</f>
        <v/>
      </c>
      <c r="X19" s="305">
        <f>X10-SUM(X11:X18)</f>
        <v/>
      </c>
      <c r="Y19" s="305">
        <f>Y10-SUM(Y11:Y18)</f>
        <v/>
      </c>
      <c r="Z19" s="305">
        <f>Z10-SUM(Z11:Z18)</f>
        <v/>
      </c>
      <c r="AA19" s="305">
        <f>SUM(O19:Z19)</f>
        <v/>
      </c>
      <c r="AB19" s="305">
        <f>AB10-SUM(AB11:AB18)</f>
        <v/>
      </c>
      <c r="AC19" s="305">
        <f>AC10-SUM(AC11:AC18)</f>
        <v/>
      </c>
      <c r="AD19" s="305">
        <f>AD10-SUM(AD11:AD18)</f>
        <v/>
      </c>
      <c r="AE19" s="305">
        <f>AE10-SUM(AE11:AE18)</f>
        <v/>
      </c>
      <c r="AF19" s="305">
        <f>AF10-SUM(AF11:AF18)</f>
        <v/>
      </c>
      <c r="AG19" s="305">
        <f>AG10-SUM(AG11:AG18)</f>
        <v/>
      </c>
      <c r="AH19" s="305">
        <f>AH10-SUM(AH11:AH18)</f>
        <v/>
      </c>
      <c r="AI19" s="305">
        <f>AI10-SUM(AI11:AI18)</f>
        <v/>
      </c>
      <c r="AJ19" s="305">
        <f>AJ10-SUM(AJ11:AJ18)</f>
        <v/>
      </c>
      <c r="AK19" s="305">
        <f>AK10-SUM(AK11:AK18)</f>
        <v/>
      </c>
      <c r="AL19" s="305">
        <f>AL10-SUM(AL11:AL18)</f>
        <v/>
      </c>
      <c r="AM19" s="305">
        <f>AM10-SUM(AM11:AM18)</f>
        <v/>
      </c>
      <c r="AN19" s="305">
        <f>SUM(AB19:AM19)</f>
        <v/>
      </c>
      <c r="AO19" s="305">
        <f>AO10-SUM(AO11:AO18)</f>
        <v/>
      </c>
      <c r="AP19" s="305">
        <f>AP10-SUM(AP11:AP18)</f>
        <v/>
      </c>
      <c r="AQ19" s="305">
        <f>AQ10-SUM(AQ11:AQ18)</f>
        <v/>
      </c>
      <c r="AR19" s="305">
        <f>AR10-SUM(AR11:AR18)</f>
        <v/>
      </c>
      <c r="AS19" s="305">
        <f>AS10-SUM(AS11:AS18)</f>
        <v/>
      </c>
      <c r="AT19" s="305">
        <f>AT10-SUM(AT11:AT18)</f>
        <v/>
      </c>
      <c r="AU19" s="305">
        <f>AU10-SUM(AU11:AU18)</f>
        <v/>
      </c>
      <c r="AV19" s="305">
        <f>AV10-SUM(AV11:AV18)</f>
        <v/>
      </c>
      <c r="AW19" s="305">
        <f>AW10-SUM(AW11:AW18)</f>
        <v/>
      </c>
      <c r="AX19" s="305">
        <f>AX10-SUM(AX11:AX18)</f>
        <v/>
      </c>
      <c r="AY19" s="305">
        <f>AY10-SUM(AY11:AY18)</f>
        <v/>
      </c>
      <c r="AZ19" s="305">
        <f>AZ10-SUM(AZ11:AZ18)</f>
        <v/>
      </c>
      <c r="BA19" s="305">
        <f>SUM(AO19:AZ19)</f>
        <v/>
      </c>
      <c r="BB19" s="305">
        <f>BB10-SUM(BB11:BB18)</f>
        <v/>
      </c>
      <c r="BC19" s="305">
        <f>BC10-SUM(BC11:BC18)</f>
        <v/>
      </c>
      <c r="BD19" s="305">
        <f>BD10-SUM(BD11:BD18)</f>
        <v/>
      </c>
      <c r="BE19" s="305">
        <f>BE10-SUM(BE11:BE18)</f>
        <v/>
      </c>
      <c r="BF19" s="305">
        <f>BF10-SUM(BF11:BF18)</f>
        <v/>
      </c>
      <c r="BG19" s="305">
        <f>BG10-SUM(BG11:BG18)</f>
        <v/>
      </c>
      <c r="BH19" s="305">
        <f>BH10-SUM(BH11:BH18)</f>
        <v/>
      </c>
      <c r="BI19" s="305">
        <f>BI10-SUM(BI11:BI18)</f>
        <v/>
      </c>
      <c r="BJ19" s="305">
        <f>BJ10-SUM(BJ11:BJ18)</f>
        <v/>
      </c>
      <c r="BK19" s="305">
        <f>BK10-SUM(BK11:BK18)</f>
        <v/>
      </c>
      <c r="BL19" s="305">
        <f>BL10-SUM(BL11:BL18)</f>
        <v/>
      </c>
      <c r="BM19" s="305">
        <f>BM10-SUM(BM11:BM18)</f>
        <v/>
      </c>
      <c r="BN19" s="305">
        <f>SUM(BB19:BM19)</f>
        <v/>
      </c>
    </row>
    <row r="20" ht="15" customHeight="1" s="82">
      <c r="A20" s="144" t="inlineStr">
        <is>
          <t>(-) Depreciation</t>
        </is>
      </c>
      <c r="B20" s="306">
        <f>Expenses!B13</f>
        <v/>
      </c>
      <c r="C20" s="306">
        <f>Expenses!C13</f>
        <v/>
      </c>
      <c r="D20" s="306">
        <f>Expenses!D13</f>
        <v/>
      </c>
      <c r="E20" s="306">
        <f>Expenses!E13</f>
        <v/>
      </c>
      <c r="F20" s="306">
        <f>Expenses!F13</f>
        <v/>
      </c>
      <c r="G20" s="306">
        <f>Expenses!G13</f>
        <v/>
      </c>
      <c r="H20" s="306">
        <f>Expenses!H13</f>
        <v/>
      </c>
      <c r="I20" s="306">
        <f>Expenses!I13</f>
        <v/>
      </c>
      <c r="J20" s="306">
        <f>Expenses!J13</f>
        <v/>
      </c>
      <c r="K20" s="306">
        <f>Expenses!K13</f>
        <v/>
      </c>
      <c r="L20" s="306">
        <f>Expenses!L13</f>
        <v/>
      </c>
      <c r="M20" s="306">
        <f>Expenses!M13</f>
        <v/>
      </c>
      <c r="N20" s="306">
        <f>SUM(B20:M20)</f>
        <v/>
      </c>
      <c r="O20" s="306">
        <f>Expenses!O13</f>
        <v/>
      </c>
      <c r="P20" s="306">
        <f>Expenses!P13</f>
        <v/>
      </c>
      <c r="Q20" s="306">
        <f>Expenses!Q13</f>
        <v/>
      </c>
      <c r="R20" s="306">
        <f>Expenses!R13</f>
        <v/>
      </c>
      <c r="S20" s="306">
        <f>Expenses!S13</f>
        <v/>
      </c>
      <c r="T20" s="306">
        <f>Expenses!T13</f>
        <v/>
      </c>
      <c r="U20" s="306">
        <f>Expenses!U13</f>
        <v/>
      </c>
      <c r="V20" s="306">
        <f>Expenses!V13</f>
        <v/>
      </c>
      <c r="W20" s="306">
        <f>Expenses!W13</f>
        <v/>
      </c>
      <c r="X20" s="306">
        <f>Expenses!X13</f>
        <v/>
      </c>
      <c r="Y20" s="306">
        <f>Expenses!Y13</f>
        <v/>
      </c>
      <c r="Z20" s="306">
        <f>Expenses!Z13</f>
        <v/>
      </c>
      <c r="AA20" s="306">
        <f>SUM(O20:Z20)</f>
        <v/>
      </c>
      <c r="AB20" s="306">
        <f>Expenses!AB13</f>
        <v/>
      </c>
      <c r="AC20" s="306">
        <f>Expenses!AC13</f>
        <v/>
      </c>
      <c r="AD20" s="306">
        <f>Expenses!AD13</f>
        <v/>
      </c>
      <c r="AE20" s="306">
        <f>Expenses!AE13</f>
        <v/>
      </c>
      <c r="AF20" s="306">
        <f>Expenses!AF13</f>
        <v/>
      </c>
      <c r="AG20" s="306">
        <f>Expenses!AG13</f>
        <v/>
      </c>
      <c r="AH20" s="306">
        <f>Expenses!AH13</f>
        <v/>
      </c>
      <c r="AI20" s="306">
        <f>Expenses!AI13</f>
        <v/>
      </c>
      <c r="AJ20" s="306">
        <f>Expenses!AJ13</f>
        <v/>
      </c>
      <c r="AK20" s="306">
        <f>Expenses!AK13</f>
        <v/>
      </c>
      <c r="AL20" s="306">
        <f>Expenses!AL13</f>
        <v/>
      </c>
      <c r="AM20" s="306">
        <f>Expenses!AM13</f>
        <v/>
      </c>
      <c r="AN20" s="306">
        <f>SUM(AB20:AM20)</f>
        <v/>
      </c>
      <c r="AO20" s="306">
        <f>Expenses!AO13</f>
        <v/>
      </c>
      <c r="AP20" s="306">
        <f>Expenses!AP13</f>
        <v/>
      </c>
      <c r="AQ20" s="306">
        <f>Expenses!AQ13</f>
        <v/>
      </c>
      <c r="AR20" s="306">
        <f>Expenses!AR13</f>
        <v/>
      </c>
      <c r="AS20" s="306">
        <f>Expenses!AS13</f>
        <v/>
      </c>
      <c r="AT20" s="306">
        <f>Expenses!AT13</f>
        <v/>
      </c>
      <c r="AU20" s="306">
        <f>Expenses!AU13</f>
        <v/>
      </c>
      <c r="AV20" s="306">
        <f>Expenses!AV13</f>
        <v/>
      </c>
      <c r="AW20" s="306">
        <f>Expenses!AW13</f>
        <v/>
      </c>
      <c r="AX20" s="306">
        <f>Expenses!AX13</f>
        <v/>
      </c>
      <c r="AY20" s="306">
        <f>Expenses!AY13</f>
        <v/>
      </c>
      <c r="AZ20" s="306">
        <f>Expenses!AZ13</f>
        <v/>
      </c>
      <c r="BA20" s="306">
        <f>SUM(AO20:AZ20)</f>
        <v/>
      </c>
      <c r="BB20" s="306">
        <f>Expenses!BB13</f>
        <v/>
      </c>
      <c r="BC20" s="306">
        <f>Expenses!BC13</f>
        <v/>
      </c>
      <c r="BD20" s="306">
        <f>Expenses!BD13</f>
        <v/>
      </c>
      <c r="BE20" s="306">
        <f>Expenses!BE13</f>
        <v/>
      </c>
      <c r="BF20" s="306">
        <f>Expenses!BF13</f>
        <v/>
      </c>
      <c r="BG20" s="306">
        <f>Expenses!BG13</f>
        <v/>
      </c>
      <c r="BH20" s="306">
        <f>Expenses!BH13</f>
        <v/>
      </c>
      <c r="BI20" s="306">
        <f>Expenses!BI13</f>
        <v/>
      </c>
      <c r="BJ20" s="306">
        <f>Expenses!BJ13</f>
        <v/>
      </c>
      <c r="BK20" s="306">
        <f>Expenses!BK13</f>
        <v/>
      </c>
      <c r="BL20" s="306">
        <f>Expenses!BL13</f>
        <v/>
      </c>
      <c r="BM20" s="306">
        <f>Expenses!BM13</f>
        <v/>
      </c>
      <c r="BN20" s="306">
        <f>SUM(BB20:BM20)</f>
        <v/>
      </c>
    </row>
    <row r="21" ht="15" customHeight="1" s="82">
      <c r="A21" s="304" t="inlineStr">
        <is>
          <t>EBIT (Operating Profit)</t>
        </is>
      </c>
      <c r="B21" s="305">
        <f>B19-B20</f>
        <v/>
      </c>
      <c r="C21" s="305">
        <f>C19-C20</f>
        <v/>
      </c>
      <c r="D21" s="305">
        <f>D19-D20</f>
        <v/>
      </c>
      <c r="E21" s="305">
        <f>E19-E20</f>
        <v/>
      </c>
      <c r="F21" s="305">
        <f>F19-F20</f>
        <v/>
      </c>
      <c r="G21" s="305">
        <f>G19-G20</f>
        <v/>
      </c>
      <c r="H21" s="305">
        <f>H19-H20</f>
        <v/>
      </c>
      <c r="I21" s="305">
        <f>I19-I20</f>
        <v/>
      </c>
      <c r="J21" s="305">
        <f>J19-J20</f>
        <v/>
      </c>
      <c r="K21" s="305">
        <f>K19-K20</f>
        <v/>
      </c>
      <c r="L21" s="305">
        <f>L19-L20</f>
        <v/>
      </c>
      <c r="M21" s="305">
        <f>M19-M20</f>
        <v/>
      </c>
      <c r="N21" s="305">
        <f>SUM(B21:M21)</f>
        <v/>
      </c>
      <c r="O21" s="305">
        <f>O19-O20</f>
        <v/>
      </c>
      <c r="P21" s="305">
        <f>P19-P20</f>
        <v/>
      </c>
      <c r="Q21" s="305">
        <f>Q19-Q20</f>
        <v/>
      </c>
      <c r="R21" s="305">
        <f>R19-R20</f>
        <v/>
      </c>
      <c r="S21" s="305">
        <f>S19-S20</f>
        <v/>
      </c>
      <c r="T21" s="305">
        <f>T19-T20</f>
        <v/>
      </c>
      <c r="U21" s="305">
        <f>U19-U20</f>
        <v/>
      </c>
      <c r="V21" s="305">
        <f>V19-V20</f>
        <v/>
      </c>
      <c r="W21" s="305">
        <f>W19-W20</f>
        <v/>
      </c>
      <c r="X21" s="305">
        <f>X19-X20</f>
        <v/>
      </c>
      <c r="Y21" s="305">
        <f>Y19-Y20</f>
        <v/>
      </c>
      <c r="Z21" s="305">
        <f>Z19-Z20</f>
        <v/>
      </c>
      <c r="AA21" s="305">
        <f>SUM(O21:Z21)</f>
        <v/>
      </c>
      <c r="AB21" s="305">
        <f>AB19-AB20</f>
        <v/>
      </c>
      <c r="AC21" s="305">
        <f>AC19-AC20</f>
        <v/>
      </c>
      <c r="AD21" s="305">
        <f>AD19-AD20</f>
        <v/>
      </c>
      <c r="AE21" s="305">
        <f>AE19-AE20</f>
        <v/>
      </c>
      <c r="AF21" s="305">
        <f>AF19-AF20</f>
        <v/>
      </c>
      <c r="AG21" s="305">
        <f>AG19-AG20</f>
        <v/>
      </c>
      <c r="AH21" s="305">
        <f>AH19-AH20</f>
        <v/>
      </c>
      <c r="AI21" s="305">
        <f>AI19-AI20</f>
        <v/>
      </c>
      <c r="AJ21" s="305">
        <f>AJ19-AJ20</f>
        <v/>
      </c>
      <c r="AK21" s="305">
        <f>AK19-AK20</f>
        <v/>
      </c>
      <c r="AL21" s="305">
        <f>AL19-AL20</f>
        <v/>
      </c>
      <c r="AM21" s="305">
        <f>AM19-AM20</f>
        <v/>
      </c>
      <c r="AN21" s="305">
        <f>SUM(AB21:AM21)</f>
        <v/>
      </c>
      <c r="AO21" s="305">
        <f>AO19-AO20</f>
        <v/>
      </c>
      <c r="AP21" s="305">
        <f>AP19-AP20</f>
        <v/>
      </c>
      <c r="AQ21" s="305">
        <f>AQ19-AQ20</f>
        <v/>
      </c>
      <c r="AR21" s="305">
        <f>AR19-AR20</f>
        <v/>
      </c>
      <c r="AS21" s="305">
        <f>AS19-AS20</f>
        <v/>
      </c>
      <c r="AT21" s="305">
        <f>AT19-AT20</f>
        <v/>
      </c>
      <c r="AU21" s="305">
        <f>AU19-AU20</f>
        <v/>
      </c>
      <c r="AV21" s="305">
        <f>AV19-AV20</f>
        <v/>
      </c>
      <c r="AW21" s="305">
        <f>AW19-AW20</f>
        <v/>
      </c>
      <c r="AX21" s="305">
        <f>AX19-AX20</f>
        <v/>
      </c>
      <c r="AY21" s="305">
        <f>AY19-AY20</f>
        <v/>
      </c>
      <c r="AZ21" s="305">
        <f>AZ19-AZ20</f>
        <v/>
      </c>
      <c r="BA21" s="305">
        <f>SUM(AO21:AZ21)</f>
        <v/>
      </c>
      <c r="BB21" s="305">
        <f>BB19-BB20</f>
        <v/>
      </c>
      <c r="BC21" s="305">
        <f>BC19-BC20</f>
        <v/>
      </c>
      <c r="BD21" s="305">
        <f>BD19-BD20</f>
        <v/>
      </c>
      <c r="BE21" s="305">
        <f>BE19-BE20</f>
        <v/>
      </c>
      <c r="BF21" s="305">
        <f>BF19-BF20</f>
        <v/>
      </c>
      <c r="BG21" s="305">
        <f>BG19-BG20</f>
        <v/>
      </c>
      <c r="BH21" s="305">
        <f>BH19-BH20</f>
        <v/>
      </c>
      <c r="BI21" s="305">
        <f>BI19-BI20</f>
        <v/>
      </c>
      <c r="BJ21" s="305">
        <f>BJ19-BJ20</f>
        <v/>
      </c>
      <c r="BK21" s="305">
        <f>BK19-BK20</f>
        <v/>
      </c>
      <c r="BL21" s="305">
        <f>BL19-BL20</f>
        <v/>
      </c>
      <c r="BM21" s="305">
        <f>BM19-BM20</f>
        <v/>
      </c>
      <c r="BN21" s="305">
        <f>SUM(BB21:BM21)</f>
        <v/>
      </c>
    </row>
    <row r="22" ht="15" customHeight="1" s="82">
      <c r="A22" s="144" t="inlineStr">
        <is>
          <t>(-) Interest — Term Loan</t>
        </is>
      </c>
      <c r="B22" s="306">
        <f>Expenses!B14</f>
        <v/>
      </c>
      <c r="C22" s="306">
        <f>Expenses!C14</f>
        <v/>
      </c>
      <c r="D22" s="306">
        <f>Expenses!D14</f>
        <v/>
      </c>
      <c r="E22" s="306">
        <f>Expenses!E14</f>
        <v/>
      </c>
      <c r="F22" s="306">
        <f>Expenses!F14</f>
        <v/>
      </c>
      <c r="G22" s="306">
        <f>Expenses!G14</f>
        <v/>
      </c>
      <c r="H22" s="306">
        <f>Expenses!H14</f>
        <v/>
      </c>
      <c r="I22" s="306">
        <f>Expenses!I14</f>
        <v/>
      </c>
      <c r="J22" s="306">
        <f>Expenses!J14</f>
        <v/>
      </c>
      <c r="K22" s="306">
        <f>Expenses!K14</f>
        <v/>
      </c>
      <c r="L22" s="306">
        <f>Expenses!L14</f>
        <v/>
      </c>
      <c r="M22" s="306">
        <f>Expenses!M14</f>
        <v/>
      </c>
      <c r="N22" s="306">
        <f>SUM(B22:M22)</f>
        <v/>
      </c>
      <c r="O22" s="306">
        <f>Expenses!O14</f>
        <v/>
      </c>
      <c r="P22" s="306">
        <f>Expenses!P14</f>
        <v/>
      </c>
      <c r="Q22" s="306">
        <f>Expenses!Q14</f>
        <v/>
      </c>
      <c r="R22" s="306">
        <f>Expenses!R14</f>
        <v/>
      </c>
      <c r="S22" s="306">
        <f>Expenses!S14</f>
        <v/>
      </c>
      <c r="T22" s="306">
        <f>Expenses!T14</f>
        <v/>
      </c>
      <c r="U22" s="306">
        <f>Expenses!U14</f>
        <v/>
      </c>
      <c r="V22" s="306">
        <f>Expenses!V14</f>
        <v/>
      </c>
      <c r="W22" s="306">
        <f>Expenses!W14</f>
        <v/>
      </c>
      <c r="X22" s="306">
        <f>Expenses!X14</f>
        <v/>
      </c>
      <c r="Y22" s="306">
        <f>Expenses!Y14</f>
        <v/>
      </c>
      <c r="Z22" s="306">
        <f>Expenses!Z14</f>
        <v/>
      </c>
      <c r="AA22" s="306">
        <f>SUM(O22:Z22)</f>
        <v/>
      </c>
      <c r="AB22" s="306">
        <f>Expenses!AB14</f>
        <v/>
      </c>
      <c r="AC22" s="306">
        <f>Expenses!AC14</f>
        <v/>
      </c>
      <c r="AD22" s="306">
        <f>Expenses!AD14</f>
        <v/>
      </c>
      <c r="AE22" s="306">
        <f>Expenses!AE14</f>
        <v/>
      </c>
      <c r="AF22" s="306">
        <f>Expenses!AF14</f>
        <v/>
      </c>
      <c r="AG22" s="306">
        <f>Expenses!AG14</f>
        <v/>
      </c>
      <c r="AH22" s="306">
        <f>Expenses!AH14</f>
        <v/>
      </c>
      <c r="AI22" s="306">
        <f>Expenses!AI14</f>
        <v/>
      </c>
      <c r="AJ22" s="306">
        <f>Expenses!AJ14</f>
        <v/>
      </c>
      <c r="AK22" s="306">
        <f>Expenses!AK14</f>
        <v/>
      </c>
      <c r="AL22" s="306">
        <f>Expenses!AL14</f>
        <v/>
      </c>
      <c r="AM22" s="306">
        <f>Expenses!AM14</f>
        <v/>
      </c>
      <c r="AN22" s="306">
        <f>SUM(AB22:AM22)</f>
        <v/>
      </c>
      <c r="AO22" s="306">
        <f>Expenses!AO14</f>
        <v/>
      </c>
      <c r="AP22" s="306">
        <f>Expenses!AP14</f>
        <v/>
      </c>
      <c r="AQ22" s="306">
        <f>Expenses!AQ14</f>
        <v/>
      </c>
      <c r="AR22" s="306">
        <f>Expenses!AR14</f>
        <v/>
      </c>
      <c r="AS22" s="306">
        <f>Expenses!AS14</f>
        <v/>
      </c>
      <c r="AT22" s="306">
        <f>Expenses!AT14</f>
        <v/>
      </c>
      <c r="AU22" s="306">
        <f>Expenses!AU14</f>
        <v/>
      </c>
      <c r="AV22" s="306">
        <f>Expenses!AV14</f>
        <v/>
      </c>
      <c r="AW22" s="306">
        <f>Expenses!AW14</f>
        <v/>
      </c>
      <c r="AX22" s="306">
        <f>Expenses!AX14</f>
        <v/>
      </c>
      <c r="AY22" s="306">
        <f>Expenses!AY14</f>
        <v/>
      </c>
      <c r="AZ22" s="306">
        <f>Expenses!AZ14</f>
        <v/>
      </c>
      <c r="BA22" s="306">
        <f>SUM(AO22:AZ22)</f>
        <v/>
      </c>
      <c r="BB22" s="306">
        <f>Expenses!BB14</f>
        <v/>
      </c>
      <c r="BC22" s="306">
        <f>Expenses!BC14</f>
        <v/>
      </c>
      <c r="BD22" s="306">
        <f>Expenses!BD14</f>
        <v/>
      </c>
      <c r="BE22" s="306">
        <f>Expenses!BE14</f>
        <v/>
      </c>
      <c r="BF22" s="306">
        <f>Expenses!BF14</f>
        <v/>
      </c>
      <c r="BG22" s="306">
        <f>Expenses!BG14</f>
        <v/>
      </c>
      <c r="BH22" s="306">
        <f>Expenses!BH14</f>
        <v/>
      </c>
      <c r="BI22" s="306">
        <f>Expenses!BI14</f>
        <v/>
      </c>
      <c r="BJ22" s="306">
        <f>Expenses!BJ14</f>
        <v/>
      </c>
      <c r="BK22" s="306">
        <f>Expenses!BK14</f>
        <v/>
      </c>
      <c r="BL22" s="306">
        <f>Expenses!BL14</f>
        <v/>
      </c>
      <c r="BM22" s="306">
        <f>Expenses!BM14</f>
        <v/>
      </c>
      <c r="BN22" s="306">
        <f>SUM(BB22:BM22)</f>
        <v/>
      </c>
    </row>
    <row r="23">
      <c r="A23" s="144" t="inlineStr">
        <is>
          <t>(-) Interest — Working Capital</t>
        </is>
      </c>
      <c r="B23" s="306">
        <f>Expenses!B15</f>
        <v/>
      </c>
      <c r="C23" s="306">
        <f>Expenses!C15</f>
        <v/>
      </c>
      <c r="D23" s="306">
        <f>Expenses!D15</f>
        <v/>
      </c>
      <c r="E23" s="306">
        <f>Expenses!E15</f>
        <v/>
      </c>
      <c r="F23" s="306">
        <f>Expenses!F15</f>
        <v/>
      </c>
      <c r="G23" s="306">
        <f>Expenses!G15</f>
        <v/>
      </c>
      <c r="H23" s="306">
        <f>Expenses!H15</f>
        <v/>
      </c>
      <c r="I23" s="306">
        <f>Expenses!I15</f>
        <v/>
      </c>
      <c r="J23" s="306">
        <f>Expenses!J15</f>
        <v/>
      </c>
      <c r="K23" s="306">
        <f>Expenses!K15</f>
        <v/>
      </c>
      <c r="L23" s="306">
        <f>Expenses!L15</f>
        <v/>
      </c>
      <c r="M23" s="306">
        <f>Expenses!M15</f>
        <v/>
      </c>
      <c r="N23" s="306">
        <f>SUM(B23:M23)</f>
        <v/>
      </c>
      <c r="O23" s="306">
        <f>Expenses!O15</f>
        <v/>
      </c>
      <c r="P23" s="306">
        <f>Expenses!P15</f>
        <v/>
      </c>
      <c r="Q23" s="306">
        <f>Expenses!Q15</f>
        <v/>
      </c>
      <c r="R23" s="306">
        <f>Expenses!R15</f>
        <v/>
      </c>
      <c r="S23" s="306">
        <f>Expenses!S15</f>
        <v/>
      </c>
      <c r="T23" s="306">
        <f>Expenses!T15</f>
        <v/>
      </c>
      <c r="U23" s="306">
        <f>Expenses!U15</f>
        <v/>
      </c>
      <c r="V23" s="306">
        <f>Expenses!V15</f>
        <v/>
      </c>
      <c r="W23" s="306">
        <f>Expenses!W15</f>
        <v/>
      </c>
      <c r="X23" s="306">
        <f>Expenses!X15</f>
        <v/>
      </c>
      <c r="Y23" s="306">
        <f>Expenses!Y15</f>
        <v/>
      </c>
      <c r="Z23" s="306">
        <f>Expenses!Z15</f>
        <v/>
      </c>
      <c r="AA23" s="306">
        <f>SUM(O23:Z23)</f>
        <v/>
      </c>
      <c r="AB23" s="306">
        <f>Expenses!AB15</f>
        <v/>
      </c>
      <c r="AC23" s="306">
        <f>Expenses!AC15</f>
        <v/>
      </c>
      <c r="AD23" s="306">
        <f>Expenses!AD15</f>
        <v/>
      </c>
      <c r="AE23" s="306">
        <f>Expenses!AE15</f>
        <v/>
      </c>
      <c r="AF23" s="306">
        <f>Expenses!AF15</f>
        <v/>
      </c>
      <c r="AG23" s="306">
        <f>Expenses!AG15</f>
        <v/>
      </c>
      <c r="AH23" s="306">
        <f>Expenses!AH15</f>
        <v/>
      </c>
      <c r="AI23" s="306">
        <f>Expenses!AI15</f>
        <v/>
      </c>
      <c r="AJ23" s="306">
        <f>Expenses!AJ15</f>
        <v/>
      </c>
      <c r="AK23" s="306">
        <f>Expenses!AK15</f>
        <v/>
      </c>
      <c r="AL23" s="306">
        <f>Expenses!AL15</f>
        <v/>
      </c>
      <c r="AM23" s="306">
        <f>Expenses!AM15</f>
        <v/>
      </c>
      <c r="AN23" s="306">
        <f>SUM(AB23:AM23)</f>
        <v/>
      </c>
      <c r="AO23" s="306">
        <f>Expenses!AO15</f>
        <v/>
      </c>
      <c r="AP23" s="306">
        <f>Expenses!AP15</f>
        <v/>
      </c>
      <c r="AQ23" s="306">
        <f>Expenses!AQ15</f>
        <v/>
      </c>
      <c r="AR23" s="306">
        <f>Expenses!AR15</f>
        <v/>
      </c>
      <c r="AS23" s="306">
        <f>Expenses!AS15</f>
        <v/>
      </c>
      <c r="AT23" s="306">
        <f>Expenses!AT15</f>
        <v/>
      </c>
      <c r="AU23" s="306">
        <f>Expenses!AU15</f>
        <v/>
      </c>
      <c r="AV23" s="306">
        <f>Expenses!AV15</f>
        <v/>
      </c>
      <c r="AW23" s="306">
        <f>Expenses!AW15</f>
        <v/>
      </c>
      <c r="AX23" s="306">
        <f>Expenses!AX15</f>
        <v/>
      </c>
      <c r="AY23" s="306">
        <f>Expenses!AY15</f>
        <v/>
      </c>
      <c r="AZ23" s="306">
        <f>Expenses!AZ15</f>
        <v/>
      </c>
      <c r="BA23" s="306">
        <f>SUM(AO23:AZ23)</f>
        <v/>
      </c>
      <c r="BB23" s="306">
        <f>Expenses!BB15</f>
        <v/>
      </c>
      <c r="BC23" s="306">
        <f>Expenses!BC15</f>
        <v/>
      </c>
      <c r="BD23" s="306">
        <f>Expenses!BD15</f>
        <v/>
      </c>
      <c r="BE23" s="306">
        <f>Expenses!BE15</f>
        <v/>
      </c>
      <c r="BF23" s="306">
        <f>Expenses!BF15</f>
        <v/>
      </c>
      <c r="BG23" s="306">
        <f>Expenses!BG15</f>
        <v/>
      </c>
      <c r="BH23" s="306">
        <f>Expenses!BH15</f>
        <v/>
      </c>
      <c r="BI23" s="306">
        <f>Expenses!BI15</f>
        <v/>
      </c>
      <c r="BJ23" s="306">
        <f>Expenses!BJ15</f>
        <v/>
      </c>
      <c r="BK23" s="306">
        <f>Expenses!BK15</f>
        <v/>
      </c>
      <c r="BL23" s="306">
        <f>Expenses!BL15</f>
        <v/>
      </c>
      <c r="BM23" s="306">
        <f>Expenses!BM15</f>
        <v/>
      </c>
      <c r="BN23" s="306">
        <f>SUM(BB23:BM23)</f>
        <v/>
      </c>
    </row>
    <row r="24">
      <c r="A24" s="304" t="inlineStr">
        <is>
          <t>Profit Before Tax (PBT)</t>
        </is>
      </c>
      <c r="B24" s="305">
        <f>B21-B22-B23</f>
        <v/>
      </c>
      <c r="C24" s="305">
        <f>C21-C22-C23</f>
        <v/>
      </c>
      <c r="D24" s="305">
        <f>D21-D22-D23</f>
        <v/>
      </c>
      <c r="E24" s="305">
        <f>E21-E22-E23</f>
        <v/>
      </c>
      <c r="F24" s="305">
        <f>F21-F22-F23</f>
        <v/>
      </c>
      <c r="G24" s="305">
        <f>G21-G22-G23</f>
        <v/>
      </c>
      <c r="H24" s="305">
        <f>H21-H22-H23</f>
        <v/>
      </c>
      <c r="I24" s="305">
        <f>I21-I22-I23</f>
        <v/>
      </c>
      <c r="J24" s="305">
        <f>J21-J22-J23</f>
        <v/>
      </c>
      <c r="K24" s="305">
        <f>K21-K22-K23</f>
        <v/>
      </c>
      <c r="L24" s="305">
        <f>L21-L22-L23</f>
        <v/>
      </c>
      <c r="M24" s="305">
        <f>M21-M22-M23</f>
        <v/>
      </c>
      <c r="N24" s="305">
        <f>SUM(B24:M24)</f>
        <v/>
      </c>
      <c r="O24" s="305">
        <f>O21-O22-O23</f>
        <v/>
      </c>
      <c r="P24" s="305">
        <f>P21-P22-P23</f>
        <v/>
      </c>
      <c r="Q24" s="305">
        <f>Q21-Q22-Q23</f>
        <v/>
      </c>
      <c r="R24" s="305">
        <f>R21-R22-R23</f>
        <v/>
      </c>
      <c r="S24" s="305">
        <f>S21-S22-S23</f>
        <v/>
      </c>
      <c r="T24" s="305">
        <f>T21-T22-T23</f>
        <v/>
      </c>
      <c r="U24" s="305">
        <f>U21-U22-U23</f>
        <v/>
      </c>
      <c r="V24" s="305">
        <f>V21-V22-V23</f>
        <v/>
      </c>
      <c r="W24" s="305">
        <f>W21-W22-W23</f>
        <v/>
      </c>
      <c r="X24" s="305">
        <f>X21-X22-X23</f>
        <v/>
      </c>
      <c r="Y24" s="305">
        <f>Y21-Y22-Y23</f>
        <v/>
      </c>
      <c r="Z24" s="305">
        <f>Z21-Z22-Z23</f>
        <v/>
      </c>
      <c r="AA24" s="305">
        <f>SUM(O24:Z24)</f>
        <v/>
      </c>
      <c r="AB24" s="305">
        <f>AB21-AB22-AB23</f>
        <v/>
      </c>
      <c r="AC24" s="305">
        <f>AC21-AC22-AC23</f>
        <v/>
      </c>
      <c r="AD24" s="305">
        <f>AD21-AD22-AD23</f>
        <v/>
      </c>
      <c r="AE24" s="305">
        <f>AE21-AE22-AE23</f>
        <v/>
      </c>
      <c r="AF24" s="305">
        <f>AF21-AF22-AF23</f>
        <v/>
      </c>
      <c r="AG24" s="305">
        <f>AG21-AG22-AG23</f>
        <v/>
      </c>
      <c r="AH24" s="305">
        <f>AH21-AH22-AH23</f>
        <v/>
      </c>
      <c r="AI24" s="305">
        <f>AI21-AI22-AI23</f>
        <v/>
      </c>
      <c r="AJ24" s="305">
        <f>AJ21-AJ22-AJ23</f>
        <v/>
      </c>
      <c r="AK24" s="305">
        <f>AK21-AK22-AK23</f>
        <v/>
      </c>
      <c r="AL24" s="305">
        <f>AL21-AL22-AL23</f>
        <v/>
      </c>
      <c r="AM24" s="305">
        <f>AM21-AM22-AM23</f>
        <v/>
      </c>
      <c r="AN24" s="305">
        <f>SUM(AB24:AM24)</f>
        <v/>
      </c>
      <c r="AO24" s="305">
        <f>AO21-AO22-AO23</f>
        <v/>
      </c>
      <c r="AP24" s="305">
        <f>AP21-AP22-AP23</f>
        <v/>
      </c>
      <c r="AQ24" s="305">
        <f>AQ21-AQ22-AQ23</f>
        <v/>
      </c>
      <c r="AR24" s="305">
        <f>AR21-AR22-AR23</f>
        <v/>
      </c>
      <c r="AS24" s="305">
        <f>AS21-AS22-AS23</f>
        <v/>
      </c>
      <c r="AT24" s="305">
        <f>AT21-AT22-AT23</f>
        <v/>
      </c>
      <c r="AU24" s="305">
        <f>AU21-AU22-AU23</f>
        <v/>
      </c>
      <c r="AV24" s="305">
        <f>AV21-AV22-AV23</f>
        <v/>
      </c>
      <c r="AW24" s="305">
        <f>AW21-AW22-AW23</f>
        <v/>
      </c>
      <c r="AX24" s="305">
        <f>AX21-AX22-AX23</f>
        <v/>
      </c>
      <c r="AY24" s="305">
        <f>AY21-AY22-AY23</f>
        <v/>
      </c>
      <c r="AZ24" s="305">
        <f>AZ21-AZ22-AZ23</f>
        <v/>
      </c>
      <c r="BA24" s="305">
        <f>SUM(AO24:AZ24)</f>
        <v/>
      </c>
      <c r="BB24" s="305">
        <f>BB21-BB22-BB23</f>
        <v/>
      </c>
      <c r="BC24" s="305">
        <f>BC21-BC22-BC23</f>
        <v/>
      </c>
      <c r="BD24" s="305">
        <f>BD21-BD22-BD23</f>
        <v/>
      </c>
      <c r="BE24" s="305">
        <f>BE21-BE22-BE23</f>
        <v/>
      </c>
      <c r="BF24" s="305">
        <f>BF21-BF22-BF23</f>
        <v/>
      </c>
      <c r="BG24" s="305">
        <f>BG21-BG22-BG23</f>
        <v/>
      </c>
      <c r="BH24" s="305">
        <f>BH21-BH22-BH23</f>
        <v/>
      </c>
      <c r="BI24" s="305">
        <f>BI21-BI22-BI23</f>
        <v/>
      </c>
      <c r="BJ24" s="305">
        <f>BJ21-BJ22-BJ23</f>
        <v/>
      </c>
      <c r="BK24" s="305">
        <f>BK21-BK22-BK23</f>
        <v/>
      </c>
      <c r="BL24" s="305">
        <f>BL21-BL22-BL23</f>
        <v/>
      </c>
      <c r="BM24" s="305">
        <f>BM21-BM22-BM23</f>
        <v/>
      </c>
      <c r="BN24" s="305">
        <f>SUM(BB24:BM24)</f>
        <v/>
      </c>
    </row>
    <row r="25">
      <c r="A25" s="144" t="inlineStr">
        <is>
          <t>(-) Income Tax</t>
        </is>
      </c>
      <c r="B25" s="306">
        <f>IF(B24&gt;0,B24*Assumptions!$C$14,0)</f>
        <v/>
      </c>
      <c r="C25" s="306">
        <f>IF(C24&gt;0,C24*Assumptions!$C$14,0)</f>
        <v/>
      </c>
      <c r="D25" s="306">
        <f>IF(D24&gt;0,D24*Assumptions!$C$14,0)</f>
        <v/>
      </c>
      <c r="E25" s="306">
        <f>IF(E24&gt;0,E24*Assumptions!$C$14,0)</f>
        <v/>
      </c>
      <c r="F25" s="306">
        <f>IF(F24&gt;0,F24*Assumptions!$C$14,0)</f>
        <v/>
      </c>
      <c r="G25" s="306">
        <f>IF(G24&gt;0,G24*Assumptions!$C$14,0)</f>
        <v/>
      </c>
      <c r="H25" s="306">
        <f>IF(H24&gt;0,H24*Assumptions!$C$14,0)</f>
        <v/>
      </c>
      <c r="I25" s="306">
        <f>IF(I24&gt;0,I24*Assumptions!$C$14,0)</f>
        <v/>
      </c>
      <c r="J25" s="306">
        <f>IF(J24&gt;0,J24*Assumptions!$C$14,0)</f>
        <v/>
      </c>
      <c r="K25" s="306">
        <f>IF(K24&gt;0,K24*Assumptions!$C$14,0)</f>
        <v/>
      </c>
      <c r="L25" s="306">
        <f>IF(L24&gt;0,L24*Assumptions!$C$14,0)</f>
        <v/>
      </c>
      <c r="M25" s="306">
        <f>IF(M24&gt;0,M24*Assumptions!$C$14,0)</f>
        <v/>
      </c>
      <c r="N25" s="306">
        <f>IF(N24&gt;0,N24*Assumptions!$C$14,0)</f>
        <v/>
      </c>
      <c r="O25" s="306">
        <f>IF(O24&gt;0,O24*Assumptions!$C$14,0)</f>
        <v/>
      </c>
      <c r="P25" s="306">
        <f>IF(P24&gt;0,P24*Assumptions!$C$14,0)</f>
        <v/>
      </c>
      <c r="Q25" s="306">
        <f>IF(Q24&gt;0,Q24*Assumptions!$C$14,0)</f>
        <v/>
      </c>
      <c r="R25" s="306">
        <f>IF(R24&gt;0,R24*Assumptions!$C$14,0)</f>
        <v/>
      </c>
      <c r="S25" s="306">
        <f>IF(S24&gt;0,S24*Assumptions!$C$14,0)</f>
        <v/>
      </c>
      <c r="T25" s="306">
        <f>IF(T24&gt;0,T24*Assumptions!$C$14,0)</f>
        <v/>
      </c>
      <c r="U25" s="306">
        <f>IF(U24&gt;0,U24*Assumptions!$C$14,0)</f>
        <v/>
      </c>
      <c r="V25" s="306">
        <f>IF(V24&gt;0,V24*Assumptions!$C$14,0)</f>
        <v/>
      </c>
      <c r="W25" s="306">
        <f>IF(W24&gt;0,W24*Assumptions!$C$14,0)</f>
        <v/>
      </c>
      <c r="X25" s="306">
        <f>IF(X24&gt;0,X24*Assumptions!$C$14,0)</f>
        <v/>
      </c>
      <c r="Y25" s="306">
        <f>IF(Y24&gt;0,Y24*Assumptions!$C$14,0)</f>
        <v/>
      </c>
      <c r="Z25" s="306">
        <f>IF(Z24&gt;0,Z24*Assumptions!$C$14,0)</f>
        <v/>
      </c>
      <c r="AA25" s="306">
        <f>IF(AA24&gt;0,AA24*Assumptions!$C$14,0)</f>
        <v/>
      </c>
      <c r="AB25" s="306">
        <f>IF(AB24&gt;0,AB24*Assumptions!$C$14,0)</f>
        <v/>
      </c>
      <c r="AC25" s="306">
        <f>IF(AC24&gt;0,AC24*Assumptions!$C$14,0)</f>
        <v/>
      </c>
      <c r="AD25" s="306">
        <f>IF(AD24&gt;0,AD24*Assumptions!$C$14,0)</f>
        <v/>
      </c>
      <c r="AE25" s="306">
        <f>IF(AE24&gt;0,AE24*Assumptions!$C$14,0)</f>
        <v/>
      </c>
      <c r="AF25" s="306">
        <f>IF(AF24&gt;0,AF24*Assumptions!$C$14,0)</f>
        <v/>
      </c>
      <c r="AG25" s="306">
        <f>IF(AG24&gt;0,AG24*Assumptions!$C$14,0)</f>
        <v/>
      </c>
      <c r="AH25" s="306">
        <f>IF(AH24&gt;0,AH24*Assumptions!$C$14,0)</f>
        <v/>
      </c>
      <c r="AI25" s="306">
        <f>IF(AI24&gt;0,AI24*Assumptions!$C$14,0)</f>
        <v/>
      </c>
      <c r="AJ25" s="306">
        <f>IF(AJ24&gt;0,AJ24*Assumptions!$C$14,0)</f>
        <v/>
      </c>
      <c r="AK25" s="306">
        <f>IF(AK24&gt;0,AK24*Assumptions!$C$14,0)</f>
        <v/>
      </c>
      <c r="AL25" s="306">
        <f>IF(AL24&gt;0,AL24*Assumptions!$C$14,0)</f>
        <v/>
      </c>
      <c r="AM25" s="306">
        <f>IF(AM24&gt;0,AM24*Assumptions!$C$14,0)</f>
        <v/>
      </c>
      <c r="AN25" s="306">
        <f>IF(AN24&gt;0,AN24*Assumptions!$C$14,0)</f>
        <v/>
      </c>
      <c r="AO25" s="306">
        <f>IF(AO24&gt;0,AO24*Assumptions!$C$14,0)</f>
        <v/>
      </c>
      <c r="AP25" s="306">
        <f>IF(AP24&gt;0,AP24*Assumptions!$C$14,0)</f>
        <v/>
      </c>
      <c r="AQ25" s="306">
        <f>IF(AQ24&gt;0,AQ24*Assumptions!$C$14,0)</f>
        <v/>
      </c>
      <c r="AR25" s="306">
        <f>IF(AR24&gt;0,AR24*Assumptions!$C$14,0)</f>
        <v/>
      </c>
      <c r="AS25" s="306">
        <f>IF(AS24&gt;0,AS24*Assumptions!$C$14,0)</f>
        <v/>
      </c>
      <c r="AT25" s="306">
        <f>IF(AT24&gt;0,AT24*Assumptions!$C$14,0)</f>
        <v/>
      </c>
      <c r="AU25" s="306">
        <f>IF(AU24&gt;0,AU24*Assumptions!$C$14,0)</f>
        <v/>
      </c>
      <c r="AV25" s="306">
        <f>IF(AV24&gt;0,AV24*Assumptions!$C$14,0)</f>
        <v/>
      </c>
      <c r="AW25" s="306">
        <f>IF(AW24&gt;0,AW24*Assumptions!$C$14,0)</f>
        <v/>
      </c>
      <c r="AX25" s="306">
        <f>IF(AX24&gt;0,AX24*Assumptions!$C$14,0)</f>
        <v/>
      </c>
      <c r="AY25" s="306">
        <f>IF(AY24&gt;0,AY24*Assumptions!$C$14,0)</f>
        <v/>
      </c>
      <c r="AZ25" s="306">
        <f>IF(AZ24&gt;0,AZ24*Assumptions!$C$14,0)</f>
        <v/>
      </c>
      <c r="BA25" s="306">
        <f>IF(BA24&gt;0,BA24*Assumptions!$C$14,0)</f>
        <v/>
      </c>
      <c r="BB25" s="306">
        <f>IF(BB24&gt;0,BB24*Assumptions!$C$14,0)</f>
        <v/>
      </c>
      <c r="BC25" s="306">
        <f>IF(BC24&gt;0,BC24*Assumptions!$C$14,0)</f>
        <v/>
      </c>
      <c r="BD25" s="306">
        <f>IF(BD24&gt;0,BD24*Assumptions!$C$14,0)</f>
        <v/>
      </c>
      <c r="BE25" s="306">
        <f>IF(BE24&gt;0,BE24*Assumptions!$C$14,0)</f>
        <v/>
      </c>
      <c r="BF25" s="306">
        <f>IF(BF24&gt;0,BF24*Assumptions!$C$14,0)</f>
        <v/>
      </c>
      <c r="BG25" s="306">
        <f>IF(BG24&gt;0,BG24*Assumptions!$C$14,0)</f>
        <v/>
      </c>
      <c r="BH25" s="306">
        <f>IF(BH24&gt;0,BH24*Assumptions!$C$14,0)</f>
        <v/>
      </c>
      <c r="BI25" s="306">
        <f>IF(BI24&gt;0,BI24*Assumptions!$C$14,0)</f>
        <v/>
      </c>
      <c r="BJ25" s="306">
        <f>IF(BJ24&gt;0,BJ24*Assumptions!$C$14,0)</f>
        <v/>
      </c>
      <c r="BK25" s="306">
        <f>IF(BK24&gt;0,BK24*Assumptions!$C$14,0)</f>
        <v/>
      </c>
      <c r="BL25" s="306">
        <f>IF(BL24&gt;0,BL24*Assumptions!$C$14,0)</f>
        <v/>
      </c>
      <c r="BM25" s="306">
        <f>IF(BM24&gt;0,BM24*Assumptions!$C$14,0)</f>
        <v/>
      </c>
      <c r="BN25" s="306">
        <f>IF(BN24&gt;0,BN24*Assumptions!$C$14,0)</f>
        <v/>
      </c>
    </row>
    <row r="26">
      <c r="A26" s="304" t="inlineStr">
        <is>
          <t>Profit After Tax (PAT)</t>
        </is>
      </c>
      <c r="B26" s="305">
        <f>B24-B25</f>
        <v/>
      </c>
      <c r="C26" s="305">
        <f>C24-C25</f>
        <v/>
      </c>
      <c r="D26" s="305">
        <f>D24-D25</f>
        <v/>
      </c>
      <c r="E26" s="305">
        <f>E24-E25</f>
        <v/>
      </c>
      <c r="F26" s="305">
        <f>F24-F25</f>
        <v/>
      </c>
      <c r="G26" s="305">
        <f>G24-G25</f>
        <v/>
      </c>
      <c r="H26" s="305">
        <f>H24-H25</f>
        <v/>
      </c>
      <c r="I26" s="305">
        <f>I24-I25</f>
        <v/>
      </c>
      <c r="J26" s="305">
        <f>J24-J25</f>
        <v/>
      </c>
      <c r="K26" s="305">
        <f>K24-K25</f>
        <v/>
      </c>
      <c r="L26" s="305">
        <f>L24-L25</f>
        <v/>
      </c>
      <c r="M26" s="305">
        <f>M24-M25</f>
        <v/>
      </c>
      <c r="N26" s="305">
        <f>N24-N25</f>
        <v/>
      </c>
      <c r="O26" s="305">
        <f>O24-O25</f>
        <v/>
      </c>
      <c r="P26" s="305">
        <f>P24-P25</f>
        <v/>
      </c>
      <c r="Q26" s="305">
        <f>Q24-Q25</f>
        <v/>
      </c>
      <c r="R26" s="305">
        <f>R24-R25</f>
        <v/>
      </c>
      <c r="S26" s="305">
        <f>S24-S25</f>
        <v/>
      </c>
      <c r="T26" s="305">
        <f>T24-T25</f>
        <v/>
      </c>
      <c r="U26" s="305">
        <f>U24-U25</f>
        <v/>
      </c>
      <c r="V26" s="305">
        <f>V24-V25</f>
        <v/>
      </c>
      <c r="W26" s="305">
        <f>W24-W25</f>
        <v/>
      </c>
      <c r="X26" s="305">
        <f>X24-X25</f>
        <v/>
      </c>
      <c r="Y26" s="305">
        <f>Y24-Y25</f>
        <v/>
      </c>
      <c r="Z26" s="305">
        <f>Z24-Z25</f>
        <v/>
      </c>
      <c r="AA26" s="305">
        <f>AA24-AA25</f>
        <v/>
      </c>
      <c r="AB26" s="305">
        <f>AB24-AB25</f>
        <v/>
      </c>
      <c r="AC26" s="305">
        <f>AC24-AC25</f>
        <v/>
      </c>
      <c r="AD26" s="305">
        <f>AD24-AD25</f>
        <v/>
      </c>
      <c r="AE26" s="305">
        <f>AE24-AE25</f>
        <v/>
      </c>
      <c r="AF26" s="305">
        <f>AF24-AF25</f>
        <v/>
      </c>
      <c r="AG26" s="305">
        <f>AG24-AG25</f>
        <v/>
      </c>
      <c r="AH26" s="305">
        <f>AH24-AH25</f>
        <v/>
      </c>
      <c r="AI26" s="305">
        <f>AI24-AI25</f>
        <v/>
      </c>
      <c r="AJ26" s="305">
        <f>AJ24-AJ25</f>
        <v/>
      </c>
      <c r="AK26" s="305">
        <f>AK24-AK25</f>
        <v/>
      </c>
      <c r="AL26" s="305">
        <f>AL24-AL25</f>
        <v/>
      </c>
      <c r="AM26" s="305">
        <f>AM24-AM25</f>
        <v/>
      </c>
      <c r="AN26" s="305">
        <f>AN24-AN25</f>
        <v/>
      </c>
      <c r="AO26" s="305">
        <f>AO24-AO25</f>
        <v/>
      </c>
      <c r="AP26" s="305">
        <f>AP24-AP25</f>
        <v/>
      </c>
      <c r="AQ26" s="305">
        <f>AQ24-AQ25</f>
        <v/>
      </c>
      <c r="AR26" s="305">
        <f>AR24-AR25</f>
        <v/>
      </c>
      <c r="AS26" s="305">
        <f>AS24-AS25</f>
        <v/>
      </c>
      <c r="AT26" s="305">
        <f>AT24-AT25</f>
        <v/>
      </c>
      <c r="AU26" s="305">
        <f>AU24-AU25</f>
        <v/>
      </c>
      <c r="AV26" s="305">
        <f>AV24-AV25</f>
        <v/>
      </c>
      <c r="AW26" s="305">
        <f>AW24-AW25</f>
        <v/>
      </c>
      <c r="AX26" s="305">
        <f>AX24-AX25</f>
        <v/>
      </c>
      <c r="AY26" s="305">
        <f>AY24-AY25</f>
        <v/>
      </c>
      <c r="AZ26" s="305">
        <f>AZ24-AZ25</f>
        <v/>
      </c>
      <c r="BA26" s="305">
        <f>BA24-BA25</f>
        <v/>
      </c>
      <c r="BB26" s="305">
        <f>BB24-BB25</f>
        <v/>
      </c>
      <c r="BC26" s="305">
        <f>BC24-BC25</f>
        <v/>
      </c>
      <c r="BD26" s="305">
        <f>BD24-BD25</f>
        <v/>
      </c>
      <c r="BE26" s="305">
        <f>BE24-BE25</f>
        <v/>
      </c>
      <c r="BF26" s="305">
        <f>BF24-BF25</f>
        <v/>
      </c>
      <c r="BG26" s="305">
        <f>BG24-BG25</f>
        <v/>
      </c>
      <c r="BH26" s="305">
        <f>BH24-BH25</f>
        <v/>
      </c>
      <c r="BI26" s="305">
        <f>BI24-BI25</f>
        <v/>
      </c>
      <c r="BJ26" s="305">
        <f>BJ24-BJ25</f>
        <v/>
      </c>
      <c r="BK26" s="305">
        <f>BK24-BK25</f>
        <v/>
      </c>
      <c r="BL26" s="305">
        <f>BL24-BL25</f>
        <v/>
      </c>
      <c r="BM26" s="305">
        <f>BM24-BM25</f>
        <v/>
      </c>
      <c r="BN26" s="305">
        <f>BN24-BN25</f>
        <v/>
      </c>
    </row>
    <row r="27">
      <c r="A27" s="304" t="inlineStr">
        <is>
          <t>Cash Accrual (PAT + Depreciation)</t>
        </is>
      </c>
      <c r="B27" s="305">
        <f>B26+B20</f>
        <v/>
      </c>
      <c r="C27" s="305">
        <f>C26+C20</f>
        <v/>
      </c>
      <c r="D27" s="305">
        <f>D26+D20</f>
        <v/>
      </c>
      <c r="E27" s="305">
        <f>E26+E20</f>
        <v/>
      </c>
      <c r="F27" s="305">
        <f>F26+F20</f>
        <v/>
      </c>
      <c r="G27" s="305">
        <f>G26+G20</f>
        <v/>
      </c>
      <c r="H27" s="305">
        <f>H26+H20</f>
        <v/>
      </c>
      <c r="I27" s="305">
        <f>I26+I20</f>
        <v/>
      </c>
      <c r="J27" s="305">
        <f>J26+J20</f>
        <v/>
      </c>
      <c r="K27" s="305">
        <f>K26+K20</f>
        <v/>
      </c>
      <c r="L27" s="305">
        <f>L26+L20</f>
        <v/>
      </c>
      <c r="M27" s="305">
        <f>M26+M20</f>
        <v/>
      </c>
      <c r="N27" s="305">
        <f>N26+N20</f>
        <v/>
      </c>
      <c r="O27" s="305">
        <f>O26+O20</f>
        <v/>
      </c>
      <c r="P27" s="305">
        <f>P26+P20</f>
        <v/>
      </c>
      <c r="Q27" s="305">
        <f>Q26+Q20</f>
        <v/>
      </c>
      <c r="R27" s="305">
        <f>R26+R20</f>
        <v/>
      </c>
      <c r="S27" s="305">
        <f>S26+S20</f>
        <v/>
      </c>
      <c r="T27" s="305">
        <f>T26+T20</f>
        <v/>
      </c>
      <c r="U27" s="305">
        <f>U26+U20</f>
        <v/>
      </c>
      <c r="V27" s="305">
        <f>V26+V20</f>
        <v/>
      </c>
      <c r="W27" s="305">
        <f>W26+W20</f>
        <v/>
      </c>
      <c r="X27" s="305">
        <f>X26+X20</f>
        <v/>
      </c>
      <c r="Y27" s="305">
        <f>Y26+Y20</f>
        <v/>
      </c>
      <c r="Z27" s="305">
        <f>Z26+Z20</f>
        <v/>
      </c>
      <c r="AA27" s="305">
        <f>AA26+AA20</f>
        <v/>
      </c>
      <c r="AB27" s="305">
        <f>AB26+AB20</f>
        <v/>
      </c>
      <c r="AC27" s="305">
        <f>AC26+AC20</f>
        <v/>
      </c>
      <c r="AD27" s="305">
        <f>AD26+AD20</f>
        <v/>
      </c>
      <c r="AE27" s="305">
        <f>AE26+AE20</f>
        <v/>
      </c>
      <c r="AF27" s="305">
        <f>AF26+AF20</f>
        <v/>
      </c>
      <c r="AG27" s="305">
        <f>AG26+AG20</f>
        <v/>
      </c>
      <c r="AH27" s="305">
        <f>AH26+AH20</f>
        <v/>
      </c>
      <c r="AI27" s="305">
        <f>AI26+AI20</f>
        <v/>
      </c>
      <c r="AJ27" s="305">
        <f>AJ26+AJ20</f>
        <v/>
      </c>
      <c r="AK27" s="305">
        <f>AK26+AK20</f>
        <v/>
      </c>
      <c r="AL27" s="305">
        <f>AL26+AL20</f>
        <v/>
      </c>
      <c r="AM27" s="305">
        <f>AM26+AM20</f>
        <v/>
      </c>
      <c r="AN27" s="305">
        <f>AN26+AN20</f>
        <v/>
      </c>
      <c r="AO27" s="305">
        <f>AO26+AO20</f>
        <v/>
      </c>
      <c r="AP27" s="305">
        <f>AP26+AP20</f>
        <v/>
      </c>
      <c r="AQ27" s="305">
        <f>AQ26+AQ20</f>
        <v/>
      </c>
      <c r="AR27" s="305">
        <f>AR26+AR20</f>
        <v/>
      </c>
      <c r="AS27" s="305">
        <f>AS26+AS20</f>
        <v/>
      </c>
      <c r="AT27" s="305">
        <f>AT26+AT20</f>
        <v/>
      </c>
      <c r="AU27" s="305">
        <f>AU26+AU20</f>
        <v/>
      </c>
      <c r="AV27" s="305">
        <f>AV26+AV20</f>
        <v/>
      </c>
      <c r="AW27" s="305">
        <f>AW26+AW20</f>
        <v/>
      </c>
      <c r="AX27" s="305">
        <f>AX26+AX20</f>
        <v/>
      </c>
      <c r="AY27" s="305">
        <f>AY26+AY20</f>
        <v/>
      </c>
      <c r="AZ27" s="305">
        <f>AZ26+AZ20</f>
        <v/>
      </c>
      <c r="BA27" s="305">
        <f>BA26+BA20</f>
        <v/>
      </c>
      <c r="BB27" s="305">
        <f>BB26+BB20</f>
        <v/>
      </c>
      <c r="BC27" s="305">
        <f>BC26+BC20</f>
        <v/>
      </c>
      <c r="BD27" s="305">
        <f>BD26+BD20</f>
        <v/>
      </c>
      <c r="BE27" s="305">
        <f>BE26+BE20</f>
        <v/>
      </c>
      <c r="BF27" s="305">
        <f>BF26+BF20</f>
        <v/>
      </c>
      <c r="BG27" s="305">
        <f>BG26+BG20</f>
        <v/>
      </c>
      <c r="BH27" s="305">
        <f>BH26+BH20</f>
        <v/>
      </c>
      <c r="BI27" s="305">
        <f>BI26+BI20</f>
        <v/>
      </c>
      <c r="BJ27" s="305">
        <f>BJ26+BJ20</f>
        <v/>
      </c>
      <c r="BK27" s="305">
        <f>BK26+BK20</f>
        <v/>
      </c>
      <c r="BL27" s="305">
        <f>BL26+BL20</f>
        <v/>
      </c>
      <c r="BM27" s="305">
        <f>BM26+BM20</f>
        <v/>
      </c>
      <c r="BN27" s="305">
        <f>BN26+BN20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ANNUAL SUMMARY  —  CONSOLIDATED 5-YEAR VIEW</t>
        </is>
      </c>
    </row>
    <row r="2" ht="15" customHeight="1" s="82">
      <c r="A2" s="114" t="inlineStr">
        <is>
          <t>Roll-up of the 60-month projections. Feeds every CMA form below.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PRODUCTION &amp; SALES</t>
        </is>
      </c>
    </row>
    <row r="6" ht="15" customHeight="1" s="82">
      <c r="B6" s="88">
        <f>IFERROR(VLOOKUP(Assumptions!$J$5,INDUSTRY_MAP,3,FALSE()),"Production (units)")</f>
        <v/>
      </c>
      <c r="C6" s="140">
        <f>Production!N7</f>
        <v/>
      </c>
      <c r="D6" s="140">
        <f>Production!AA7</f>
        <v/>
      </c>
      <c r="E6" s="140">
        <f>Production!AN7</f>
        <v/>
      </c>
      <c r="F6" s="140">
        <f>Production!BA7</f>
        <v/>
      </c>
      <c r="G6" s="140">
        <f>Production!BN7</f>
        <v/>
      </c>
    </row>
    <row r="7" ht="15" customHeight="1" s="82">
      <c r="B7" s="88" t="inlineStr">
        <is>
          <t>Capacity utilisation (%)</t>
        </is>
      </c>
      <c r="C7" s="135">
        <f>Assumptions!$C$18</f>
        <v/>
      </c>
      <c r="D7" s="135">
        <f>Assumptions!$D$18</f>
        <v/>
      </c>
      <c r="E7" s="135">
        <f>Assumptions!$E$18</f>
        <v/>
      </c>
      <c r="F7" s="135">
        <f>Assumptions!$F$18</f>
        <v/>
      </c>
      <c r="G7" s="135">
        <f>Assumptions!$G$18</f>
        <v/>
      </c>
    </row>
    <row r="8" ht="15" customHeight="1" s="82">
      <c r="B8" s="137" t="inlineStr">
        <is>
          <t>Net Sales / Revenue (₹)</t>
        </is>
      </c>
      <c r="C8" s="147">
        <f>Sales!N26</f>
        <v/>
      </c>
      <c r="D8" s="147">
        <f>Sales!AA26</f>
        <v/>
      </c>
      <c r="E8" s="147">
        <f>Sales!AN26</f>
        <v/>
      </c>
      <c r="F8" s="147">
        <f>Sales!BA26</f>
        <v/>
      </c>
      <c r="G8" s="147">
        <f>Sales!BN26</f>
        <v/>
      </c>
    </row>
    <row r="9" ht="16.5" customHeight="1" s="82">
      <c r="B9" s="146" t="inlineStr">
        <is>
          <t>COST STRUCTURE (₹)</t>
        </is>
      </c>
    </row>
    <row r="10" ht="15" customHeight="1" s="82">
      <c r="B10" s="88">
        <f>IFERROR(VLOOKUP(Assumptions!$J$5,INDUSTRY_MAP,5,FALSE()),"Raw materials")</f>
        <v/>
      </c>
      <c r="C10" s="140">
        <f>Expenses!N5</f>
        <v/>
      </c>
      <c r="D10" s="140">
        <f>Expenses!AA5</f>
        <v/>
      </c>
      <c r="E10" s="140">
        <f>Expenses!AN5</f>
        <v/>
      </c>
      <c r="F10" s="140">
        <f>Expenses!BA5</f>
        <v/>
      </c>
      <c r="G10" s="140">
        <f>Expenses!BN5</f>
        <v/>
      </c>
    </row>
    <row r="11" ht="15" customHeight="1" s="82">
      <c r="B11" s="88">
        <f>IFERROR(VLOOKUP(Assumptions!$J$5,INDUSTRY_MAP,7,FALSE()),"Power &amp; fuel")</f>
        <v/>
      </c>
      <c r="C11" s="140">
        <f>Expenses!N6</f>
        <v/>
      </c>
      <c r="D11" s="140">
        <f>Expenses!AA6</f>
        <v/>
      </c>
      <c r="E11" s="140">
        <f>Expenses!AN6</f>
        <v/>
      </c>
      <c r="F11" s="140">
        <f>Expenses!BA6</f>
        <v/>
      </c>
      <c r="G11" s="140">
        <f>Expenses!BN6</f>
        <v/>
      </c>
    </row>
    <row r="12" ht="15" customHeight="1" s="82">
      <c r="B12" s="88" t="inlineStr">
        <is>
          <t>Direct wages &amp; salaries</t>
        </is>
      </c>
      <c r="C12" s="140">
        <f>Expenses!N7</f>
        <v/>
      </c>
      <c r="D12" s="140">
        <f>Expenses!AA7</f>
        <v/>
      </c>
      <c r="E12" s="140">
        <f>Expenses!AN7</f>
        <v/>
      </c>
      <c r="F12" s="140">
        <f>Expenses!BA7</f>
        <v/>
      </c>
      <c r="G12" s="140">
        <f>Expenses!BN7</f>
        <v/>
      </c>
    </row>
    <row r="13" ht="15" customHeight="1" s="82">
      <c r="B13" s="88" t="inlineStr">
        <is>
          <t>Other variable cost</t>
        </is>
      </c>
      <c r="C13" s="140">
        <f>Expenses!N8</f>
        <v/>
      </c>
      <c r="D13" s="140">
        <f>Expenses!AA8</f>
        <v/>
      </c>
      <c r="E13" s="140">
        <f>Expenses!AN8</f>
        <v/>
      </c>
      <c r="F13" s="140">
        <f>Expenses!BA8</f>
        <v/>
      </c>
      <c r="G13" s="140">
        <f>Expenses!BN8</f>
        <v/>
      </c>
    </row>
    <row r="14" ht="15" customHeight="1" s="82">
      <c r="B14" s="88">
        <f>IFERROR(VLOOKUP(Assumptions!$J$5,INDUSTRY_MAP,8,FALSE()),"Factory overheads")</f>
        <v/>
      </c>
      <c r="C14" s="140">
        <f>Expenses!N9</f>
        <v/>
      </c>
      <c r="D14" s="140">
        <f>Expenses!AA9</f>
        <v/>
      </c>
      <c r="E14" s="140">
        <f>Expenses!AN9</f>
        <v/>
      </c>
      <c r="F14" s="140">
        <f>Expenses!BA9</f>
        <v/>
      </c>
      <c r="G14" s="140">
        <f>Expenses!BN9</f>
        <v/>
      </c>
    </row>
    <row r="15" ht="15" customHeight="1" s="82">
      <c r="B15" s="88" t="inlineStr">
        <is>
          <t>Repairs &amp; maintenance</t>
        </is>
      </c>
      <c r="C15" s="140">
        <f>Expenses!N10</f>
        <v/>
      </c>
      <c r="D15" s="140">
        <f>Expenses!AA10</f>
        <v/>
      </c>
      <c r="E15" s="140">
        <f>Expenses!AN10</f>
        <v/>
      </c>
      <c r="F15" s="140">
        <f>Expenses!BA10</f>
        <v/>
      </c>
      <c r="G15" s="140">
        <f>Expenses!BN10</f>
        <v/>
      </c>
    </row>
    <row r="16" ht="15" customHeight="1" s="82">
      <c r="B16" s="88" t="inlineStr">
        <is>
          <t>Administrative expenses</t>
        </is>
      </c>
      <c r="C16" s="140">
        <f>Expenses!N11</f>
        <v/>
      </c>
      <c r="D16" s="140">
        <f>Expenses!AA11</f>
        <v/>
      </c>
      <c r="E16" s="140">
        <f>Expenses!AN11</f>
        <v/>
      </c>
      <c r="F16" s="140">
        <f>Expenses!BA11</f>
        <v/>
      </c>
      <c r="G16" s="140">
        <f>Expenses!BN11</f>
        <v/>
      </c>
    </row>
    <row r="17" ht="15" customHeight="1" s="82">
      <c r="B17" s="88" t="inlineStr">
        <is>
          <t>Selling &amp; distribution</t>
        </is>
      </c>
      <c r="C17" s="140">
        <f>Expenses!N12</f>
        <v/>
      </c>
      <c r="D17" s="140">
        <f>Expenses!AA12</f>
        <v/>
      </c>
      <c r="E17" s="140">
        <f>Expenses!AN12</f>
        <v/>
      </c>
      <c r="F17" s="140">
        <f>Expenses!BA12</f>
        <v/>
      </c>
      <c r="G17" s="140">
        <f>Expenses!BN12</f>
        <v/>
      </c>
    </row>
    <row r="18" ht="15" customHeight="1" s="82">
      <c r="B18" s="88" t="inlineStr">
        <is>
          <t>Depreciation</t>
        </is>
      </c>
      <c r="C18" s="140">
        <f>Expenses!N13</f>
        <v/>
      </c>
      <c r="D18" s="140">
        <f>Expenses!AA13</f>
        <v/>
      </c>
      <c r="E18" s="140">
        <f>Expenses!AN13</f>
        <v/>
      </c>
      <c r="F18" s="140">
        <f>Expenses!BA13</f>
        <v/>
      </c>
      <c r="G18" s="140">
        <f>Expenses!BN13</f>
        <v/>
      </c>
    </row>
    <row r="19" ht="15" customHeight="1" s="82">
      <c r="B19" s="88" t="inlineStr">
        <is>
          <t>Interest — Term Loan</t>
        </is>
      </c>
      <c r="C19" s="140">
        <f>Expenses!N14</f>
        <v/>
      </c>
      <c r="D19" s="140">
        <f>Expenses!AA14</f>
        <v/>
      </c>
      <c r="E19" s="140">
        <f>Expenses!AN14</f>
        <v/>
      </c>
      <c r="F19" s="140">
        <f>Expenses!BA14</f>
        <v/>
      </c>
      <c r="G19" s="140">
        <f>Expenses!BN14</f>
        <v/>
      </c>
    </row>
    <row r="20" ht="15" customHeight="1" s="82">
      <c r="B20" s="88" t="inlineStr">
        <is>
          <t>Interest — Working Capital</t>
        </is>
      </c>
      <c r="C20" s="140">
        <f>Expenses!N15</f>
        <v/>
      </c>
      <c r="D20" s="140">
        <f>Expenses!AA15</f>
        <v/>
      </c>
      <c r="E20" s="140">
        <f>Expenses!AN15</f>
        <v/>
      </c>
      <c r="F20" s="140">
        <f>Expenses!BA15</f>
        <v/>
      </c>
      <c r="G20" s="140">
        <f>Expenses!BN15</f>
        <v/>
      </c>
    </row>
    <row r="21" ht="16.5" customHeight="1" s="82">
      <c r="B21" s="146" t="inlineStr">
        <is>
          <t>PROFITABILITY (₹)</t>
        </is>
      </c>
    </row>
    <row r="22" ht="15" customHeight="1" s="82">
      <c r="B22" s="137" t="inlineStr">
        <is>
          <t>EBITDA</t>
        </is>
      </c>
      <c r="C22" s="147">
        <f>'P &amp; L'!N19</f>
        <v/>
      </c>
      <c r="D22" s="147">
        <f>'P &amp; L'!AA19</f>
        <v/>
      </c>
      <c r="E22" s="147">
        <f>'P &amp; L'!AN19</f>
        <v/>
      </c>
      <c r="F22" s="147">
        <f>'P &amp; L'!BA19</f>
        <v/>
      </c>
      <c r="G22" s="147">
        <f>'P &amp; L'!BN19</f>
        <v/>
      </c>
    </row>
    <row r="23" ht="15" customHeight="1" s="82">
      <c r="B23" s="137" t="inlineStr">
        <is>
          <t>EBIT (Operating Profit)</t>
        </is>
      </c>
      <c r="C23" s="147">
        <f>'P &amp; L'!N21</f>
        <v/>
      </c>
      <c r="D23" s="147">
        <f>'P &amp; L'!AA21</f>
        <v/>
      </c>
      <c r="E23" s="147">
        <f>'P &amp; L'!AN21</f>
        <v/>
      </c>
      <c r="F23" s="147">
        <f>'P &amp; L'!BA21</f>
        <v/>
      </c>
      <c r="G23" s="147">
        <f>'P &amp; L'!BN21</f>
        <v/>
      </c>
    </row>
    <row r="24" ht="15" customHeight="1" s="82">
      <c r="B24" s="137" t="inlineStr">
        <is>
          <t>Profit Before Tax</t>
        </is>
      </c>
      <c r="C24" s="147">
        <f>'P &amp; L'!N24</f>
        <v/>
      </c>
      <c r="D24" s="147">
        <f>'P &amp; L'!AA24</f>
        <v/>
      </c>
      <c r="E24" s="147">
        <f>'P &amp; L'!AN24</f>
        <v/>
      </c>
      <c r="F24" s="147">
        <f>'P &amp; L'!BA24</f>
        <v/>
      </c>
      <c r="G24" s="147">
        <f>'P &amp; L'!BN24</f>
        <v/>
      </c>
    </row>
    <row r="25" ht="15" customHeight="1" s="82">
      <c r="B25" s="88" t="inlineStr">
        <is>
          <t>Income Tax</t>
        </is>
      </c>
      <c r="C25" s="140">
        <f>'P &amp; L'!N25</f>
        <v/>
      </c>
      <c r="D25" s="140">
        <f>'P &amp; L'!AA25</f>
        <v/>
      </c>
      <c r="E25" s="140">
        <f>'P &amp; L'!AN25</f>
        <v/>
      </c>
      <c r="F25" s="140">
        <f>'P &amp; L'!BA25</f>
        <v/>
      </c>
      <c r="G25" s="140">
        <f>'P &amp; L'!BN25</f>
        <v/>
      </c>
    </row>
    <row r="26" ht="15" customHeight="1" s="82">
      <c r="B26" s="137" t="inlineStr">
        <is>
          <t>Profit After Tax (PAT)</t>
        </is>
      </c>
      <c r="C26" s="147">
        <f>'P &amp; L'!N26</f>
        <v/>
      </c>
      <c r="D26" s="147">
        <f>'P &amp; L'!AA26</f>
        <v/>
      </c>
      <c r="E26" s="147">
        <f>'P &amp; L'!AN26</f>
        <v/>
      </c>
      <c r="F26" s="147">
        <f>'P &amp; L'!BA26</f>
        <v/>
      </c>
      <c r="G26" s="147">
        <f>'P &amp; L'!BN26</f>
        <v/>
      </c>
    </row>
    <row r="27" ht="15" customHeight="1" s="82">
      <c r="B27" s="137" t="inlineStr">
        <is>
          <t>Cash Accrual (PAT + Depreciation)</t>
        </is>
      </c>
      <c r="C27" s="147">
        <f>'P &amp; L'!N27</f>
        <v/>
      </c>
      <c r="D27" s="147">
        <f>'P &amp; L'!AA27</f>
        <v/>
      </c>
      <c r="E27" s="147">
        <f>'P &amp; L'!AN27</f>
        <v/>
      </c>
      <c r="F27" s="147">
        <f>'P &amp; L'!BA27</f>
        <v/>
      </c>
      <c r="G27" s="147">
        <f>'P &amp; L'!BN27</f>
        <v/>
      </c>
    </row>
  </sheetData>
  <mergeCells count="5">
    <mergeCell ref="B9:H9"/>
    <mergeCell ref="B21:H21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  —  OPERATING STATEMENT</t>
        </is>
      </c>
    </row>
    <row r="2" ht="15" customHeight="1" s="82">
      <c r="A2" s="114" t="inlineStr">
        <is>
          <t>Projected profitability in the format required for credit appraisal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Net Sales</t>
        </is>
      </c>
      <c r="C5" s="147">
        <f>Annual_Summary!C8</f>
        <v/>
      </c>
      <c r="D5" s="147">
        <f>Annual_Summary!D8</f>
        <v/>
      </c>
      <c r="E5" s="147">
        <f>Annual_Summary!E8</f>
        <v/>
      </c>
      <c r="F5" s="147">
        <f>Annual_Summary!F8</f>
        <v/>
      </c>
      <c r="G5" s="147">
        <f>Annual_Summary!G8</f>
        <v/>
      </c>
    </row>
    <row r="6" ht="16.5" customHeight="1" s="82">
      <c r="B6" s="146" t="inlineStr">
        <is>
          <t>Cost of Production</t>
        </is>
      </c>
    </row>
    <row r="7" ht="15" customHeight="1" s="82">
      <c r="B7" s="144">
        <f>IFERROR(VLOOKUP(Assumptions!$J$5,INDUSTRY_MAP,5,FALSE()),"Raw materials")</f>
        <v/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144">
        <f>IFERROR(VLOOKUP(Assumptions!$J$5,INDUSTRY_MAP,7,FALSE()),"Power &amp; fuel")</f>
        <v/>
      </c>
      <c r="C8" s="140">
        <f>Annual_Summary!C11</f>
        <v/>
      </c>
      <c r="D8" s="140">
        <f>Annual_Summary!D11</f>
        <v/>
      </c>
      <c r="E8" s="140">
        <f>Annual_Summary!E11</f>
        <v/>
      </c>
      <c r="F8" s="140">
        <f>Annual_Summary!F11</f>
        <v/>
      </c>
      <c r="G8" s="140">
        <f>Annual_Summary!G11</f>
        <v/>
      </c>
    </row>
    <row r="9" ht="15" customHeight="1" s="82">
      <c r="B9" s="144" t="inlineStr">
        <is>
          <t>Direct wages &amp; salaries</t>
        </is>
      </c>
      <c r="C9" s="140">
        <f>Annual_Summary!C12</f>
        <v/>
      </c>
      <c r="D9" s="140">
        <f>Annual_Summary!D12</f>
        <v/>
      </c>
      <c r="E9" s="140">
        <f>Annual_Summary!E12</f>
        <v/>
      </c>
      <c r="F9" s="140">
        <f>Annual_Summary!F12</f>
        <v/>
      </c>
      <c r="G9" s="140">
        <f>Annual_Summary!G12</f>
        <v/>
      </c>
    </row>
    <row r="10" ht="15" customHeight="1" s="82">
      <c r="B10" s="144" t="inlineStr">
        <is>
          <t>Other variable cost</t>
        </is>
      </c>
      <c r="C10" s="140">
        <f>Annual_Summary!C13</f>
        <v/>
      </c>
      <c r="D10" s="140">
        <f>Annual_Summary!D13</f>
        <v/>
      </c>
      <c r="E10" s="140">
        <f>Annual_Summary!E13</f>
        <v/>
      </c>
      <c r="F10" s="140">
        <f>Annual_Summary!F13</f>
        <v/>
      </c>
      <c r="G10" s="140">
        <f>Annual_Summary!G13</f>
        <v/>
      </c>
    </row>
    <row r="11" ht="15" customHeight="1" s="82">
      <c r="B11" s="144">
        <f>IFERROR(VLOOKUP(Assumptions!$J$5,INDUSTRY_MAP,8,FALSE()),"Factory overheads")</f>
        <v/>
      </c>
      <c r="C11" s="140">
        <f>Annual_Summary!C14</f>
        <v/>
      </c>
      <c r="D11" s="140">
        <f>Annual_Summary!D14</f>
        <v/>
      </c>
      <c r="E11" s="140">
        <f>Annual_Summary!E14</f>
        <v/>
      </c>
      <c r="F11" s="140">
        <f>Annual_Summary!F14</f>
        <v/>
      </c>
      <c r="G11" s="140">
        <f>Annual_Summary!G14</f>
        <v/>
      </c>
    </row>
    <row r="12" ht="15" customHeight="1" s="82">
      <c r="B12" s="144" t="inlineStr">
        <is>
          <t>Repairs &amp; maintenance</t>
        </is>
      </c>
      <c r="C12" s="140">
        <f>Annual_Summary!C15</f>
        <v/>
      </c>
      <c r="D12" s="140">
        <f>Annual_Summary!D15</f>
        <v/>
      </c>
      <c r="E12" s="140">
        <f>Annual_Summary!E15</f>
        <v/>
      </c>
      <c r="F12" s="140">
        <f>Annual_Summary!F15</f>
        <v/>
      </c>
      <c r="G12" s="140">
        <f>Annual_Summary!G15</f>
        <v/>
      </c>
    </row>
    <row r="13" ht="15" customHeight="1" s="82">
      <c r="B13" s="144" t="inlineStr">
        <is>
          <t>Depreciation</t>
        </is>
      </c>
      <c r="C13" s="140">
        <f>Annual_Summary!C18</f>
        <v/>
      </c>
      <c r="D13" s="140">
        <f>Annual_Summary!D18</f>
        <v/>
      </c>
      <c r="E13" s="140">
        <f>Annual_Summary!E18</f>
        <v/>
      </c>
      <c r="F13" s="140">
        <f>Annual_Summary!F18</f>
        <v/>
      </c>
      <c r="G13" s="140">
        <f>Annual_Summary!G18</f>
        <v/>
      </c>
    </row>
    <row r="14" ht="15" customHeight="1" s="82">
      <c r="B14" s="137" t="inlineStr">
        <is>
          <t>Cost of Production</t>
        </is>
      </c>
      <c r="C14" s="139">
        <f>Annual_Summary!C10+Annual_Summary!C11+Annual_Summary!C12+Annual_Summary!C13+Annual_Summary!C14+Annual_Summary!C15+Annual_Summary!C18</f>
        <v/>
      </c>
      <c r="D14" s="139">
        <f>Annual_Summary!D10+Annual_Summary!D11+Annual_Summary!D12+Annual_Summary!D13+Annual_Summary!D14+Annual_Summary!D15+Annual_Summary!D18</f>
        <v/>
      </c>
      <c r="E14" s="139">
        <f>Annual_Summary!E10+Annual_Summary!E11+Annual_Summary!E12+Annual_Summary!E13+Annual_Summary!E14+Annual_Summary!E15+Annual_Summary!E18</f>
        <v/>
      </c>
      <c r="F14" s="139">
        <f>Annual_Summary!F10+Annual_Summary!F11+Annual_Summary!F12+Annual_Summary!F13+Annual_Summary!F14+Annual_Summary!F15+Annual_Summary!F18</f>
        <v/>
      </c>
      <c r="G14" s="139">
        <f>Annual_Summary!G10+Annual_Summary!G11+Annual_Summary!G12+Annual_Summary!G13+Annual_Summary!G14+Annual_Summary!G15+Annual_Summary!G18</f>
        <v/>
      </c>
    </row>
    <row r="15" ht="15" customHeight="1" s="82">
      <c r="B15" s="137" t="inlineStr">
        <is>
          <t>Gross Profit</t>
        </is>
      </c>
      <c r="C15" s="139">
        <f>Annual_Summary!C8-C14</f>
        <v/>
      </c>
      <c r="D15" s="139">
        <f>Annual_Summary!D8-D14</f>
        <v/>
      </c>
      <c r="E15" s="139">
        <f>Annual_Summary!E8-E14</f>
        <v/>
      </c>
      <c r="F15" s="139">
        <f>Annual_Summary!F8-F14</f>
        <v/>
      </c>
      <c r="G15" s="139">
        <f>Annual_Summary!G8-G14</f>
        <v/>
      </c>
    </row>
    <row r="16" ht="15" customHeight="1" s="82">
      <c r="B16" s="144" t="inlineStr">
        <is>
          <t>(-) Administrative expenses</t>
        </is>
      </c>
      <c r="C16" s="140">
        <f>Annual_Summary!C16</f>
        <v/>
      </c>
      <c r="D16" s="140">
        <f>Annual_Summary!D16</f>
        <v/>
      </c>
      <c r="E16" s="140">
        <f>Annual_Summary!E16</f>
        <v/>
      </c>
      <c r="F16" s="140">
        <f>Annual_Summary!F16</f>
        <v/>
      </c>
      <c r="G16" s="140">
        <f>Annual_Summary!G16</f>
        <v/>
      </c>
    </row>
    <row r="17" ht="15" customHeight="1" s="82">
      <c r="B17" s="144" t="inlineStr">
        <is>
          <t>(-) Selling &amp; distribution</t>
        </is>
      </c>
      <c r="C17" s="140">
        <f>Annual_Summary!C17</f>
        <v/>
      </c>
      <c r="D17" s="140">
        <f>Annual_Summary!D17</f>
        <v/>
      </c>
      <c r="E17" s="140">
        <f>Annual_Summary!E17</f>
        <v/>
      </c>
      <c r="F17" s="140">
        <f>Annual_Summary!F17</f>
        <v/>
      </c>
      <c r="G17" s="140">
        <f>Annual_Summary!G17</f>
        <v/>
      </c>
    </row>
    <row r="18" ht="15" customHeight="1" s="82">
      <c r="B18" s="137" t="inlineStr">
        <is>
          <t>Operating Profit (EBIT)</t>
        </is>
      </c>
      <c r="C18" s="139">
        <f>C15-Annual_Summary!C16-Annual_Summary!C17</f>
        <v/>
      </c>
      <c r="D18" s="139">
        <f>D15-Annual_Summary!D16-Annual_Summary!D17</f>
        <v/>
      </c>
      <c r="E18" s="139">
        <f>E15-Annual_Summary!E16-Annual_Summary!E17</f>
        <v/>
      </c>
      <c r="F18" s="139">
        <f>F15-Annual_Summary!F16-Annual_Summary!F17</f>
        <v/>
      </c>
      <c r="G18" s="139">
        <f>G15-Annual_Summary!G16-Annual_Summary!G17</f>
        <v/>
      </c>
    </row>
    <row r="19" ht="15" customHeight="1" s="82">
      <c r="B19" s="144" t="inlineStr">
        <is>
          <t>(-) Interest — Term Loan</t>
        </is>
      </c>
      <c r="C19" s="140">
        <f>Annual_Summary!C19</f>
        <v/>
      </c>
      <c r="D19" s="140">
        <f>Annual_Summary!D19</f>
        <v/>
      </c>
      <c r="E19" s="140">
        <f>Annual_Summary!E19</f>
        <v/>
      </c>
      <c r="F19" s="140">
        <f>Annual_Summary!F19</f>
        <v/>
      </c>
      <c r="G19" s="140">
        <f>Annual_Summary!G19</f>
        <v/>
      </c>
    </row>
    <row r="20" ht="15" customHeight="1" s="82">
      <c r="B20" s="144" t="inlineStr">
        <is>
          <t>(-) Interest — Working Capital</t>
        </is>
      </c>
      <c r="C20" s="140">
        <f>Annual_Summary!C20</f>
        <v/>
      </c>
      <c r="D20" s="140">
        <f>Annual_Summary!D20</f>
        <v/>
      </c>
      <c r="E20" s="140">
        <f>Annual_Summary!E20</f>
        <v/>
      </c>
      <c r="F20" s="140">
        <f>Annual_Summary!F20</f>
        <v/>
      </c>
      <c r="G20" s="140">
        <f>Annual_Summary!G20</f>
        <v/>
      </c>
    </row>
    <row r="21" ht="15" customHeight="1" s="82">
      <c r="B21" s="137" t="inlineStr">
        <is>
          <t>Profit Before Tax</t>
        </is>
      </c>
      <c r="C21" s="139">
        <f>C18-Annual_Summary!C19-Annual_Summary!C20</f>
        <v/>
      </c>
      <c r="D21" s="139">
        <f>D18-Annual_Summary!D19-Annual_Summary!D20</f>
        <v/>
      </c>
      <c r="E21" s="139">
        <f>E18-Annual_Summary!E19-Annual_Summary!E20</f>
        <v/>
      </c>
      <c r="F21" s="139">
        <f>F18-Annual_Summary!F19-Annual_Summary!F20</f>
        <v/>
      </c>
      <c r="G21" s="139">
        <f>G18-Annual_Summary!G19-Annual_Summary!G20</f>
        <v/>
      </c>
    </row>
    <row r="22" ht="15" customHeight="1" s="82">
      <c r="B22" s="144" t="inlineStr">
        <is>
          <t>(-) Provision for Tax</t>
        </is>
      </c>
      <c r="C22" s="140">
        <f>Annual_Summary!C25</f>
        <v/>
      </c>
      <c r="D22" s="140">
        <f>Annual_Summary!D25</f>
        <v/>
      </c>
      <c r="E22" s="140">
        <f>Annual_Summary!E25</f>
        <v/>
      </c>
      <c r="F22" s="140">
        <f>Annual_Summary!F25</f>
        <v/>
      </c>
      <c r="G22" s="140">
        <f>Annual_Summary!G25</f>
        <v/>
      </c>
    </row>
    <row r="23" ht="15" customHeight="1" s="82">
      <c r="B23" s="137" t="inlineStr">
        <is>
          <t>Profit After Tax</t>
        </is>
      </c>
      <c r="C23" s="139">
        <f>C21-Annual_Summary!C25</f>
        <v/>
      </c>
      <c r="D23" s="139">
        <f>D21-Annual_Summary!D25</f>
        <v/>
      </c>
      <c r="E23" s="139">
        <f>E21-Annual_Summary!E25</f>
        <v/>
      </c>
      <c r="F23" s="139">
        <f>F21-Annual_Summary!F25</f>
        <v/>
      </c>
      <c r="G23" s="139">
        <f>G21-Annual_Summary!G25</f>
        <v/>
      </c>
    </row>
  </sheetData>
  <mergeCells count="3">
    <mergeCell ref="B6:H6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III  —  PROJECTED BALANCE SHEET</t>
        </is>
      </c>
    </row>
    <row r="2" ht="15" customHeight="1" s="82">
      <c r="A2" s="114" t="inlineStr">
        <is>
          <t>Sources &amp; application of funds; cash is the balancing figure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LIABILITIES  (₹)</t>
        </is>
      </c>
    </row>
    <row r="6" ht="15" customHeight="1" s="82">
      <c r="B6" s="144" t="inlineStr">
        <is>
          <t>Capital / Promoters' equity</t>
        </is>
      </c>
      <c r="C6" s="140">
        <f>Assumptions!$C$9</f>
        <v/>
      </c>
      <c r="D6" s="140">
        <f>Assumptions!$C$9</f>
        <v/>
      </c>
      <c r="E6" s="140">
        <f>Assumptions!$C$9</f>
        <v/>
      </c>
      <c r="F6" s="140">
        <f>Assumptions!$C$9</f>
        <v/>
      </c>
      <c r="G6" s="140">
        <f>Assumptions!$C$9</f>
        <v/>
      </c>
    </row>
    <row r="7" ht="15" customHeight="1" s="82">
      <c r="B7" s="144" t="inlineStr">
        <is>
          <t>Reserves &amp; surplus (accumulated PAT)</t>
        </is>
      </c>
      <c r="C7" s="140">
        <f>Annual_Summary!C26</f>
        <v/>
      </c>
      <c r="D7" s="140">
        <f>C7+Annual_Summary!D26</f>
        <v/>
      </c>
      <c r="E7" s="140">
        <f>D7+Annual_Summary!E26</f>
        <v/>
      </c>
      <c r="F7" s="140">
        <f>E7+Annual_Summary!F26</f>
        <v/>
      </c>
      <c r="G7" s="140">
        <f>F7+Annual_Summary!G26</f>
        <v/>
      </c>
    </row>
    <row r="8" ht="15" customHeight="1" s="82">
      <c r="B8" s="137" t="inlineStr">
        <is>
          <t>Net Worth</t>
        </is>
      </c>
      <c r="C8" s="139">
        <f>C6+C7</f>
        <v/>
      </c>
      <c r="D8" s="139">
        <f>D6+D7</f>
        <v/>
      </c>
      <c r="E8" s="139">
        <f>E6+E7</f>
        <v/>
      </c>
      <c r="F8" s="139">
        <f>F6+F7</f>
        <v/>
      </c>
      <c r="G8" s="139">
        <f>G6+G7</f>
        <v/>
      </c>
    </row>
    <row r="9" ht="15" customHeight="1" s="82">
      <c r="B9" s="144" t="inlineStr">
        <is>
          <t>Term loan (closing balance)</t>
        </is>
      </c>
      <c r="C9" s="140">
        <f>Repayment!C8+'Existing Loan'!C16</f>
        <v/>
      </c>
      <c r="D9" s="140">
        <f>Repayment!D8+'Existing Loan'!D16</f>
        <v/>
      </c>
      <c r="E9" s="140">
        <f>Repayment!E8+'Existing Loan'!E16</f>
        <v/>
      </c>
      <c r="F9" s="140">
        <f>Repayment!F8+'Existing Loan'!F16</f>
        <v/>
      </c>
      <c r="G9" s="140">
        <f>Repayment!G8+'Existing Loan'!G16</f>
        <v/>
      </c>
    </row>
    <row r="10" ht="15" customHeight="1" s="82">
      <c r="B10" s="144" t="inlineStr">
        <is>
          <t>Bank borrowing — working capital</t>
        </is>
      </c>
      <c r="C10" s="140">
        <f>Form_V_MPBF!C11</f>
        <v/>
      </c>
      <c r="D10" s="140">
        <f>Form_V_MPBF!D11</f>
        <v/>
      </c>
      <c r="E10" s="140">
        <f>Form_V_MPBF!E11</f>
        <v/>
      </c>
      <c r="F10" s="140">
        <f>Form_V_MPBF!F11</f>
        <v/>
      </c>
      <c r="G10" s="140">
        <f>Form_V_MPBF!G11</f>
        <v/>
      </c>
    </row>
    <row r="11" ht="15" customHeight="1" s="82">
      <c r="B11" s="144" t="inlineStr">
        <is>
          <t>Sundry creditors</t>
        </is>
      </c>
      <c r="C11" s="140">
        <f>Form_IV_CA_CL!C16</f>
        <v/>
      </c>
      <c r="D11" s="140">
        <f>Form_IV_CA_CL!D16</f>
        <v/>
      </c>
      <c r="E11" s="140">
        <f>Form_IV_CA_CL!E16</f>
        <v/>
      </c>
      <c r="F11" s="140">
        <f>Form_IV_CA_CL!F16</f>
        <v/>
      </c>
      <c r="G11" s="140">
        <f>Form_IV_CA_CL!G16</f>
        <v/>
      </c>
    </row>
    <row r="12" ht="15" customHeight="1" s="82">
      <c r="B12" s="144" t="inlineStr">
        <is>
          <t>Other current liabilities / provisions</t>
        </is>
      </c>
      <c r="C12" s="140">
        <f>Form_IV_CA_CL!C17</f>
        <v/>
      </c>
      <c r="D12" s="140">
        <f>Form_IV_CA_CL!D17</f>
        <v/>
      </c>
      <c r="E12" s="140">
        <f>Form_IV_CA_CL!E17</f>
        <v/>
      </c>
      <c r="F12" s="140">
        <f>Form_IV_CA_CL!F17</f>
        <v/>
      </c>
      <c r="G12" s="140">
        <f>Form_IV_CA_CL!G17</f>
        <v/>
      </c>
    </row>
    <row r="13" ht="15" customHeight="1" s="82">
      <c r="B13" s="137" t="inlineStr">
        <is>
          <t>TOTAL LIABILITIES</t>
        </is>
      </c>
      <c r="C13" s="139">
        <f>SUM(C8:C12)</f>
        <v/>
      </c>
      <c r="D13" s="139">
        <f>SUM(D8:D12)</f>
        <v/>
      </c>
      <c r="E13" s="139">
        <f>SUM(E8:E12)</f>
        <v/>
      </c>
      <c r="F13" s="139">
        <f>SUM(F8:F12)</f>
        <v/>
      </c>
      <c r="G13" s="139">
        <f>SUM(G8:G12)</f>
        <v/>
      </c>
    </row>
    <row r="14" ht="16.5" customHeight="1" s="82">
      <c r="B14" s="146" t="inlineStr">
        <is>
          <t>ASSETS  (₹)</t>
        </is>
      </c>
    </row>
    <row r="15" ht="15" customHeight="1" s="82">
      <c r="B15" s="144" t="inlineStr">
        <is>
          <t>Gross fixed assets</t>
        </is>
      </c>
      <c r="C15" s="143">
        <f>Assumptions!$C$42+Assumptions!$C$43+Assumptions!$C$45+Assumptions!$C$47</f>
        <v/>
      </c>
      <c r="D15" s="143">
        <f>Assumptions!$C$42+Assumptions!$C$43+Assumptions!$C$45+Assumptions!$C$47</f>
        <v/>
      </c>
      <c r="E15" s="143">
        <f>Assumptions!$C$42+Assumptions!$C$43+Assumptions!$C$45+Assumptions!$C$47</f>
        <v/>
      </c>
      <c r="F15" s="143">
        <f>Assumptions!$C$42+Assumptions!$C$43+Assumptions!$C$45+Assumptions!$C$47</f>
        <v/>
      </c>
      <c r="G15" s="143">
        <f>Assumptions!$C$42+Assumptions!$C$43+Assumptions!$C$45+Assumptions!$C$47</f>
        <v/>
      </c>
    </row>
    <row r="16" ht="15" customHeight="1" s="82">
      <c r="B16" s="144" t="inlineStr">
        <is>
          <t>(-) Accumulated depreciation</t>
        </is>
      </c>
      <c r="C16" s="140">
        <f>Annual_Summary!C18</f>
        <v/>
      </c>
      <c r="D16" s="140">
        <f>C16+Annual_Summary!D18</f>
        <v/>
      </c>
      <c r="E16" s="140">
        <f>D16+Annual_Summary!E18</f>
        <v/>
      </c>
      <c r="F16" s="140">
        <f>E16+Annual_Summary!F18</f>
        <v/>
      </c>
      <c r="G16" s="140">
        <f>F16+Annual_Summary!G18</f>
        <v/>
      </c>
    </row>
    <row r="17" ht="15" customHeight="1" s="82">
      <c r="B17" s="137" t="inlineStr">
        <is>
          <t>Net fixed assets</t>
        </is>
      </c>
      <c r="C17" s="139">
        <f>C15-C16</f>
        <v/>
      </c>
      <c r="D17" s="139">
        <f>D15-D16</f>
        <v/>
      </c>
      <c r="E17" s="139">
        <f>E15-E16</f>
        <v/>
      </c>
      <c r="F17" s="139">
        <f>F15-F16</f>
        <v/>
      </c>
      <c r="G17" s="139">
        <f>G15-G16</f>
        <v/>
      </c>
    </row>
    <row r="18" ht="15" customHeight="1" s="82">
      <c r="B18" s="144" t="inlineStr">
        <is>
          <t>Inventory</t>
        </is>
      </c>
      <c r="C18" s="140">
        <f>Form_IV_CA_CL!C10+Form_IV_CA_CL!C11</f>
        <v/>
      </c>
      <c r="D18" s="140">
        <f>Form_IV_CA_CL!D10+Form_IV_CA_CL!D11</f>
        <v/>
      </c>
      <c r="E18" s="140">
        <f>Form_IV_CA_CL!E10+Form_IV_CA_CL!E11</f>
        <v/>
      </c>
      <c r="F18" s="140">
        <f>Form_IV_CA_CL!F10+Form_IV_CA_CL!F11</f>
        <v/>
      </c>
      <c r="G18" s="140">
        <f>Form_IV_CA_CL!G10+Form_IV_CA_CL!G11</f>
        <v/>
      </c>
    </row>
    <row r="19" ht="15" customHeight="1" s="82">
      <c r="B19" s="144" t="inlineStr">
        <is>
          <t>Sundry debtors / receivables</t>
        </is>
      </c>
      <c r="C19" s="140">
        <f>Form_IV_CA_CL!C12</f>
        <v/>
      </c>
      <c r="D19" s="140">
        <f>Form_IV_CA_CL!D12</f>
        <v/>
      </c>
      <c r="E19" s="140">
        <f>Form_IV_CA_CL!E12</f>
        <v/>
      </c>
      <c r="F19" s="140">
        <f>Form_IV_CA_CL!F12</f>
        <v/>
      </c>
      <c r="G19" s="140">
        <f>Form_IV_CA_CL!G12</f>
        <v/>
      </c>
    </row>
    <row r="20" ht="15" customHeight="1" s="82">
      <c r="B20" s="144" t="inlineStr">
        <is>
          <t>Cash &amp; bank (balancing figure)</t>
        </is>
      </c>
      <c r="C20" s="143">
        <f>C13-(C17+C18+C19)</f>
        <v/>
      </c>
      <c r="D20" s="143">
        <f>D13-(D17+D18+D19)</f>
        <v/>
      </c>
      <c r="E20" s="143">
        <f>E13-(E17+E18+E19)</f>
        <v/>
      </c>
      <c r="F20" s="143">
        <f>F13-(F17+F18+F19)</f>
        <v/>
      </c>
      <c r="G20" s="143">
        <f>G13-(G17+G18+G19)</f>
        <v/>
      </c>
    </row>
    <row r="21" ht="15" customHeight="1" s="82">
      <c r="B21" s="137" t="inlineStr">
        <is>
          <t>TOTAL ASSETS</t>
        </is>
      </c>
      <c r="C21" s="139">
        <f>C17+C18+C19+C20</f>
        <v/>
      </c>
      <c r="D21" s="139">
        <f>D17+D18+D19+D20</f>
        <v/>
      </c>
      <c r="E21" s="139">
        <f>E17+E18+E19+E20</f>
        <v/>
      </c>
      <c r="F21" s="139">
        <f>F17+F18+F19+F20</f>
        <v/>
      </c>
      <c r="G21" s="139">
        <f>G17+G18+G19+G20</f>
        <v/>
      </c>
    </row>
    <row r="22" ht="15" customHeight="1" s="82">
      <c r="B22" s="88" t="inlineStr">
        <is>
          <t>Check  (Liabilities − Assets = 0)</t>
        </is>
      </c>
      <c r="C22" s="143">
        <f>C13-C21</f>
        <v/>
      </c>
      <c r="D22" s="143">
        <f>D13-D21</f>
        <v/>
      </c>
      <c r="E22" s="143">
        <f>E13-E21</f>
        <v/>
      </c>
      <c r="F22" s="143">
        <f>F13-F21</f>
        <v/>
      </c>
      <c r="G22" s="143">
        <f>G13-G21</f>
        <v/>
      </c>
    </row>
  </sheetData>
  <mergeCells count="4">
    <mergeCell ref="B14:H14"/>
    <mergeCell ref="B5:H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IV  —  CURRENT ASSETS &amp; CURRENT LIABILITIES</t>
        </is>
      </c>
    </row>
    <row r="2" ht="15" customHeight="1" s="82">
      <c r="A2" s="114" t="inlineStr">
        <is>
          <t>Build-up of working-capital requirement from holding-period assumptions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OPERATING BASIS</t>
        </is>
      </c>
    </row>
    <row r="6" ht="15" customHeight="1" s="82">
      <c r="B6" s="88" t="inlineStr">
        <is>
          <t>Cost of Production</t>
        </is>
      </c>
      <c r="C6" s="140">
        <f>Annual_Summary!C10+Annual_Summary!C11+Annual_Summary!C12+Annual_Summary!C13+Annual_Summary!C14+Annual_Summary!C15+Annual_Summary!C18</f>
        <v/>
      </c>
      <c r="D6" s="140">
        <f>Annual_Summary!D10+Annual_Summary!D11+Annual_Summary!D12+Annual_Summary!D13+Annual_Summary!D14+Annual_Summary!D15+Annual_Summary!D18</f>
        <v/>
      </c>
      <c r="E6" s="140">
        <f>Annual_Summary!E10+Annual_Summary!E11+Annual_Summary!E12+Annual_Summary!E13+Annual_Summary!E14+Annual_Summary!E15+Annual_Summary!E18</f>
        <v/>
      </c>
      <c r="F6" s="140">
        <f>Annual_Summary!F10+Annual_Summary!F11+Annual_Summary!F12+Annual_Summary!F13+Annual_Summary!F14+Annual_Summary!F15+Annual_Summary!F18</f>
        <v/>
      </c>
      <c r="G6" s="140">
        <f>Annual_Summary!G10+Annual_Summary!G11+Annual_Summary!G12+Annual_Summary!G13+Annual_Summary!G14+Annual_Summary!G15+Annual_Summary!G18</f>
        <v/>
      </c>
    </row>
    <row r="7" ht="15" customHeight="1" s="82">
      <c r="B7" s="88" t="inlineStr">
        <is>
          <t>Purchases (raw material)</t>
        </is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88" t="inlineStr">
        <is>
          <t>Net Sales</t>
        </is>
      </c>
      <c r="C8" s="140">
        <f>Annual_Summary!C8</f>
        <v/>
      </c>
      <c r="D8" s="140">
        <f>Annual_Summary!D8</f>
        <v/>
      </c>
      <c r="E8" s="140">
        <f>Annual_Summary!E8</f>
        <v/>
      </c>
      <c r="F8" s="140">
        <f>Annual_Summary!F8</f>
        <v/>
      </c>
      <c r="G8" s="140">
        <f>Annual_Summary!G8</f>
        <v/>
      </c>
    </row>
    <row r="9" ht="16.5" customHeight="1" s="82">
      <c r="B9" s="146" t="inlineStr">
        <is>
          <t>CURRENT ASSETS (₹)</t>
        </is>
      </c>
    </row>
    <row r="10" ht="15" customHeight="1" s="82">
      <c r="B10" s="144" t="inlineStr">
        <is>
          <t>Inventory — Raw material</t>
        </is>
      </c>
      <c r="C10" s="143">
        <f>C7*Assumptions!$C$50/365</f>
        <v/>
      </c>
      <c r="D10" s="143">
        <f>D7*Assumptions!$C$50/365</f>
        <v/>
      </c>
      <c r="E10" s="143">
        <f>E7*Assumptions!$C$50/365</f>
        <v/>
      </c>
      <c r="F10" s="143">
        <f>F7*Assumptions!$C$50/365</f>
        <v/>
      </c>
      <c r="G10" s="143">
        <f>G7*Assumptions!$C$50/365</f>
        <v/>
      </c>
    </row>
    <row r="11" ht="15" customHeight="1" s="82">
      <c r="B11" s="144" t="inlineStr">
        <is>
          <t>Inventory — Finished goods</t>
        </is>
      </c>
      <c r="C11" s="143">
        <f>C6*Assumptions!$C$51/365</f>
        <v/>
      </c>
      <c r="D11" s="143">
        <f>D6*Assumptions!$C$51/365</f>
        <v/>
      </c>
      <c r="E11" s="143">
        <f>E6*Assumptions!$C$51/365</f>
        <v/>
      </c>
      <c r="F11" s="143">
        <f>F6*Assumptions!$C$51/365</f>
        <v/>
      </c>
      <c r="G11" s="143">
        <f>G6*Assumptions!$C$51/365</f>
        <v/>
      </c>
    </row>
    <row r="12" ht="15" customHeight="1" s="82">
      <c r="B12" s="144" t="inlineStr">
        <is>
          <t>Sundry debtors / receivables</t>
        </is>
      </c>
      <c r="C12" s="143">
        <f>C8*Assumptions!$C$52/365</f>
        <v/>
      </c>
      <c r="D12" s="143">
        <f>D8*Assumptions!$C$52/365</f>
        <v/>
      </c>
      <c r="E12" s="143">
        <f>E8*Assumptions!$C$52/365</f>
        <v/>
      </c>
      <c r="F12" s="143">
        <f>F8*Assumptions!$C$52/365</f>
        <v/>
      </c>
      <c r="G12" s="143">
        <f>G8*Assumptions!$C$52/365</f>
        <v/>
      </c>
    </row>
    <row r="13" ht="15" customHeight="1" s="82">
      <c r="B13" s="144" t="inlineStr">
        <is>
          <t>Cash &amp; bank (minimum)</t>
        </is>
      </c>
      <c r="C13" s="140">
        <f>Assumptions!$C$54</f>
        <v/>
      </c>
      <c r="D13" s="140">
        <f>Assumptions!$C$54</f>
        <v/>
      </c>
      <c r="E13" s="140">
        <f>Assumptions!$C$54</f>
        <v/>
      </c>
      <c r="F13" s="140">
        <f>Assumptions!$C$54</f>
        <v/>
      </c>
      <c r="G13" s="140">
        <f>Assumptions!$C$54</f>
        <v/>
      </c>
    </row>
    <row r="14" ht="15" customHeight="1" s="82">
      <c r="B14" s="137" t="inlineStr">
        <is>
          <t>Total Current Assets</t>
        </is>
      </c>
      <c r="C14" s="139">
        <f>SUM(C10:C13)</f>
        <v/>
      </c>
      <c r="D14" s="139">
        <f>SUM(D10:D13)</f>
        <v/>
      </c>
      <c r="E14" s="139">
        <f>SUM(E10:E13)</f>
        <v/>
      </c>
      <c r="F14" s="139">
        <f>SUM(F10:F13)</f>
        <v/>
      </c>
      <c r="G14" s="139">
        <f>SUM(G10:G13)</f>
        <v/>
      </c>
    </row>
    <row r="15" ht="16.5" customHeight="1" s="82">
      <c r="B15" s="146" t="inlineStr">
        <is>
          <t>CURRENT LIABILITIES  (other than bank finance) (₹)</t>
        </is>
      </c>
    </row>
    <row r="16" ht="15" customHeight="1" s="82">
      <c r="B16" s="144" t="inlineStr">
        <is>
          <t>Sundry creditors / payables</t>
        </is>
      </c>
      <c r="C16" s="143">
        <f>C7*Assumptions!$C$53/365</f>
        <v/>
      </c>
      <c r="D16" s="143">
        <f>D7*Assumptions!$C$53/365</f>
        <v/>
      </c>
      <c r="E16" s="143">
        <f>E7*Assumptions!$C$53/365</f>
        <v/>
      </c>
      <c r="F16" s="143">
        <f>F7*Assumptions!$C$53/365</f>
        <v/>
      </c>
      <c r="G16" s="143">
        <f>G7*Assumptions!$C$53/365</f>
        <v/>
      </c>
    </row>
    <row r="17" ht="15" customHeight="1" s="82">
      <c r="B17" s="144" t="inlineStr">
        <is>
          <t>Other current liabilities / provisions</t>
        </is>
      </c>
      <c r="C17" s="143">
        <f>0</f>
        <v/>
      </c>
      <c r="D17" s="143">
        <f>0</f>
        <v/>
      </c>
      <c r="E17" s="143">
        <f>0</f>
        <v/>
      </c>
      <c r="F17" s="143">
        <f>0</f>
        <v/>
      </c>
      <c r="G17" s="143">
        <f>0</f>
        <v/>
      </c>
    </row>
    <row r="18" ht="15" customHeight="1" s="82">
      <c r="B18" s="137" t="inlineStr">
        <is>
          <t>Total Current Liabilities (excl. bank)</t>
        </is>
      </c>
      <c r="C18" s="139">
        <f>C16+C17</f>
        <v/>
      </c>
      <c r="D18" s="139">
        <f>D16+D17</f>
        <v/>
      </c>
      <c r="E18" s="139">
        <f>E16+E17</f>
        <v/>
      </c>
      <c r="F18" s="139">
        <f>F16+F17</f>
        <v/>
      </c>
      <c r="G18" s="139">
        <f>G16+G17</f>
        <v/>
      </c>
    </row>
    <row r="19" ht="15" customHeight="1" s="82">
      <c r="B19" s="137" t="inlineStr">
        <is>
          <t>Working Capital Gap  (TCA − TCL)</t>
        </is>
      </c>
      <c r="C19" s="139">
        <f>C14-C18</f>
        <v/>
      </c>
      <c r="D19" s="139">
        <f>D14-D18</f>
        <v/>
      </c>
      <c r="E19" s="139">
        <f>E14-E18</f>
        <v/>
      </c>
      <c r="F19" s="139">
        <f>F14-F18</f>
        <v/>
      </c>
      <c r="G19" s="139">
        <f>G14-G18</f>
        <v/>
      </c>
    </row>
  </sheetData>
  <mergeCells count="5">
    <mergeCell ref="B9:H9"/>
    <mergeCell ref="A2:H2"/>
    <mergeCell ref="B15:H15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259" t="inlineStr">
        <is>
          <t>INVENTORY SCHEDULE  —  movement of stock, year by year</t>
        </is>
      </c>
    </row>
    <row r="2">
      <c r="A2" s="261" t="inlineStr">
        <is>
          <t>Opening + additions − consumption = closing. Closing stock is the holding-days figure from Form IV, so this schedule ties to the balance sheet; consumption is the balancing line.</t>
        </is>
      </c>
    </row>
    <row r="4">
      <c r="B4" s="310" t="inlineStr">
        <is>
          <t>Particulars</t>
        </is>
      </c>
      <c r="C4" s="266" t="inlineStr">
        <is>
          <t>Year 1</t>
        </is>
      </c>
      <c r="D4" s="266" t="inlineStr">
        <is>
          <t>Year 2</t>
        </is>
      </c>
      <c r="E4" s="266" t="inlineStr">
        <is>
          <t>Year 3</t>
        </is>
      </c>
      <c r="F4" s="266" t="inlineStr">
        <is>
          <t>Year 4</t>
        </is>
      </c>
      <c r="G4" s="266" t="inlineStr">
        <is>
          <t>Year 5</t>
        </is>
      </c>
    </row>
    <row r="5">
      <c r="A5" s="313" t="n"/>
      <c r="B5" s="326" t="inlineStr">
        <is>
          <t>A.   RAW MATERIAL</t>
        </is>
      </c>
      <c r="C5" s="313" t="n"/>
      <c r="D5" s="313" t="n"/>
      <c r="E5" s="313" t="n"/>
      <c r="F5" s="313" t="n"/>
      <c r="G5" s="313" t="n"/>
    </row>
    <row r="6">
      <c r="B6" s="273" t="inlineStr">
        <is>
          <t>Opening stock</t>
        </is>
      </c>
      <c r="C6" s="274" t="n">
        <v>0</v>
      </c>
      <c r="D6" s="274">
        <f>C9</f>
        <v/>
      </c>
      <c r="E6" s="274">
        <f>D9</f>
        <v/>
      </c>
      <c r="F6" s="274">
        <f>E9</f>
        <v/>
      </c>
      <c r="G6" s="274">
        <f>F9</f>
        <v/>
      </c>
    </row>
    <row r="7">
      <c r="B7" s="273" t="inlineStr">
        <is>
          <t>Add: Purchases during the year</t>
        </is>
      </c>
      <c r="C7" s="274">
        <f>Form_IV_CA_CL!C7</f>
        <v/>
      </c>
      <c r="D7" s="274">
        <f>Form_IV_CA_CL!D7</f>
        <v/>
      </c>
      <c r="E7" s="274">
        <f>Form_IV_CA_CL!E7</f>
        <v/>
      </c>
      <c r="F7" s="274">
        <f>Form_IV_CA_CL!F7</f>
        <v/>
      </c>
      <c r="G7" s="274">
        <f>Form_IV_CA_CL!G7</f>
        <v/>
      </c>
    </row>
    <row r="8">
      <c r="B8" s="273" t="inlineStr">
        <is>
          <t>Less: Consumed</t>
        </is>
      </c>
      <c r="C8" s="274">
        <f>C6+C7-C9</f>
        <v/>
      </c>
      <c r="D8" s="274">
        <f>D6+D7-D9</f>
        <v/>
      </c>
      <c r="E8" s="274">
        <f>E6+E7-E9</f>
        <v/>
      </c>
      <c r="F8" s="274">
        <f>F6+F7-F9</f>
        <v/>
      </c>
      <c r="G8" s="274">
        <f>G6+G7-G9</f>
        <v/>
      </c>
    </row>
    <row r="9">
      <c r="B9" s="271" t="inlineStr">
        <is>
          <t>Closing stock  (holding-days basis)</t>
        </is>
      </c>
      <c r="C9" s="272">
        <f>Form_IV_CA_CL!C10</f>
        <v/>
      </c>
      <c r="D9" s="272">
        <f>Form_IV_CA_CL!D10</f>
        <v/>
      </c>
      <c r="E9" s="272">
        <f>Form_IV_CA_CL!E10</f>
        <v/>
      </c>
      <c r="F9" s="272">
        <f>Form_IV_CA_CL!F10</f>
        <v/>
      </c>
      <c r="G9" s="272">
        <f>Form_IV_CA_CL!G10</f>
        <v/>
      </c>
    </row>
    <row r="10">
      <c r="B10" s="273" t="inlineStr">
        <is>
          <t>Holding period (days)</t>
        </is>
      </c>
      <c r="C10" s="274">
        <f>Assumptions!$C$50</f>
        <v/>
      </c>
      <c r="D10" s="274">
        <f>Assumptions!$C$50</f>
        <v/>
      </c>
      <c r="E10" s="274">
        <f>Assumptions!$C$50</f>
        <v/>
      </c>
      <c r="F10" s="274">
        <f>Assumptions!$C$50</f>
        <v/>
      </c>
      <c r="G10" s="274">
        <f>Assumptions!$C$50</f>
        <v/>
      </c>
    </row>
    <row r="12">
      <c r="A12" s="313" t="n"/>
      <c r="B12" s="326" t="inlineStr">
        <is>
          <t>B.   FINISHED GOODS</t>
        </is>
      </c>
      <c r="C12" s="313" t="n"/>
      <c r="D12" s="313" t="n"/>
      <c r="E12" s="313" t="n"/>
      <c r="F12" s="313" t="n"/>
      <c r="G12" s="313" t="n"/>
    </row>
    <row r="13">
      <c r="B13" s="310" t="inlineStr">
        <is>
          <t>Particulars</t>
        </is>
      </c>
      <c r="C13" s="266" t="inlineStr">
        <is>
          <t>Year 1</t>
        </is>
      </c>
      <c r="D13" s="266" t="inlineStr">
        <is>
          <t>Year 2</t>
        </is>
      </c>
      <c r="E13" s="266" t="inlineStr">
        <is>
          <t>Year 3</t>
        </is>
      </c>
      <c r="F13" s="266" t="inlineStr">
        <is>
          <t>Year 4</t>
        </is>
      </c>
      <c r="G13" s="266" t="inlineStr">
        <is>
          <t>Year 5</t>
        </is>
      </c>
    </row>
    <row r="14">
      <c r="B14" s="273" t="inlineStr">
        <is>
          <t>Opening stock</t>
        </is>
      </c>
      <c r="C14" s="274" t="n">
        <v>0</v>
      </c>
      <c r="D14" s="274">
        <f>C17</f>
        <v/>
      </c>
      <c r="E14" s="274">
        <f>D17</f>
        <v/>
      </c>
      <c r="F14" s="274">
        <f>E17</f>
        <v/>
      </c>
      <c r="G14" s="274">
        <f>F17</f>
        <v/>
      </c>
    </row>
    <row r="15">
      <c r="B15" s="273" t="inlineStr">
        <is>
          <t>Add: Cost of production / cost of goods</t>
        </is>
      </c>
      <c r="C15" s="274">
        <f>Form_IV_CA_CL!C6</f>
        <v/>
      </c>
      <c r="D15" s="274">
        <f>Form_IV_CA_CL!D6</f>
        <v/>
      </c>
      <c r="E15" s="274">
        <f>Form_IV_CA_CL!E6</f>
        <v/>
      </c>
      <c r="F15" s="274">
        <f>Form_IV_CA_CL!F6</f>
        <v/>
      </c>
      <c r="G15" s="274">
        <f>Form_IV_CA_CL!G6</f>
        <v/>
      </c>
    </row>
    <row r="16">
      <c r="B16" s="273" t="inlineStr">
        <is>
          <t>Less: Cost of goods sold</t>
        </is>
      </c>
      <c r="C16" s="274">
        <f>C14+C15-C17</f>
        <v/>
      </c>
      <c r="D16" s="274">
        <f>D14+D15-D17</f>
        <v/>
      </c>
      <c r="E16" s="274">
        <f>E14+E15-E17</f>
        <v/>
      </c>
      <c r="F16" s="274">
        <f>F14+F15-F17</f>
        <v/>
      </c>
      <c r="G16" s="274">
        <f>G14+G15-G17</f>
        <v/>
      </c>
    </row>
    <row r="17">
      <c r="B17" s="271" t="inlineStr">
        <is>
          <t>Closing stock  (holding-days basis)</t>
        </is>
      </c>
      <c r="C17" s="272">
        <f>Form_IV_CA_CL!C11</f>
        <v/>
      </c>
      <c r="D17" s="272">
        <f>Form_IV_CA_CL!D11</f>
        <v/>
      </c>
      <c r="E17" s="272">
        <f>Form_IV_CA_CL!E11</f>
        <v/>
      </c>
      <c r="F17" s="272">
        <f>Form_IV_CA_CL!F11</f>
        <v/>
      </c>
      <c r="G17" s="272">
        <f>Form_IV_CA_CL!G11</f>
        <v/>
      </c>
    </row>
    <row r="18">
      <c r="B18" s="273" t="inlineStr">
        <is>
          <t>Holding period (days)</t>
        </is>
      </c>
      <c r="C18" s="274">
        <f>Assumptions!$C$51</f>
        <v/>
      </c>
      <c r="D18" s="274">
        <f>Assumptions!$C$51</f>
        <v/>
      </c>
      <c r="E18" s="274">
        <f>Assumptions!$C$51</f>
        <v/>
      </c>
      <c r="F18" s="274">
        <f>Assumptions!$C$51</f>
        <v/>
      </c>
      <c r="G18" s="274">
        <f>Assumptions!$C$51</f>
        <v/>
      </c>
    </row>
    <row r="20">
      <c r="A20" s="313" t="n"/>
      <c r="B20" s="326" t="inlineStr">
        <is>
          <t>C.   TOTAL INVENTORY  &amp;  EFFICIENCY</t>
        </is>
      </c>
      <c r="C20" s="313" t="n"/>
      <c r="D20" s="313" t="n"/>
      <c r="E20" s="313" t="n"/>
      <c r="F20" s="313" t="n"/>
      <c r="G20" s="313" t="n"/>
    </row>
    <row r="21">
      <c r="B21" s="310" t="inlineStr">
        <is>
          <t>Particulars</t>
        </is>
      </c>
      <c r="C21" s="266" t="inlineStr">
        <is>
          <t>Year 1</t>
        </is>
      </c>
      <c r="D21" s="266" t="inlineStr">
        <is>
          <t>Year 2</t>
        </is>
      </c>
      <c r="E21" s="266" t="inlineStr">
        <is>
          <t>Year 3</t>
        </is>
      </c>
      <c r="F21" s="266" t="inlineStr">
        <is>
          <t>Year 4</t>
        </is>
      </c>
      <c r="G21" s="266" t="inlineStr">
        <is>
          <t>Year 5</t>
        </is>
      </c>
    </row>
    <row r="22">
      <c r="B22" s="273" t="inlineStr">
        <is>
          <t>Raw material — closing</t>
        </is>
      </c>
      <c r="C22" s="274">
        <f>C9</f>
        <v/>
      </c>
      <c r="D22" s="274">
        <f>D9</f>
        <v/>
      </c>
      <c r="E22" s="274">
        <f>E9</f>
        <v/>
      </c>
      <c r="F22" s="274">
        <f>F9</f>
        <v/>
      </c>
      <c r="G22" s="274">
        <f>G9</f>
        <v/>
      </c>
    </row>
    <row r="23">
      <c r="B23" s="273" t="inlineStr">
        <is>
          <t>Finished goods — closing</t>
        </is>
      </c>
      <c r="C23" s="274">
        <f>C17</f>
        <v/>
      </c>
      <c r="D23" s="274">
        <f>D17</f>
        <v/>
      </c>
      <c r="E23" s="274">
        <f>E17</f>
        <v/>
      </c>
      <c r="F23" s="274">
        <f>F17</f>
        <v/>
      </c>
      <c r="G23" s="274">
        <f>G17</f>
        <v/>
      </c>
    </row>
    <row r="24">
      <c r="B24" s="293" t="inlineStr">
        <is>
          <t>TOTAL INVENTORY  (ties to Form IV / Balance Sheet)</t>
        </is>
      </c>
      <c r="C24" s="294">
        <f>C22+C23</f>
        <v/>
      </c>
      <c r="D24" s="294">
        <f>D22+D23</f>
        <v/>
      </c>
      <c r="E24" s="294">
        <f>E22+E23</f>
        <v/>
      </c>
      <c r="F24" s="294">
        <f>F22+F23</f>
        <v/>
      </c>
      <c r="G24" s="294">
        <f>G22+G23</f>
        <v/>
      </c>
    </row>
    <row r="25">
      <c r="B25" s="273" t="inlineStr">
        <is>
          <t>Inventory turnover (times)</t>
        </is>
      </c>
      <c r="C25" s="327">
        <f>IFERROR(C16/AVERAGE(C14,C17),0)</f>
        <v/>
      </c>
      <c r="D25" s="327">
        <f>IFERROR(D16/AVERAGE(D14,D17),0)</f>
        <v/>
      </c>
      <c r="E25" s="327">
        <f>IFERROR(E16/AVERAGE(E14,E17),0)</f>
        <v/>
      </c>
      <c r="F25" s="327">
        <f>IFERROR(F16/AVERAGE(F14,F17),0)</f>
        <v/>
      </c>
      <c r="G25" s="327">
        <f>IFERROR(G16/AVERAGE(G14,G17),0)</f>
        <v/>
      </c>
    </row>
    <row r="26">
      <c r="B26" s="273" t="inlineStr">
        <is>
          <t>Inventory as % of net sales</t>
        </is>
      </c>
      <c r="C26" s="319">
        <f>IFERROR(C24/Form_IV_CA_CL!C8,0)</f>
        <v/>
      </c>
      <c r="D26" s="319">
        <f>IFERROR(D24/Form_IV_CA_CL!D8,0)</f>
        <v/>
      </c>
      <c r="E26" s="319">
        <f>IFERROR(E24/Form_IV_CA_CL!E8,0)</f>
        <v/>
      </c>
      <c r="F26" s="319">
        <f>IFERROR(F24/Form_IV_CA_CL!F8,0)</f>
        <v/>
      </c>
      <c r="G26" s="319">
        <f>IFERROR(G24/Form_IV_CA_CL!G8,0)</f>
        <v/>
      </c>
    </row>
    <row r="27">
      <c r="B27" s="273" t="inlineStr">
        <is>
          <t>Inventory holding (days of sales)</t>
        </is>
      </c>
      <c r="C27" s="274">
        <f>IFERROR(C24/Form_IV_CA_CL!C8*365,0)</f>
        <v/>
      </c>
      <c r="D27" s="274">
        <f>IFERROR(D24/Form_IV_CA_CL!D8*365,0)</f>
        <v/>
      </c>
      <c r="E27" s="274">
        <f>IFERROR(E24/Form_IV_CA_CL!E8*365,0)</f>
        <v/>
      </c>
      <c r="F27" s="274">
        <f>IFERROR(F24/Form_IV_CA_CL!F8*365,0)</f>
        <v/>
      </c>
      <c r="G27" s="274">
        <f>IFERROR(G24/Form_IV_CA_CL!G8*365,0)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H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  —  MAXIMUM PERMISSIBLE BANK FINANCE</t>
        </is>
      </c>
    </row>
    <row r="2" ht="15" customHeight="1" s="82">
      <c r="A2" s="114" t="inlineStr">
        <is>
          <t>MPBF computed on the Tandon methodology; Method II drives the working-capital limit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Total Current Assets</t>
        </is>
      </c>
      <c r="C5" s="147">
        <f>Form_IV_CA_CL!C14</f>
        <v/>
      </c>
      <c r="D5" s="147">
        <f>Form_IV_CA_CL!D14</f>
        <v/>
      </c>
      <c r="E5" s="147">
        <f>Form_IV_CA_CL!E14</f>
        <v/>
      </c>
      <c r="F5" s="147">
        <f>Form_IV_CA_CL!F14</f>
        <v/>
      </c>
      <c r="G5" s="147">
        <f>Form_IV_CA_CL!G14</f>
        <v/>
      </c>
    </row>
    <row r="6" ht="15" customHeight="1" s="82">
      <c r="B6" s="88" t="inlineStr">
        <is>
          <t>Current Liabilities (other than bank)</t>
        </is>
      </c>
      <c r="C6" s="140">
        <f>Form_IV_CA_CL!C18</f>
        <v/>
      </c>
      <c r="D6" s="140">
        <f>Form_IV_CA_CL!D18</f>
        <v/>
      </c>
      <c r="E6" s="140">
        <f>Form_IV_CA_CL!E18</f>
        <v/>
      </c>
      <c r="F6" s="140">
        <f>Form_IV_CA_CL!F18</f>
        <v/>
      </c>
      <c r="G6" s="140">
        <f>Form_IV_CA_CL!G18</f>
        <v/>
      </c>
    </row>
    <row r="7" ht="15" customHeight="1" s="82">
      <c r="B7" s="137" t="inlineStr">
        <is>
          <t>Working Capital Gap (WCG)</t>
        </is>
      </c>
      <c r="C7" s="139">
        <f>Form_IV_CA_CL!C19</f>
        <v/>
      </c>
      <c r="D7" s="139">
        <f>Form_IV_CA_CL!D19</f>
        <v/>
      </c>
      <c r="E7" s="139">
        <f>Form_IV_CA_CL!E19</f>
        <v/>
      </c>
      <c r="F7" s="139">
        <f>Form_IV_CA_CL!F19</f>
        <v/>
      </c>
      <c r="G7" s="139">
        <f>Form_IV_CA_CL!G19</f>
        <v/>
      </c>
    </row>
    <row r="8" ht="15" customHeight="1" s="82">
      <c r="B8" s="88" t="inlineStr">
        <is>
          <t>Min. stipulated NWC  (margin × CA)</t>
        </is>
      </c>
      <c r="C8" s="143">
        <f>Assumptions!$C$55*Form_IV_CA_CL!C14</f>
        <v/>
      </c>
      <c r="D8" s="143">
        <f>Assumptions!$C$55*Form_IV_CA_CL!D14</f>
        <v/>
      </c>
      <c r="E8" s="143">
        <f>Assumptions!$C$55*Form_IV_CA_CL!E14</f>
        <v/>
      </c>
      <c r="F8" s="143">
        <f>Assumptions!$C$55*Form_IV_CA_CL!F14</f>
        <v/>
      </c>
      <c r="G8" s="143">
        <f>Assumptions!$C$55*Form_IV_CA_CL!G14</f>
        <v/>
      </c>
    </row>
    <row r="9" ht="15" customHeight="1" s="82">
      <c r="B9" s="88" t="inlineStr">
        <is>
          <t>MPBF — Method I  (WCG − margin)</t>
        </is>
      </c>
      <c r="C9" s="143">
        <f>MAX(0,Form_IV_CA_CL!C19*(1-Assumptions!$C$55))</f>
        <v/>
      </c>
      <c r="D9" s="143">
        <f>MAX(0,Form_IV_CA_CL!D19*(1-Assumptions!$C$55))</f>
        <v/>
      </c>
      <c r="E9" s="143">
        <f>MAX(0,Form_IV_CA_CL!E19*(1-Assumptions!$C$55))</f>
        <v/>
      </c>
      <c r="F9" s="143">
        <f>MAX(0,Form_IV_CA_CL!F19*(1-Assumptions!$C$55))</f>
        <v/>
      </c>
      <c r="G9" s="143">
        <f>MAX(0,Form_IV_CA_CL!G19*(1-Assumptions!$C$55))</f>
        <v/>
      </c>
    </row>
    <row r="10" ht="15" customHeight="1" s="82">
      <c r="B10" s="88" t="inlineStr">
        <is>
          <t>MPBF — Method II  (0.75·CA − CL)</t>
        </is>
      </c>
      <c r="C10" s="143">
        <f>MAX(0,Form_IV_CA_CL!C14*(1-Assumptions!$C$55)-Form_IV_CA_CL!C18)</f>
        <v/>
      </c>
      <c r="D10" s="143">
        <f>MAX(0,Form_IV_CA_CL!D14*(1-Assumptions!$C$55)-Form_IV_CA_CL!D18)</f>
        <v/>
      </c>
      <c r="E10" s="143">
        <f>MAX(0,Form_IV_CA_CL!E14*(1-Assumptions!$C$55)-Form_IV_CA_CL!E18)</f>
        <v/>
      </c>
      <c r="F10" s="143">
        <f>MAX(0,Form_IV_CA_CL!F14*(1-Assumptions!$C$55)-Form_IV_CA_CL!F18)</f>
        <v/>
      </c>
      <c r="G10" s="143">
        <f>MAX(0,Form_IV_CA_CL!G14*(1-Assumptions!$C$55)-Form_IV_CA_CL!G18)</f>
        <v/>
      </c>
    </row>
    <row r="11" ht="15" customHeight="1" s="82">
      <c r="B11" s="137" t="inlineStr">
        <is>
          <t>Recommended MPBF  (Method II)</t>
        </is>
      </c>
      <c r="C11" s="139">
        <f>C10</f>
        <v/>
      </c>
      <c r="D11" s="139">
        <f>D10</f>
        <v/>
      </c>
      <c r="E11" s="139">
        <f>E10</f>
        <v/>
      </c>
      <c r="F11" s="139">
        <f>F10</f>
        <v/>
      </c>
      <c r="G11" s="139">
        <f>G10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328" t="inlineStr">
        <is>
          <t>WORKING CAPITAL &amp; LOAN STRUCTURE  —  MPBF (Tandon) and the borrowing split</t>
        </is>
      </c>
    </row>
    <row r="2">
      <c r="A2" s="329" t="inlineStr">
        <is>
          <t>Assessed from this model's own current assets and liabilities. Section B splits the borrowing into term loan and working capital, year by year.</t>
        </is>
      </c>
    </row>
    <row r="3">
      <c r="A3" s="202" t="n"/>
      <c r="B3" s="202" t="n"/>
      <c r="C3" s="202" t="n"/>
    </row>
    <row r="4">
      <c r="A4" s="309" t="n"/>
      <c r="B4" s="310" t="inlineStr">
        <is>
          <t>Particulars</t>
        </is>
      </c>
      <c r="C4" s="266" t="inlineStr">
        <is>
          <t>Year 1</t>
        </is>
      </c>
      <c r="D4" s="266" t="inlineStr">
        <is>
          <t>Year 2</t>
        </is>
      </c>
      <c r="E4" s="266" t="inlineStr">
        <is>
          <t>Year 3</t>
        </is>
      </c>
      <c r="F4" s="266" t="inlineStr">
        <is>
          <t>Year 4</t>
        </is>
      </c>
      <c r="G4" s="266" t="inlineStr">
        <is>
          <t>Year 5</t>
        </is>
      </c>
    </row>
    <row r="5">
      <c r="A5" s="278" t="n"/>
      <c r="B5" s="311" t="inlineStr">
        <is>
          <t>A.   WORKING CAPITAL ASSESSMENT   (Tandon methodology)</t>
        </is>
      </c>
      <c r="C5" s="312" t="n"/>
      <c r="D5" s="313" t="n"/>
      <c r="E5" s="313" t="n"/>
      <c r="F5" s="313" t="n"/>
      <c r="G5" s="313" t="n"/>
    </row>
    <row r="6">
      <c r="A6" s="202" t="n"/>
      <c r="B6" s="314" t="inlineStr">
        <is>
          <t>Total Current Assets (TCA)</t>
        </is>
      </c>
      <c r="C6" s="315">
        <f>Form_IV_CA_CL!C14</f>
        <v/>
      </c>
      <c r="D6" s="274">
        <f>Form_IV_CA_CL!D14</f>
        <v/>
      </c>
      <c r="E6" s="274">
        <f>Form_IV_CA_CL!E14</f>
        <v/>
      </c>
      <c r="F6" s="274">
        <f>Form_IV_CA_CL!F14</f>
        <v/>
      </c>
      <c r="G6" s="274">
        <f>Form_IV_CA_CL!G14</f>
        <v/>
      </c>
    </row>
    <row r="7">
      <c r="A7" s="202" t="n"/>
      <c r="B7" s="314" t="inlineStr">
        <is>
          <t>Current Liabilities other than bank (TCL)</t>
        </is>
      </c>
      <c r="C7" s="315">
        <f>Form_IV_CA_CL!C18</f>
        <v/>
      </c>
      <c r="D7" s="274">
        <f>Form_IV_CA_CL!D18</f>
        <v/>
      </c>
      <c r="E7" s="274">
        <f>Form_IV_CA_CL!E18</f>
        <v/>
      </c>
      <c r="F7" s="274">
        <f>Form_IV_CA_CL!F18</f>
        <v/>
      </c>
      <c r="G7" s="274">
        <f>Form_IV_CA_CL!G18</f>
        <v/>
      </c>
    </row>
    <row r="8">
      <c r="A8" s="202" t="n"/>
      <c r="B8" s="316" t="inlineStr">
        <is>
          <t>Working Capital Gap  (TCA − TCL)</t>
        </is>
      </c>
      <c r="C8" s="317">
        <f>Form_IV_CA_CL!C19</f>
        <v/>
      </c>
      <c r="D8" s="272">
        <f>Form_IV_CA_CL!D19</f>
        <v/>
      </c>
      <c r="E8" s="272">
        <f>Form_IV_CA_CL!E19</f>
        <v/>
      </c>
      <c r="F8" s="272">
        <f>Form_IV_CA_CL!F19</f>
        <v/>
      </c>
      <c r="G8" s="272">
        <f>Form_IV_CA_CL!G19</f>
        <v/>
      </c>
    </row>
    <row r="9">
      <c r="A9" s="202" t="n"/>
      <c r="B9" s="314" t="inlineStr">
        <is>
          <t>Margin — borrower's stake (%)</t>
        </is>
      </c>
      <c r="C9" s="318">
        <f>Assumptions!$C$55</f>
        <v/>
      </c>
      <c r="D9" s="319">
        <f>Assumptions!$C$55</f>
        <v/>
      </c>
      <c r="E9" s="319">
        <f>Assumptions!$C$55</f>
        <v/>
      </c>
      <c r="F9" s="319">
        <f>Assumptions!$C$55</f>
        <v/>
      </c>
      <c r="G9" s="319">
        <f>Assumptions!$C$55</f>
        <v/>
      </c>
    </row>
    <row r="10">
      <c r="A10" s="202" t="n"/>
      <c r="B10" s="273" t="inlineStr">
        <is>
          <t>Min. stipulated NWC  (margin × TCA)</t>
        </is>
      </c>
      <c r="C10" s="274">
        <f>C9*C6</f>
        <v/>
      </c>
      <c r="D10" s="274">
        <f>D9*D6</f>
        <v/>
      </c>
      <c r="E10" s="274">
        <f>E9*E6</f>
        <v/>
      </c>
      <c r="F10" s="274">
        <f>F9*F6</f>
        <v/>
      </c>
      <c r="G10" s="274">
        <f>G9*G6</f>
        <v/>
      </c>
    </row>
    <row r="11">
      <c r="A11" s="309" t="n"/>
      <c r="B11" s="273" t="inlineStr">
        <is>
          <t>MPBF — Method I   (WCG × (1 − margin))</t>
        </is>
      </c>
      <c r="C11" s="274">
        <f>MAX(0,C8*(1-C9))</f>
        <v/>
      </c>
      <c r="D11" s="274">
        <f>MAX(0,D8*(1-D9))</f>
        <v/>
      </c>
      <c r="E11" s="274">
        <f>MAX(0,E8*(1-E9))</f>
        <v/>
      </c>
      <c r="F11" s="274">
        <f>MAX(0,F8*(1-F9))</f>
        <v/>
      </c>
      <c r="G11" s="274">
        <f>MAX(0,G8*(1-G9))</f>
        <v/>
      </c>
    </row>
    <row r="12">
      <c r="A12" s="202" t="n"/>
      <c r="B12" s="314" t="inlineStr">
        <is>
          <t>MPBF — Method II  (0.75·TCA − TCL)</t>
        </is>
      </c>
      <c r="C12" s="315">
        <f>MAX(0,C6*(1-C9)-C7)</f>
        <v/>
      </c>
      <c r="D12" s="274">
        <f>MAX(0,D6*(1-D9)-D7)</f>
        <v/>
      </c>
      <c r="E12" s="274">
        <f>MAX(0,E6*(1-E9)-E7)</f>
        <v/>
      </c>
      <c r="F12" s="274">
        <f>MAX(0,F6*(1-F9)-F7)</f>
        <v/>
      </c>
      <c r="G12" s="274">
        <f>MAX(0,G6*(1-G9)-G7)</f>
        <v/>
      </c>
    </row>
    <row r="13">
      <c r="A13" s="202" t="n"/>
      <c r="B13" s="320" t="inlineStr">
        <is>
          <t>RECOMMENDED CC / OD LIMIT  (Method II)</t>
        </is>
      </c>
      <c r="C13" s="321">
        <f>C12</f>
        <v/>
      </c>
      <c r="D13" s="294">
        <f>D12</f>
        <v/>
      </c>
      <c r="E13" s="294">
        <f>E12</f>
        <v/>
      </c>
      <c r="F13" s="294">
        <f>F12</f>
        <v/>
      </c>
      <c r="G13" s="294">
        <f>G12</f>
        <v/>
      </c>
    </row>
    <row r="14">
      <c r="A14" s="202" t="n"/>
      <c r="B14" s="322" t="n"/>
      <c r="C14" s="323" t="n"/>
    </row>
    <row r="15">
      <c r="A15" s="278" t="n"/>
      <c r="B15" s="276" t="inlineStr">
        <is>
          <t>B.   LOAN STRUCTURE   —   TERM LOAN  vs  WORKING CAPITAL</t>
        </is>
      </c>
      <c r="C15" s="278" t="n"/>
      <c r="D15" s="313" t="n"/>
      <c r="E15" s="313" t="n"/>
      <c r="F15" s="313" t="n"/>
      <c r="G15" s="313" t="n"/>
    </row>
    <row r="16">
      <c r="A16" s="309" t="n"/>
      <c r="B16" s="310" t="inlineStr">
        <is>
          <t>Particulars</t>
        </is>
      </c>
      <c r="C16" s="266" t="inlineStr">
        <is>
          <t>Year 1</t>
        </is>
      </c>
      <c r="D16" s="266" t="inlineStr">
        <is>
          <t>Year 2</t>
        </is>
      </c>
      <c r="E16" s="266" t="inlineStr">
        <is>
          <t>Year 3</t>
        </is>
      </c>
      <c r="F16" s="266" t="inlineStr">
        <is>
          <t>Year 4</t>
        </is>
      </c>
      <c r="G16" s="266" t="inlineStr">
        <is>
          <t>Year 5</t>
        </is>
      </c>
    </row>
    <row r="17">
      <c r="A17" s="202" t="n"/>
      <c r="B17" s="314" t="inlineStr">
        <is>
          <t>Term Loan — sanctioned</t>
        </is>
      </c>
      <c r="C17" s="315">
        <f>Assumptions!$C$8</f>
        <v/>
      </c>
      <c r="D17" s="274">
        <f>Assumptions!$C$8</f>
        <v/>
      </c>
      <c r="E17" s="274">
        <f>Assumptions!$C$8</f>
        <v/>
      </c>
      <c r="F17" s="274">
        <f>Assumptions!$C$8</f>
        <v/>
      </c>
      <c r="G17" s="274">
        <f>Assumptions!$C$8</f>
        <v/>
      </c>
    </row>
    <row r="18">
      <c r="A18" s="202" t="n"/>
      <c r="B18" s="273" t="inlineStr">
        <is>
          <t>Term Loan — opening balance</t>
        </is>
      </c>
      <c r="C18" s="274">
        <f>Repayment!C5</f>
        <v/>
      </c>
      <c r="D18" s="274">
        <f>Repayment!D5</f>
        <v/>
      </c>
      <c r="E18" s="274">
        <f>Repayment!E5</f>
        <v/>
      </c>
      <c r="F18" s="274">
        <f>Repayment!F5</f>
        <v/>
      </c>
      <c r="G18" s="274">
        <f>Repayment!G5</f>
        <v/>
      </c>
    </row>
    <row r="19">
      <c r="A19" s="309" t="n"/>
      <c r="B19" s="273" t="inlineStr">
        <is>
          <t>Term Loan — principal repaid in the year</t>
        </is>
      </c>
      <c r="C19" s="274">
        <f>Repayment!C7</f>
        <v/>
      </c>
      <c r="D19" s="274">
        <f>Repayment!D7</f>
        <v/>
      </c>
      <c r="E19" s="274">
        <f>Repayment!E7</f>
        <v/>
      </c>
      <c r="F19" s="274">
        <f>Repayment!F7</f>
        <v/>
      </c>
      <c r="G19" s="274">
        <f>Repayment!G7</f>
        <v/>
      </c>
    </row>
    <row r="20">
      <c r="A20" s="202" t="n"/>
      <c r="B20" s="316" t="inlineStr">
        <is>
          <t>Term Loan — closing balance</t>
        </is>
      </c>
      <c r="C20" s="317">
        <f>Repayment!C8</f>
        <v/>
      </c>
      <c r="D20" s="272">
        <f>Repayment!D8</f>
        <v/>
      </c>
      <c r="E20" s="272">
        <f>Repayment!E8</f>
        <v/>
      </c>
      <c r="F20" s="272">
        <f>Repayment!F8</f>
        <v/>
      </c>
      <c r="G20" s="272">
        <f>Repayment!G8</f>
        <v/>
      </c>
    </row>
    <row r="21">
      <c r="A21" s="202" t="n"/>
      <c r="B21" s="324" t="n"/>
      <c r="C21" s="325" t="n"/>
    </row>
    <row r="22">
      <c r="A22" s="202" t="n"/>
      <c r="B22" s="314" t="inlineStr">
        <is>
          <t>Working Capital (CC/OD) limit assessed</t>
        </is>
      </c>
      <c r="C22" s="315">
        <f>C13</f>
        <v/>
      </c>
      <c r="D22" s="274">
        <f>D13</f>
        <v/>
      </c>
      <c r="E22" s="274">
        <f>E13</f>
        <v/>
      </c>
      <c r="F22" s="274">
        <f>F13</f>
        <v/>
      </c>
      <c r="G22" s="274">
        <f>G13</f>
        <v/>
      </c>
    </row>
    <row r="23">
      <c r="A23" s="202" t="n"/>
      <c r="B23" s="316" t="inlineStr">
        <is>
          <t>Working Capital — utilised / drawn</t>
        </is>
      </c>
      <c r="C23" s="317">
        <f>Form_V_MPBF!C11</f>
        <v/>
      </c>
      <c r="D23" s="272">
        <f>Form_V_MPBF!D11</f>
        <v/>
      </c>
      <c r="E23" s="272">
        <f>Form_V_MPBF!E11</f>
        <v/>
      </c>
      <c r="F23" s="272">
        <f>Form_V_MPBF!F11</f>
        <v/>
      </c>
      <c r="G23" s="272">
        <f>Form_V_MPBF!G11</f>
        <v/>
      </c>
    </row>
    <row r="24">
      <c r="A24" s="202" t="n"/>
      <c r="B24" s="322" t="n"/>
      <c r="C24" s="323" t="n"/>
    </row>
    <row r="25">
      <c r="B25" s="293" t="inlineStr">
        <is>
          <t>TOTAL BANK BORROWING  (term + working capital)</t>
        </is>
      </c>
      <c r="C25" s="294">
        <f>C20+C23</f>
        <v/>
      </c>
      <c r="D25" s="294">
        <f>D20+D23</f>
        <v/>
      </c>
      <c r="E25" s="294">
        <f>E20+E23</f>
        <v/>
      </c>
      <c r="F25" s="294">
        <f>F20+F23</f>
        <v/>
      </c>
      <c r="G25" s="294">
        <f>G20+G23</f>
        <v/>
      </c>
    </row>
    <row r="26">
      <c r="B26" s="273" t="inlineStr">
        <is>
          <t>Promoters' capital / equity</t>
        </is>
      </c>
      <c r="C26" s="274">
        <f>Assumptions!$C$9</f>
        <v/>
      </c>
      <c r="D26" s="274">
        <f>Assumptions!$C$9</f>
        <v/>
      </c>
      <c r="E26" s="274">
        <f>Assumptions!$C$9</f>
        <v/>
      </c>
      <c r="F26" s="274">
        <f>Assumptions!$C$9</f>
        <v/>
      </c>
      <c r="G26" s="274">
        <f>Assumptions!$C$9</f>
        <v/>
      </c>
    </row>
    <row r="27">
      <c r="B27" s="293" t="inlineStr">
        <is>
          <t>TOTAL FUNDING  (bank + promoters)</t>
        </is>
      </c>
      <c r="C27" s="294">
        <f>C25+C26</f>
        <v/>
      </c>
      <c r="D27" s="294">
        <f>D25+D26</f>
        <v/>
      </c>
      <c r="E27" s="294">
        <f>E25+E26</f>
        <v/>
      </c>
      <c r="F27" s="294">
        <f>F25+F26</f>
        <v/>
      </c>
      <c r="G27" s="294">
        <f>G25+G26</f>
        <v/>
      </c>
    </row>
    <row r="28">
      <c r="B28" s="273" t="inlineStr">
        <is>
          <t>Term loan as % of total bank borrowing</t>
        </is>
      </c>
      <c r="C28" s="319">
        <f>IFERROR(C20/C25,0)</f>
        <v/>
      </c>
      <c r="D28" s="319">
        <f>IFERROR(D20/D25,0)</f>
        <v/>
      </c>
      <c r="E28" s="319">
        <f>IFERROR(E20/E25,0)</f>
        <v/>
      </c>
      <c r="F28" s="319">
        <f>IFERROR(F20/F25,0)</f>
        <v/>
      </c>
      <c r="G28" s="319">
        <f>IFERROR(G20/G25,0)</f>
        <v/>
      </c>
    </row>
    <row r="29">
      <c r="B29" s="273" t="inlineStr">
        <is>
          <t>Working capital as % of total bank borrowing</t>
        </is>
      </c>
      <c r="C29" s="319">
        <f>IFERROR(C23/C25,0)</f>
        <v/>
      </c>
      <c r="D29" s="319">
        <f>IFERROR(D23/D25,0)</f>
        <v/>
      </c>
      <c r="E29" s="319">
        <f>IFERROR(E23/E25,0)</f>
        <v/>
      </c>
      <c r="F29" s="319">
        <f>IFERROR(F23/F25,0)</f>
        <v/>
      </c>
      <c r="G29" s="319">
        <f>IFERROR(G23/G25,0)</f>
        <v/>
      </c>
    </row>
    <row r="31">
      <c r="A31" s="313" t="n"/>
      <c r="B31" s="326" t="inlineStr">
        <is>
          <t>C.   FINANCE COST   —   split by facility</t>
        </is>
      </c>
      <c r="C31" s="313" t="n"/>
      <c r="D31" s="313" t="n"/>
      <c r="E31" s="313" t="n"/>
      <c r="F31" s="313" t="n"/>
      <c r="G31" s="313" t="n"/>
    </row>
    <row r="32">
      <c r="B32" s="310" t="inlineStr">
        <is>
          <t>Particulars</t>
        </is>
      </c>
      <c r="C32" s="266" t="inlineStr">
        <is>
          <t>Year 1</t>
        </is>
      </c>
      <c r="D32" s="266" t="inlineStr">
        <is>
          <t>Year 2</t>
        </is>
      </c>
      <c r="E32" s="266" t="inlineStr">
        <is>
          <t>Year 3</t>
        </is>
      </c>
      <c r="F32" s="266" t="inlineStr">
        <is>
          <t>Year 4</t>
        </is>
      </c>
      <c r="G32" s="266" t="inlineStr">
        <is>
          <t>Year 5</t>
        </is>
      </c>
    </row>
    <row r="33">
      <c r="B33" s="273" t="inlineStr">
        <is>
          <t>Interest — Term Loan</t>
        </is>
      </c>
      <c r="C33" s="274">
        <f>Repayment!C6</f>
        <v/>
      </c>
      <c r="D33" s="274">
        <f>Repayment!D6</f>
        <v/>
      </c>
      <c r="E33" s="274">
        <f>Repayment!E6</f>
        <v/>
      </c>
      <c r="F33" s="274">
        <f>Repayment!F6</f>
        <v/>
      </c>
      <c r="G33" s="274">
        <f>Repayment!G6</f>
        <v/>
      </c>
    </row>
    <row r="34">
      <c r="B34" s="273" t="inlineStr">
        <is>
          <t>Interest — Working Capital</t>
        </is>
      </c>
      <c r="C34" s="274">
        <f>C23*Assumptions!$C$13</f>
        <v/>
      </c>
      <c r="D34" s="274">
        <f>D23*Assumptions!$C$13</f>
        <v/>
      </c>
      <c r="E34" s="274">
        <f>E23*Assumptions!$C$13</f>
        <v/>
      </c>
      <c r="F34" s="274">
        <f>F23*Assumptions!$C$13</f>
        <v/>
      </c>
      <c r="G34" s="274">
        <f>G23*Assumptions!$C$13</f>
        <v/>
      </c>
    </row>
    <row r="35">
      <c r="B35" s="293" t="inlineStr">
        <is>
          <t>TOTAL INTEREST / FINANCE COST</t>
        </is>
      </c>
      <c r="C35" s="294">
        <f>C33+C34</f>
        <v/>
      </c>
      <c r="D35" s="294">
        <f>D33+D34</f>
        <v/>
      </c>
      <c r="E35" s="294">
        <f>E33+E34</f>
        <v/>
      </c>
      <c r="F35" s="294">
        <f>F33+F34</f>
        <v/>
      </c>
      <c r="G35" s="294">
        <f>G33+G34</f>
        <v/>
      </c>
    </row>
    <row r="36">
      <c r="B36" s="271" t="inlineStr">
        <is>
          <t>Debt service  (interest + term-loan principal)</t>
        </is>
      </c>
      <c r="C36" s="272">
        <f>C35+C19</f>
        <v/>
      </c>
      <c r="D36" s="272">
        <f>D35+D19</f>
        <v/>
      </c>
      <c r="E36" s="272">
        <f>E35+E19</f>
        <v/>
      </c>
      <c r="F36" s="272">
        <f>F35+F19</f>
        <v/>
      </c>
      <c r="G36" s="272">
        <f>G35+G19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VI  —  FUND FLOW STATEMENT</t>
        </is>
      </c>
    </row>
    <row r="2" ht="15" customHeight="1" s="82">
      <c r="A2" s="114" t="inlineStr">
        <is>
          <t>Year-on-year sources and applications of funds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SOURCES OF FUNDS (₹)</t>
        </is>
      </c>
    </row>
    <row r="6" ht="15" customHeight="1" s="82">
      <c r="B6" s="144" t="inlineStr">
        <is>
          <t>Cash accrual (PAT + Depreciation)</t>
        </is>
      </c>
      <c r="C6" s="140">
        <f>Annual_Summary!C27</f>
        <v/>
      </c>
      <c r="D6" s="140">
        <f>Annual_Summary!D27</f>
        <v/>
      </c>
      <c r="E6" s="140">
        <f>Annual_Summary!E27</f>
        <v/>
      </c>
      <c r="F6" s="140">
        <f>Annual_Summary!F27</f>
        <v/>
      </c>
      <c r="G6" s="140">
        <f>Annual_Summary!G27</f>
        <v/>
      </c>
    </row>
    <row r="7" ht="15" customHeight="1" s="82">
      <c r="B7" s="144" t="inlineStr">
        <is>
          <t>Capital introduced</t>
        </is>
      </c>
      <c r="C7" s="143">
        <f>Assumptions!$C$9</f>
        <v/>
      </c>
      <c r="D7" s="143">
        <f>0</f>
        <v/>
      </c>
      <c r="E7" s="143">
        <f>0</f>
        <v/>
      </c>
      <c r="F7" s="143">
        <f>0</f>
        <v/>
      </c>
      <c r="G7" s="143">
        <f>0</f>
        <v/>
      </c>
    </row>
    <row r="8" ht="15" customHeight="1" s="82">
      <c r="B8" s="144" t="inlineStr">
        <is>
          <t>Term loan raised / existing loan brought forward</t>
        </is>
      </c>
      <c r="C8" s="143">
        <f>Assumptions!$C$8+IF(Assumptions!$C$72=2,Assumptions!$C$73,0)</f>
        <v/>
      </c>
      <c r="D8" s="143">
        <f>0</f>
        <v/>
      </c>
      <c r="E8" s="143">
        <f>0</f>
        <v/>
      </c>
      <c r="F8" s="143">
        <f>0</f>
        <v/>
      </c>
      <c r="G8" s="143">
        <f>0</f>
        <v/>
      </c>
    </row>
    <row r="9" ht="15" customHeight="1" s="82">
      <c r="B9" s="144" t="inlineStr">
        <is>
          <t>Increase / (decrease) in bank WC finance</t>
        </is>
      </c>
      <c r="C9" s="143">
        <f>Form_V_MPBF!C11</f>
        <v/>
      </c>
      <c r="D9" s="143">
        <f>(Form_V_MPBF!D11-Form_V_MPBF!C11)</f>
        <v/>
      </c>
      <c r="E9" s="143">
        <f>(Form_V_MPBF!E11-Form_V_MPBF!D11)</f>
        <v/>
      </c>
      <c r="F9" s="143">
        <f>(Form_V_MPBF!F11-Form_V_MPBF!E11)</f>
        <v/>
      </c>
      <c r="G9" s="143">
        <f>(Form_V_MPBF!G11-Form_V_MPBF!F11)</f>
        <v/>
      </c>
    </row>
    <row r="10" ht="15" customHeight="1" s="82">
      <c r="B10" s="144" t="inlineStr">
        <is>
          <t>Increase / (decrease) in creditors</t>
        </is>
      </c>
      <c r="C10" s="143">
        <f>Form_IV_CA_CL!C16</f>
        <v/>
      </c>
      <c r="D10" s="143">
        <f>(Form_IV_CA_CL!D16-Form_IV_CA_CL!C16)</f>
        <v/>
      </c>
      <c r="E10" s="143">
        <f>(Form_IV_CA_CL!E16-Form_IV_CA_CL!D16)</f>
        <v/>
      </c>
      <c r="F10" s="143">
        <f>(Form_IV_CA_CL!F16-Form_IV_CA_CL!E16)</f>
        <v/>
      </c>
      <c r="G10" s="143">
        <f>(Form_IV_CA_CL!G16-Form_IV_CA_CL!F16)</f>
        <v/>
      </c>
    </row>
    <row r="11" ht="15" customHeight="1" s="82">
      <c r="B11" s="137" t="inlineStr">
        <is>
          <t>TOTAL SOURCES (A)</t>
        </is>
      </c>
      <c r="C11" s="139">
        <f>SUM(C6:C10)</f>
        <v/>
      </c>
      <c r="D11" s="139">
        <f>SUM(D6:D10)</f>
        <v/>
      </c>
      <c r="E11" s="139">
        <f>SUM(E6:E10)</f>
        <v/>
      </c>
      <c r="F11" s="139">
        <f>SUM(F6:F10)</f>
        <v/>
      </c>
      <c r="G11" s="139">
        <f>SUM(G6:G10)</f>
        <v/>
      </c>
    </row>
    <row r="12" ht="16.5" customHeight="1" s="82">
      <c r="B12" s="146" t="inlineStr">
        <is>
          <t>APPLICATION OF FUNDS (₹)</t>
        </is>
      </c>
    </row>
    <row r="13" ht="15" customHeight="1" s="82">
      <c r="B13" s="144" t="inlineStr">
        <is>
          <t>Capital expenditure (fixed assets)</t>
        </is>
      </c>
      <c r="C13" s="143">
        <f>Form_III_BalanceSheet!C15</f>
        <v/>
      </c>
      <c r="D13" s="143">
        <f>(Form_III_BalanceSheet!D15-Form_III_BalanceSheet!C15)</f>
        <v/>
      </c>
      <c r="E13" s="143">
        <f>(Form_III_BalanceSheet!E15-Form_III_BalanceSheet!D15)</f>
        <v/>
      </c>
      <c r="F13" s="143">
        <f>(Form_III_BalanceSheet!F15-Form_III_BalanceSheet!E15)</f>
        <v/>
      </c>
      <c r="G13" s="143">
        <f>(Form_III_BalanceSheet!G15-Form_III_BalanceSheet!F15)</f>
        <v/>
      </c>
    </row>
    <row r="14" ht="15" customHeight="1" s="82">
      <c r="B14" s="144" t="inlineStr">
        <is>
          <t>Repayment of term loan</t>
        </is>
      </c>
      <c r="C14" s="140">
        <f>Repayment!C7+'Existing Loan'!C15</f>
        <v/>
      </c>
      <c r="D14" s="140">
        <f>Repayment!D7+'Existing Loan'!D15</f>
        <v/>
      </c>
      <c r="E14" s="140">
        <f>Repayment!E7+'Existing Loan'!E15</f>
        <v/>
      </c>
      <c r="F14" s="140">
        <f>Repayment!F7+'Existing Loan'!F15</f>
        <v/>
      </c>
      <c r="G14" s="140">
        <f>Repayment!G7+'Existing Loan'!G15</f>
        <v/>
      </c>
    </row>
    <row r="15" ht="15" customHeight="1" s="82">
      <c r="B15" s="144" t="inlineStr">
        <is>
          <t>Increase / (decrease) in current assets</t>
        </is>
      </c>
      <c r="C15" s="143">
        <f>(Form_III_BalanceSheet!C18+Form_III_BalanceSheet!C19+Form_III_BalanceSheet!C20)</f>
        <v/>
      </c>
      <c r="D15" s="143">
        <f>((Form_III_BalanceSheet!D18+Form_III_BalanceSheet!D19+Form_III_BalanceSheet!D20)-(Form_III_BalanceSheet!C18+Form_III_BalanceSheet!C19+Form_III_BalanceSheet!C20))</f>
        <v/>
      </c>
      <c r="E15" s="143">
        <f>((Form_III_BalanceSheet!E18+Form_III_BalanceSheet!E19+Form_III_BalanceSheet!E20)-(Form_III_BalanceSheet!D18+Form_III_BalanceSheet!D19+Form_III_BalanceSheet!D20))</f>
        <v/>
      </c>
      <c r="F15" s="143">
        <f>((Form_III_BalanceSheet!F18+Form_III_BalanceSheet!F19+Form_III_BalanceSheet!F20)-(Form_III_BalanceSheet!E18+Form_III_BalanceSheet!E19+Form_III_BalanceSheet!E20))</f>
        <v/>
      </c>
      <c r="G15" s="143">
        <f>((Form_III_BalanceSheet!G18+Form_III_BalanceSheet!G19+Form_III_BalanceSheet!G20)-(Form_III_BalanceSheet!F18+Form_III_BalanceSheet!F19+Form_III_BalanceSheet!F20))</f>
        <v/>
      </c>
    </row>
    <row r="16" ht="15" customHeight="1" s="82">
      <c r="B16" s="137" t="inlineStr">
        <is>
          <t>TOTAL APPLICATIONS (B)</t>
        </is>
      </c>
      <c r="C16" s="139">
        <f>SUM(C13:C15)</f>
        <v/>
      </c>
      <c r="D16" s="139">
        <f>SUM(D13:D15)</f>
        <v/>
      </c>
      <c r="E16" s="139">
        <f>SUM(E13:E15)</f>
        <v/>
      </c>
      <c r="F16" s="139">
        <f>SUM(F13:F15)</f>
        <v/>
      </c>
      <c r="G16" s="139">
        <f>SUM(G13:G15)</f>
        <v/>
      </c>
    </row>
    <row r="17" ht="15" customHeight="1" s="82">
      <c r="B17" s="137" t="inlineStr">
        <is>
          <t>Net Surplus / (Deficit)  (A − B)</t>
        </is>
      </c>
      <c r="C17" s="139">
        <f>C11-C16</f>
        <v/>
      </c>
      <c r="D17" s="139">
        <f>D11-D16</f>
        <v/>
      </c>
      <c r="E17" s="139">
        <f>E11-E16</f>
        <v/>
      </c>
      <c r="F17" s="139">
        <f>F11-F16</f>
        <v/>
      </c>
      <c r="G17" s="139">
        <f>G11-G16</f>
        <v/>
      </c>
    </row>
  </sheetData>
  <mergeCells count="4">
    <mergeCell ref="B5:H5"/>
    <mergeCell ref="A2:H2"/>
    <mergeCell ref="B12:H1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O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2" customWidth="1" style="82" min="14" max="14"/>
    <col width="15" customWidth="1" style="82" min="15" max="15"/>
  </cols>
  <sheetData>
    <row r="1" ht="25.5" customHeight="1" s="82">
      <c r="A1" s="113" t="inlineStr">
        <is>
          <t>TERM LOAN  —  REPAYMENT SCHEDULE</t>
        </is>
      </c>
    </row>
    <row r="2" ht="15" customHeight="1" s="82">
      <c r="A2" s="114">
        <f>"Interest @ "&amp;TEXT(Assumptions!$C$10,"0.00%")&amp;" p.a. on the reducing balance  ·  Tenure "&amp;TEXT(Assumptions!$C$11,"0")&amp;" months  ·  Moratorium "&amp;TEXT(Assumptions!$C$12,"0")&amp;" months  ·  Sanctioned "&amp;TEXT(Assumptions!$C$8,"#,##0")</f>
        <v/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88" t="inlineStr">
        <is>
          <t>Opening balance</t>
        </is>
      </c>
      <c r="C5" s="143">
        <f>Assumptions!$C$8</f>
        <v/>
      </c>
      <c r="D5" s="143">
        <f>C8</f>
        <v/>
      </c>
      <c r="E5" s="143">
        <f>D8</f>
        <v/>
      </c>
      <c r="F5" s="143">
        <f>E8</f>
        <v/>
      </c>
      <c r="G5" s="143">
        <f>F8</f>
        <v/>
      </c>
    </row>
    <row r="6" ht="15" customHeight="1" s="82">
      <c r="B6" s="88" t="inlineStr">
        <is>
          <t>Interest for the year</t>
        </is>
      </c>
      <c r="C6" s="143">
        <f>SUM(C25:N25)</f>
        <v/>
      </c>
      <c r="D6" s="143">
        <f>SUM(C32:N32)</f>
        <v/>
      </c>
      <c r="E6" s="143">
        <f>SUM(C39:N39)</f>
        <v/>
      </c>
      <c r="F6" s="143">
        <f>SUM(C46:N46)</f>
        <v/>
      </c>
      <c r="G6" s="143">
        <f>SUM(C53:N53)</f>
        <v/>
      </c>
    </row>
    <row r="7" ht="15" customHeight="1" s="82">
      <c r="B7" s="88" t="inlineStr">
        <is>
          <t>Principal repayment</t>
        </is>
      </c>
      <c r="C7" s="143">
        <f>SUM(C26:N26)</f>
        <v/>
      </c>
      <c r="D7" s="143">
        <f>SUM(C33:N33)</f>
        <v/>
      </c>
      <c r="E7" s="143">
        <f>SUM(C40:N40)</f>
        <v/>
      </c>
      <c r="F7" s="143">
        <f>SUM(C47:N47)</f>
        <v/>
      </c>
      <c r="G7" s="143">
        <f>SUM(C54:N54)</f>
        <v/>
      </c>
    </row>
    <row r="8" ht="15" customHeight="1" s="82">
      <c r="B8" s="137" t="inlineStr">
        <is>
          <t>Closing balance</t>
        </is>
      </c>
      <c r="C8" s="139">
        <f>C5-C7</f>
        <v/>
      </c>
      <c r="D8" s="139">
        <f>D5-D7</f>
        <v/>
      </c>
      <c r="E8" s="139">
        <f>E5-E7</f>
        <v/>
      </c>
      <c r="F8" s="139">
        <f>F5-F7</f>
        <v/>
      </c>
      <c r="G8" s="139">
        <f>G5-G7</f>
        <v/>
      </c>
    </row>
    <row r="10" ht="15" customHeight="1" s="82">
      <c r="B10" s="91" t="inlineStr">
        <is>
          <t>Note: schedule shows the first 5 years of the projection horizon; any balance beyond Year 5 continues per the sanctioned tenure.</t>
        </is>
      </c>
    </row>
    <row r="12" ht="22.5" customHeight="1" s="82">
      <c r="A12" s="236" t="inlineStr">
        <is>
          <t>MONTH-BY-MONTH REPAYMENT SCHEDULE</t>
        </is>
      </c>
    </row>
    <row r="13" ht="15" customHeight="1" s="82">
      <c r="A13" s="237" t="inlineStr">
        <is>
          <t>Interest accrues monthly on the reducing balance; principal is nil during the moratorium and starts thereafter. Each year's totals are the sum of its months.</t>
        </is>
      </c>
    </row>
    <row r="15">
      <c r="B15" s="238" t="inlineStr">
        <is>
          <t>Sanctioned term loan</t>
        </is>
      </c>
      <c r="C15" s="239">
        <f>Assumptions!$C$8</f>
        <v/>
      </c>
    </row>
    <row r="16">
      <c r="B16" s="238" t="inlineStr">
        <is>
          <t>Interest rate on term loan (per annum)</t>
        </is>
      </c>
      <c r="C16" s="240">
        <f>Assumptions!$C$10</f>
        <v/>
      </c>
    </row>
    <row r="17">
      <c r="B17" s="238" t="inlineStr">
        <is>
          <t>Tenure (months)</t>
        </is>
      </c>
      <c r="C17" s="241">
        <f>Assumptions!$C$11</f>
        <v/>
      </c>
    </row>
    <row r="18">
      <c r="B18" s="238" t="inlineStr">
        <is>
          <t>Moratorium / holiday period (months)</t>
        </is>
      </c>
      <c r="C18" s="241">
        <f>Assumptions!$C$12</f>
        <v/>
      </c>
    </row>
    <row r="19">
      <c r="B19" s="238" t="inlineStr">
        <is>
          <t>Monthly principal instalment</t>
        </is>
      </c>
      <c r="C19" s="239">
        <f>IFERROR(Assumptions!$C$8/(Assumptions!$C$11/12-Assumptions!$C$12/12)/12,0)</f>
        <v/>
      </c>
    </row>
    <row r="22" ht="18" customHeight="1" s="82">
      <c r="A22" s="242" t="inlineStr">
        <is>
          <t>YEAR 1</t>
        </is>
      </c>
    </row>
    <row r="23" ht="19.5" customHeight="1" s="82">
      <c r="B23" s="243" t="inlineStr">
        <is>
          <t>Particulars</t>
        </is>
      </c>
      <c r="C23" s="244" t="inlineStr">
        <is>
          <t>M1</t>
        </is>
      </c>
      <c r="D23" s="244" t="inlineStr">
        <is>
          <t>M2</t>
        </is>
      </c>
      <c r="E23" s="244" t="inlineStr">
        <is>
          <t>M3</t>
        </is>
      </c>
      <c r="F23" s="244" t="inlineStr">
        <is>
          <t>M4</t>
        </is>
      </c>
      <c r="G23" s="244" t="inlineStr">
        <is>
          <t>M5</t>
        </is>
      </c>
      <c r="H23" s="244" t="inlineStr">
        <is>
          <t>M6</t>
        </is>
      </c>
      <c r="I23" s="244" t="inlineStr">
        <is>
          <t>M7</t>
        </is>
      </c>
      <c r="J23" s="244" t="inlineStr">
        <is>
          <t>M8</t>
        </is>
      </c>
      <c r="K23" s="244" t="inlineStr">
        <is>
          <t>M9</t>
        </is>
      </c>
      <c r="L23" s="244" t="inlineStr">
        <is>
          <t>M10</t>
        </is>
      </c>
      <c r="M23" s="244" t="inlineStr">
        <is>
          <t>M11</t>
        </is>
      </c>
      <c r="N23" s="244" t="inlineStr">
        <is>
          <t>M12</t>
        </is>
      </c>
      <c r="O23" s="245" t="inlineStr">
        <is>
          <t>Year 1 Total</t>
        </is>
      </c>
    </row>
    <row r="24">
      <c r="B24" s="238" t="inlineStr">
        <is>
          <t>Opening balance</t>
        </is>
      </c>
      <c r="C24" s="239">
        <f>$C$5</f>
        <v/>
      </c>
      <c r="D24" s="239">
        <f>C27</f>
        <v/>
      </c>
      <c r="E24" s="239">
        <f>D27</f>
        <v/>
      </c>
      <c r="F24" s="239">
        <f>E27</f>
        <v/>
      </c>
      <c r="G24" s="239">
        <f>F27</f>
        <v/>
      </c>
      <c r="H24" s="239">
        <f>G27</f>
        <v/>
      </c>
      <c r="I24" s="239">
        <f>H27</f>
        <v/>
      </c>
      <c r="J24" s="239">
        <f>I27</f>
        <v/>
      </c>
      <c r="K24" s="239">
        <f>J27</f>
        <v/>
      </c>
      <c r="L24" s="239">
        <f>K27</f>
        <v/>
      </c>
      <c r="M24" s="239">
        <f>L27</f>
        <v/>
      </c>
      <c r="N24" s="239">
        <f>M27</f>
        <v/>
      </c>
      <c r="O24" s="239">
        <f>$C$5</f>
        <v/>
      </c>
    </row>
    <row r="25">
      <c r="B25" s="238" t="inlineStr">
        <is>
          <t>Interest for the month</t>
        </is>
      </c>
      <c r="C25" s="239">
        <f>C24*Assumptions!$C$10/12</f>
        <v/>
      </c>
      <c r="D25" s="239">
        <f>D24*Assumptions!$C$10/12</f>
        <v/>
      </c>
      <c r="E25" s="239">
        <f>E24*Assumptions!$C$10/12</f>
        <v/>
      </c>
      <c r="F25" s="239">
        <f>F24*Assumptions!$C$10/12</f>
        <v/>
      </c>
      <c r="G25" s="239">
        <f>G24*Assumptions!$C$10/12</f>
        <v/>
      </c>
      <c r="H25" s="239">
        <f>H24*Assumptions!$C$10/12</f>
        <v/>
      </c>
      <c r="I25" s="239">
        <f>I24*Assumptions!$C$10/12</f>
        <v/>
      </c>
      <c r="J25" s="239">
        <f>J24*Assumptions!$C$10/12</f>
        <v/>
      </c>
      <c r="K25" s="239">
        <f>K24*Assumptions!$C$10/12</f>
        <v/>
      </c>
      <c r="L25" s="239">
        <f>L24*Assumptions!$C$10/12</f>
        <v/>
      </c>
      <c r="M25" s="239">
        <f>M24*Assumptions!$C$10/12</f>
        <v/>
      </c>
      <c r="N25" s="239">
        <f>N24*Assumptions!$C$10/12</f>
        <v/>
      </c>
      <c r="O25" s="239">
        <f>SUM(C25:N25)</f>
        <v/>
      </c>
    </row>
    <row r="26">
      <c r="B26" s="238" t="inlineStr">
        <is>
          <t>Principal repayment</t>
        </is>
      </c>
      <c r="C26" s="239">
        <f>IF(1&lt;=Assumptions!$C$12,0,MIN(C24,$C$19))</f>
        <v/>
      </c>
      <c r="D26" s="239">
        <f>IF(2&lt;=Assumptions!$C$12,0,MIN(D24,$C$19))</f>
        <v/>
      </c>
      <c r="E26" s="239">
        <f>IF(3&lt;=Assumptions!$C$12,0,MIN(E24,$C$19))</f>
        <v/>
      </c>
      <c r="F26" s="239">
        <f>IF(4&lt;=Assumptions!$C$12,0,MIN(F24,$C$19))</f>
        <v/>
      </c>
      <c r="G26" s="239">
        <f>IF(5&lt;=Assumptions!$C$12,0,MIN(G24,$C$19))</f>
        <v/>
      </c>
      <c r="H26" s="239">
        <f>IF(6&lt;=Assumptions!$C$12,0,MIN(H24,$C$19))</f>
        <v/>
      </c>
      <c r="I26" s="239">
        <f>IF(7&lt;=Assumptions!$C$12,0,MIN(I24,$C$19))</f>
        <v/>
      </c>
      <c r="J26" s="239">
        <f>IF(8&lt;=Assumptions!$C$12,0,MIN(J24,$C$19))</f>
        <v/>
      </c>
      <c r="K26" s="239">
        <f>IF(9&lt;=Assumptions!$C$12,0,MIN(K24,$C$19))</f>
        <v/>
      </c>
      <c r="L26" s="239">
        <f>IF(10&lt;=Assumptions!$C$12,0,MIN(L24,$C$19))</f>
        <v/>
      </c>
      <c r="M26" s="239">
        <f>IF(11&lt;=Assumptions!$C$12,0,MIN(M24,$C$19))</f>
        <v/>
      </c>
      <c r="N26" s="239">
        <f>IF(12&lt;=Assumptions!$C$12,0,MIN(N24,$C$19))</f>
        <v/>
      </c>
      <c r="O26" s="239">
        <f>SUM(C26:N26)</f>
        <v/>
      </c>
    </row>
    <row r="27">
      <c r="B27" s="246" t="inlineStr">
        <is>
          <t>Closing balance</t>
        </is>
      </c>
      <c r="C27" s="247">
        <f>C24-C26</f>
        <v/>
      </c>
      <c r="D27" s="247">
        <f>D24-D26</f>
        <v/>
      </c>
      <c r="E27" s="247">
        <f>E24-E26</f>
        <v/>
      </c>
      <c r="F27" s="247">
        <f>F24-F26</f>
        <v/>
      </c>
      <c r="G27" s="247">
        <f>G24-G26</f>
        <v/>
      </c>
      <c r="H27" s="247">
        <f>H24-H26</f>
        <v/>
      </c>
      <c r="I27" s="247">
        <f>I24-I26</f>
        <v/>
      </c>
      <c r="J27" s="247">
        <f>J24-J26</f>
        <v/>
      </c>
      <c r="K27" s="247">
        <f>K24-K26</f>
        <v/>
      </c>
      <c r="L27" s="247">
        <f>L24-L26</f>
        <v/>
      </c>
      <c r="M27" s="247">
        <f>M24-M26</f>
        <v/>
      </c>
      <c r="N27" s="247">
        <f>N24-N26</f>
        <v/>
      </c>
      <c r="O27" s="247">
        <f>$C$8</f>
        <v/>
      </c>
    </row>
    <row r="29" ht="18" customHeight="1" s="82">
      <c r="A29" s="242" t="inlineStr">
        <is>
          <t>YEAR 2</t>
        </is>
      </c>
    </row>
    <row r="30" ht="19.5" customHeight="1" s="82">
      <c r="B30" s="243" t="inlineStr">
        <is>
          <t>Particulars</t>
        </is>
      </c>
      <c r="C30" s="244" t="inlineStr">
        <is>
          <t>M1</t>
        </is>
      </c>
      <c r="D30" s="244" t="inlineStr">
        <is>
          <t>M2</t>
        </is>
      </c>
      <c r="E30" s="244" t="inlineStr">
        <is>
          <t>M3</t>
        </is>
      </c>
      <c r="F30" s="244" t="inlineStr">
        <is>
          <t>M4</t>
        </is>
      </c>
      <c r="G30" s="244" t="inlineStr">
        <is>
          <t>M5</t>
        </is>
      </c>
      <c r="H30" s="244" t="inlineStr">
        <is>
          <t>M6</t>
        </is>
      </c>
      <c r="I30" s="244" t="inlineStr">
        <is>
          <t>M7</t>
        </is>
      </c>
      <c r="J30" s="244" t="inlineStr">
        <is>
          <t>M8</t>
        </is>
      </c>
      <c r="K30" s="244" t="inlineStr">
        <is>
          <t>M9</t>
        </is>
      </c>
      <c r="L30" s="244" t="inlineStr">
        <is>
          <t>M10</t>
        </is>
      </c>
      <c r="M30" s="244" t="inlineStr">
        <is>
          <t>M11</t>
        </is>
      </c>
      <c r="N30" s="244" t="inlineStr">
        <is>
          <t>M12</t>
        </is>
      </c>
      <c r="O30" s="245" t="inlineStr">
        <is>
          <t>Year 2 Total</t>
        </is>
      </c>
    </row>
    <row r="31">
      <c r="B31" s="238" t="inlineStr">
        <is>
          <t>Opening balance</t>
        </is>
      </c>
      <c r="C31" s="239">
        <f>$D$5</f>
        <v/>
      </c>
      <c r="D31" s="239">
        <f>C34</f>
        <v/>
      </c>
      <c r="E31" s="239">
        <f>D34</f>
        <v/>
      </c>
      <c r="F31" s="239">
        <f>E34</f>
        <v/>
      </c>
      <c r="G31" s="239">
        <f>F34</f>
        <v/>
      </c>
      <c r="H31" s="239">
        <f>G34</f>
        <v/>
      </c>
      <c r="I31" s="239">
        <f>H34</f>
        <v/>
      </c>
      <c r="J31" s="239">
        <f>I34</f>
        <v/>
      </c>
      <c r="K31" s="239">
        <f>J34</f>
        <v/>
      </c>
      <c r="L31" s="239">
        <f>K34</f>
        <v/>
      </c>
      <c r="M31" s="239">
        <f>L34</f>
        <v/>
      </c>
      <c r="N31" s="239">
        <f>M34</f>
        <v/>
      </c>
      <c r="O31" s="239">
        <f>$D$5</f>
        <v/>
      </c>
    </row>
    <row r="32">
      <c r="B32" s="238" t="inlineStr">
        <is>
          <t>Interest for the month</t>
        </is>
      </c>
      <c r="C32" s="239">
        <f>C31*Assumptions!$C$10/12</f>
        <v/>
      </c>
      <c r="D32" s="239">
        <f>D31*Assumptions!$C$10/12</f>
        <v/>
      </c>
      <c r="E32" s="239">
        <f>E31*Assumptions!$C$10/12</f>
        <v/>
      </c>
      <c r="F32" s="239">
        <f>F31*Assumptions!$C$10/12</f>
        <v/>
      </c>
      <c r="G32" s="239">
        <f>G31*Assumptions!$C$10/12</f>
        <v/>
      </c>
      <c r="H32" s="239">
        <f>H31*Assumptions!$C$10/12</f>
        <v/>
      </c>
      <c r="I32" s="239">
        <f>I31*Assumptions!$C$10/12</f>
        <v/>
      </c>
      <c r="J32" s="239">
        <f>J31*Assumptions!$C$10/12</f>
        <v/>
      </c>
      <c r="K32" s="239">
        <f>K31*Assumptions!$C$10/12</f>
        <v/>
      </c>
      <c r="L32" s="239">
        <f>L31*Assumptions!$C$10/12</f>
        <v/>
      </c>
      <c r="M32" s="239">
        <f>M31*Assumptions!$C$10/12</f>
        <v/>
      </c>
      <c r="N32" s="239">
        <f>N31*Assumptions!$C$10/12</f>
        <v/>
      </c>
      <c r="O32" s="239">
        <f>SUM(C32:N32)</f>
        <v/>
      </c>
    </row>
    <row r="33">
      <c r="B33" s="238" t="inlineStr">
        <is>
          <t>Principal repayment</t>
        </is>
      </c>
      <c r="C33" s="239">
        <f>IF(13&lt;=Assumptions!$C$12,0,MIN(C31,$C$19))</f>
        <v/>
      </c>
      <c r="D33" s="239">
        <f>IF(14&lt;=Assumptions!$C$12,0,MIN(D31,$C$19))</f>
        <v/>
      </c>
      <c r="E33" s="239">
        <f>IF(15&lt;=Assumptions!$C$12,0,MIN(E31,$C$19))</f>
        <v/>
      </c>
      <c r="F33" s="239">
        <f>IF(16&lt;=Assumptions!$C$12,0,MIN(F31,$C$19))</f>
        <v/>
      </c>
      <c r="G33" s="239">
        <f>IF(17&lt;=Assumptions!$C$12,0,MIN(G31,$C$19))</f>
        <v/>
      </c>
      <c r="H33" s="239">
        <f>IF(18&lt;=Assumptions!$C$12,0,MIN(H31,$C$19))</f>
        <v/>
      </c>
      <c r="I33" s="239">
        <f>IF(19&lt;=Assumptions!$C$12,0,MIN(I31,$C$19))</f>
        <v/>
      </c>
      <c r="J33" s="239">
        <f>IF(20&lt;=Assumptions!$C$12,0,MIN(J31,$C$19))</f>
        <v/>
      </c>
      <c r="K33" s="239">
        <f>IF(21&lt;=Assumptions!$C$12,0,MIN(K31,$C$19))</f>
        <v/>
      </c>
      <c r="L33" s="239">
        <f>IF(22&lt;=Assumptions!$C$12,0,MIN(L31,$C$19))</f>
        <v/>
      </c>
      <c r="M33" s="239">
        <f>IF(23&lt;=Assumptions!$C$12,0,MIN(M31,$C$19))</f>
        <v/>
      </c>
      <c r="N33" s="239">
        <f>IF(24&lt;=Assumptions!$C$12,0,MIN(N31,$C$19))</f>
        <v/>
      </c>
      <c r="O33" s="239">
        <f>SUM(C33:N33)</f>
        <v/>
      </c>
    </row>
    <row r="34">
      <c r="B34" s="246" t="inlineStr">
        <is>
          <t>Closing balance</t>
        </is>
      </c>
      <c r="C34" s="247">
        <f>C31-C33</f>
        <v/>
      </c>
      <c r="D34" s="247">
        <f>D31-D33</f>
        <v/>
      </c>
      <c r="E34" s="247">
        <f>E31-E33</f>
        <v/>
      </c>
      <c r="F34" s="247">
        <f>F31-F33</f>
        <v/>
      </c>
      <c r="G34" s="247">
        <f>G31-G33</f>
        <v/>
      </c>
      <c r="H34" s="247">
        <f>H31-H33</f>
        <v/>
      </c>
      <c r="I34" s="247">
        <f>I31-I33</f>
        <v/>
      </c>
      <c r="J34" s="247">
        <f>J31-J33</f>
        <v/>
      </c>
      <c r="K34" s="247">
        <f>K31-K33</f>
        <v/>
      </c>
      <c r="L34" s="247">
        <f>L31-L33</f>
        <v/>
      </c>
      <c r="M34" s="247">
        <f>M31-M33</f>
        <v/>
      </c>
      <c r="N34" s="247">
        <f>N31-N33</f>
        <v/>
      </c>
      <c r="O34" s="247">
        <f>$D$8</f>
        <v/>
      </c>
    </row>
    <row r="36" ht="18" customHeight="1" s="82">
      <c r="A36" s="242" t="inlineStr">
        <is>
          <t>YEAR 3</t>
        </is>
      </c>
    </row>
    <row r="37" ht="19.5" customHeight="1" s="82">
      <c r="B37" s="243" t="inlineStr">
        <is>
          <t>Particulars</t>
        </is>
      </c>
      <c r="C37" s="244" t="inlineStr">
        <is>
          <t>M1</t>
        </is>
      </c>
      <c r="D37" s="244" t="inlineStr">
        <is>
          <t>M2</t>
        </is>
      </c>
      <c r="E37" s="244" t="inlineStr">
        <is>
          <t>M3</t>
        </is>
      </c>
      <c r="F37" s="244" t="inlineStr">
        <is>
          <t>M4</t>
        </is>
      </c>
      <c r="G37" s="244" t="inlineStr">
        <is>
          <t>M5</t>
        </is>
      </c>
      <c r="H37" s="244" t="inlineStr">
        <is>
          <t>M6</t>
        </is>
      </c>
      <c r="I37" s="244" t="inlineStr">
        <is>
          <t>M7</t>
        </is>
      </c>
      <c r="J37" s="244" t="inlineStr">
        <is>
          <t>M8</t>
        </is>
      </c>
      <c r="K37" s="244" t="inlineStr">
        <is>
          <t>M9</t>
        </is>
      </c>
      <c r="L37" s="244" t="inlineStr">
        <is>
          <t>M10</t>
        </is>
      </c>
      <c r="M37" s="244" t="inlineStr">
        <is>
          <t>M11</t>
        </is>
      </c>
      <c r="N37" s="244" t="inlineStr">
        <is>
          <t>M12</t>
        </is>
      </c>
      <c r="O37" s="245" t="inlineStr">
        <is>
          <t>Year 3 Total</t>
        </is>
      </c>
    </row>
    <row r="38">
      <c r="B38" s="238" t="inlineStr">
        <is>
          <t>Opening balance</t>
        </is>
      </c>
      <c r="C38" s="239">
        <f>$E$5</f>
        <v/>
      </c>
      <c r="D38" s="239">
        <f>C41</f>
        <v/>
      </c>
      <c r="E38" s="239">
        <f>D41</f>
        <v/>
      </c>
      <c r="F38" s="239">
        <f>E41</f>
        <v/>
      </c>
      <c r="G38" s="239">
        <f>F41</f>
        <v/>
      </c>
      <c r="H38" s="239">
        <f>G41</f>
        <v/>
      </c>
      <c r="I38" s="239">
        <f>H41</f>
        <v/>
      </c>
      <c r="J38" s="239">
        <f>I41</f>
        <v/>
      </c>
      <c r="K38" s="239">
        <f>J41</f>
        <v/>
      </c>
      <c r="L38" s="239">
        <f>K41</f>
        <v/>
      </c>
      <c r="M38" s="239">
        <f>L41</f>
        <v/>
      </c>
      <c r="N38" s="239">
        <f>M41</f>
        <v/>
      </c>
      <c r="O38" s="239">
        <f>$E$5</f>
        <v/>
      </c>
    </row>
    <row r="39">
      <c r="B39" s="238" t="inlineStr">
        <is>
          <t>Interest for the month</t>
        </is>
      </c>
      <c r="C39" s="239">
        <f>C38*Assumptions!$C$10/12</f>
        <v/>
      </c>
      <c r="D39" s="239">
        <f>D38*Assumptions!$C$10/12</f>
        <v/>
      </c>
      <c r="E39" s="239">
        <f>E38*Assumptions!$C$10/12</f>
        <v/>
      </c>
      <c r="F39" s="239">
        <f>F38*Assumptions!$C$10/12</f>
        <v/>
      </c>
      <c r="G39" s="239">
        <f>G38*Assumptions!$C$10/12</f>
        <v/>
      </c>
      <c r="H39" s="239">
        <f>H38*Assumptions!$C$10/12</f>
        <v/>
      </c>
      <c r="I39" s="239">
        <f>I38*Assumptions!$C$10/12</f>
        <v/>
      </c>
      <c r="J39" s="239">
        <f>J38*Assumptions!$C$10/12</f>
        <v/>
      </c>
      <c r="K39" s="239">
        <f>K38*Assumptions!$C$10/12</f>
        <v/>
      </c>
      <c r="L39" s="239">
        <f>L38*Assumptions!$C$10/12</f>
        <v/>
      </c>
      <c r="M39" s="239">
        <f>M38*Assumptions!$C$10/12</f>
        <v/>
      </c>
      <c r="N39" s="239">
        <f>N38*Assumptions!$C$10/12</f>
        <v/>
      </c>
      <c r="O39" s="239">
        <f>SUM(C39:N39)</f>
        <v/>
      </c>
    </row>
    <row r="40">
      <c r="B40" s="238" t="inlineStr">
        <is>
          <t>Principal repayment</t>
        </is>
      </c>
      <c r="C40" s="239">
        <f>IF(25&lt;=Assumptions!$C$12,0,MIN(C38,$C$19))</f>
        <v/>
      </c>
      <c r="D40" s="239">
        <f>IF(26&lt;=Assumptions!$C$12,0,MIN(D38,$C$19))</f>
        <v/>
      </c>
      <c r="E40" s="239">
        <f>IF(27&lt;=Assumptions!$C$12,0,MIN(E38,$C$19))</f>
        <v/>
      </c>
      <c r="F40" s="239">
        <f>IF(28&lt;=Assumptions!$C$12,0,MIN(F38,$C$19))</f>
        <v/>
      </c>
      <c r="G40" s="239">
        <f>IF(29&lt;=Assumptions!$C$12,0,MIN(G38,$C$19))</f>
        <v/>
      </c>
      <c r="H40" s="239">
        <f>IF(30&lt;=Assumptions!$C$12,0,MIN(H38,$C$19))</f>
        <v/>
      </c>
      <c r="I40" s="239">
        <f>IF(31&lt;=Assumptions!$C$12,0,MIN(I38,$C$19))</f>
        <v/>
      </c>
      <c r="J40" s="239">
        <f>IF(32&lt;=Assumptions!$C$12,0,MIN(J38,$C$19))</f>
        <v/>
      </c>
      <c r="K40" s="239">
        <f>IF(33&lt;=Assumptions!$C$12,0,MIN(K38,$C$19))</f>
        <v/>
      </c>
      <c r="L40" s="239">
        <f>IF(34&lt;=Assumptions!$C$12,0,MIN(L38,$C$19))</f>
        <v/>
      </c>
      <c r="M40" s="239">
        <f>IF(35&lt;=Assumptions!$C$12,0,MIN(M38,$C$19))</f>
        <v/>
      </c>
      <c r="N40" s="239">
        <f>IF(36&lt;=Assumptions!$C$12,0,MIN(N38,$C$19))</f>
        <v/>
      </c>
      <c r="O40" s="239">
        <f>SUM(C40:N40)</f>
        <v/>
      </c>
    </row>
    <row r="41">
      <c r="B41" s="246" t="inlineStr">
        <is>
          <t>Closing balance</t>
        </is>
      </c>
      <c r="C41" s="247">
        <f>C38-C40</f>
        <v/>
      </c>
      <c r="D41" s="247">
        <f>D38-D40</f>
        <v/>
      </c>
      <c r="E41" s="247">
        <f>E38-E40</f>
        <v/>
      </c>
      <c r="F41" s="247">
        <f>F38-F40</f>
        <v/>
      </c>
      <c r="G41" s="247">
        <f>G38-G40</f>
        <v/>
      </c>
      <c r="H41" s="247">
        <f>H38-H40</f>
        <v/>
      </c>
      <c r="I41" s="247">
        <f>I38-I40</f>
        <v/>
      </c>
      <c r="J41" s="247">
        <f>J38-J40</f>
        <v/>
      </c>
      <c r="K41" s="247">
        <f>K38-K40</f>
        <v/>
      </c>
      <c r="L41" s="247">
        <f>L38-L40</f>
        <v/>
      </c>
      <c r="M41" s="247">
        <f>M38-M40</f>
        <v/>
      </c>
      <c r="N41" s="247">
        <f>N38-N40</f>
        <v/>
      </c>
      <c r="O41" s="247">
        <f>$E$8</f>
        <v/>
      </c>
    </row>
    <row r="43" ht="18" customHeight="1" s="82">
      <c r="A43" s="242" t="inlineStr">
        <is>
          <t>YEAR 4</t>
        </is>
      </c>
    </row>
    <row r="44" ht="19.5" customHeight="1" s="82">
      <c r="B44" s="243" t="inlineStr">
        <is>
          <t>Particulars</t>
        </is>
      </c>
      <c r="C44" s="244" t="inlineStr">
        <is>
          <t>M1</t>
        </is>
      </c>
      <c r="D44" s="244" t="inlineStr">
        <is>
          <t>M2</t>
        </is>
      </c>
      <c r="E44" s="244" t="inlineStr">
        <is>
          <t>M3</t>
        </is>
      </c>
      <c r="F44" s="244" t="inlineStr">
        <is>
          <t>M4</t>
        </is>
      </c>
      <c r="G44" s="244" t="inlineStr">
        <is>
          <t>M5</t>
        </is>
      </c>
      <c r="H44" s="244" t="inlineStr">
        <is>
          <t>M6</t>
        </is>
      </c>
      <c r="I44" s="244" t="inlineStr">
        <is>
          <t>M7</t>
        </is>
      </c>
      <c r="J44" s="244" t="inlineStr">
        <is>
          <t>M8</t>
        </is>
      </c>
      <c r="K44" s="244" t="inlineStr">
        <is>
          <t>M9</t>
        </is>
      </c>
      <c r="L44" s="244" t="inlineStr">
        <is>
          <t>M10</t>
        </is>
      </c>
      <c r="M44" s="244" t="inlineStr">
        <is>
          <t>M11</t>
        </is>
      </c>
      <c r="N44" s="244" t="inlineStr">
        <is>
          <t>M12</t>
        </is>
      </c>
      <c r="O44" s="245" t="inlineStr">
        <is>
          <t>Year 4 Total</t>
        </is>
      </c>
    </row>
    <row r="45">
      <c r="B45" s="238" t="inlineStr">
        <is>
          <t>Opening balance</t>
        </is>
      </c>
      <c r="C45" s="239">
        <f>$F$5</f>
        <v/>
      </c>
      <c r="D45" s="239">
        <f>C48</f>
        <v/>
      </c>
      <c r="E45" s="239">
        <f>D48</f>
        <v/>
      </c>
      <c r="F45" s="239">
        <f>E48</f>
        <v/>
      </c>
      <c r="G45" s="239">
        <f>F48</f>
        <v/>
      </c>
      <c r="H45" s="239">
        <f>G48</f>
        <v/>
      </c>
      <c r="I45" s="239">
        <f>H48</f>
        <v/>
      </c>
      <c r="J45" s="239">
        <f>I48</f>
        <v/>
      </c>
      <c r="K45" s="239">
        <f>J48</f>
        <v/>
      </c>
      <c r="L45" s="239">
        <f>K48</f>
        <v/>
      </c>
      <c r="M45" s="239">
        <f>L48</f>
        <v/>
      </c>
      <c r="N45" s="239">
        <f>M48</f>
        <v/>
      </c>
      <c r="O45" s="239">
        <f>$F$5</f>
        <v/>
      </c>
    </row>
    <row r="46">
      <c r="B46" s="238" t="inlineStr">
        <is>
          <t>Interest for the month</t>
        </is>
      </c>
      <c r="C46" s="239">
        <f>C45*Assumptions!$C$10/12</f>
        <v/>
      </c>
      <c r="D46" s="239">
        <f>D45*Assumptions!$C$10/12</f>
        <v/>
      </c>
      <c r="E46" s="239">
        <f>E45*Assumptions!$C$10/12</f>
        <v/>
      </c>
      <c r="F46" s="239">
        <f>F45*Assumptions!$C$10/12</f>
        <v/>
      </c>
      <c r="G46" s="239">
        <f>G45*Assumptions!$C$10/12</f>
        <v/>
      </c>
      <c r="H46" s="239">
        <f>H45*Assumptions!$C$10/12</f>
        <v/>
      </c>
      <c r="I46" s="239">
        <f>I45*Assumptions!$C$10/12</f>
        <v/>
      </c>
      <c r="J46" s="239">
        <f>J45*Assumptions!$C$10/12</f>
        <v/>
      </c>
      <c r="K46" s="239">
        <f>K45*Assumptions!$C$10/12</f>
        <v/>
      </c>
      <c r="L46" s="239">
        <f>L45*Assumptions!$C$10/12</f>
        <v/>
      </c>
      <c r="M46" s="239">
        <f>M45*Assumptions!$C$10/12</f>
        <v/>
      </c>
      <c r="N46" s="239">
        <f>N45*Assumptions!$C$10/12</f>
        <v/>
      </c>
      <c r="O46" s="239">
        <f>SUM(C46:N46)</f>
        <v/>
      </c>
    </row>
    <row r="47">
      <c r="B47" s="238" t="inlineStr">
        <is>
          <t>Principal repayment</t>
        </is>
      </c>
      <c r="C47" s="239">
        <f>IF(37&lt;=Assumptions!$C$12,0,MIN(C45,$C$19))</f>
        <v/>
      </c>
      <c r="D47" s="239">
        <f>IF(38&lt;=Assumptions!$C$12,0,MIN(D45,$C$19))</f>
        <v/>
      </c>
      <c r="E47" s="239">
        <f>IF(39&lt;=Assumptions!$C$12,0,MIN(E45,$C$19))</f>
        <v/>
      </c>
      <c r="F47" s="239">
        <f>IF(40&lt;=Assumptions!$C$12,0,MIN(F45,$C$19))</f>
        <v/>
      </c>
      <c r="G47" s="239">
        <f>IF(41&lt;=Assumptions!$C$12,0,MIN(G45,$C$19))</f>
        <v/>
      </c>
      <c r="H47" s="239">
        <f>IF(42&lt;=Assumptions!$C$12,0,MIN(H45,$C$19))</f>
        <v/>
      </c>
      <c r="I47" s="239">
        <f>IF(43&lt;=Assumptions!$C$12,0,MIN(I45,$C$19))</f>
        <v/>
      </c>
      <c r="J47" s="239">
        <f>IF(44&lt;=Assumptions!$C$12,0,MIN(J45,$C$19))</f>
        <v/>
      </c>
      <c r="K47" s="239">
        <f>IF(45&lt;=Assumptions!$C$12,0,MIN(K45,$C$19))</f>
        <v/>
      </c>
      <c r="L47" s="239">
        <f>IF(46&lt;=Assumptions!$C$12,0,MIN(L45,$C$19))</f>
        <v/>
      </c>
      <c r="M47" s="239">
        <f>IF(47&lt;=Assumptions!$C$12,0,MIN(M45,$C$19))</f>
        <v/>
      </c>
      <c r="N47" s="239">
        <f>IF(48&lt;=Assumptions!$C$12,0,MIN(N45,$C$19))</f>
        <v/>
      </c>
      <c r="O47" s="239">
        <f>SUM(C47:N47)</f>
        <v/>
      </c>
    </row>
    <row r="48">
      <c r="B48" s="246" t="inlineStr">
        <is>
          <t>Closing balance</t>
        </is>
      </c>
      <c r="C48" s="247">
        <f>C45-C47</f>
        <v/>
      </c>
      <c r="D48" s="247">
        <f>D45-D47</f>
        <v/>
      </c>
      <c r="E48" s="247">
        <f>E45-E47</f>
        <v/>
      </c>
      <c r="F48" s="247">
        <f>F45-F47</f>
        <v/>
      </c>
      <c r="G48" s="247">
        <f>G45-G47</f>
        <v/>
      </c>
      <c r="H48" s="247">
        <f>H45-H47</f>
        <v/>
      </c>
      <c r="I48" s="247">
        <f>I45-I47</f>
        <v/>
      </c>
      <c r="J48" s="247">
        <f>J45-J47</f>
        <v/>
      </c>
      <c r="K48" s="247">
        <f>K45-K47</f>
        <v/>
      </c>
      <c r="L48" s="247">
        <f>L45-L47</f>
        <v/>
      </c>
      <c r="M48" s="247">
        <f>M45-M47</f>
        <v/>
      </c>
      <c r="N48" s="247">
        <f>N45-N47</f>
        <v/>
      </c>
      <c r="O48" s="247">
        <f>$F$8</f>
        <v/>
      </c>
    </row>
    <row r="50" ht="18" customHeight="1" s="82">
      <c r="A50" s="242" t="inlineStr">
        <is>
          <t>YEAR 5</t>
        </is>
      </c>
    </row>
    <row r="51" ht="19.5" customHeight="1" s="82">
      <c r="B51" s="243" t="inlineStr">
        <is>
          <t>Particulars</t>
        </is>
      </c>
      <c r="C51" s="244" t="inlineStr">
        <is>
          <t>M1</t>
        </is>
      </c>
      <c r="D51" s="244" t="inlineStr">
        <is>
          <t>M2</t>
        </is>
      </c>
      <c r="E51" s="244" t="inlineStr">
        <is>
          <t>M3</t>
        </is>
      </c>
      <c r="F51" s="244" t="inlineStr">
        <is>
          <t>M4</t>
        </is>
      </c>
      <c r="G51" s="244" t="inlineStr">
        <is>
          <t>M5</t>
        </is>
      </c>
      <c r="H51" s="244" t="inlineStr">
        <is>
          <t>M6</t>
        </is>
      </c>
      <c r="I51" s="244" t="inlineStr">
        <is>
          <t>M7</t>
        </is>
      </c>
      <c r="J51" s="244" t="inlineStr">
        <is>
          <t>M8</t>
        </is>
      </c>
      <c r="K51" s="244" t="inlineStr">
        <is>
          <t>M9</t>
        </is>
      </c>
      <c r="L51" s="244" t="inlineStr">
        <is>
          <t>M10</t>
        </is>
      </c>
      <c r="M51" s="244" t="inlineStr">
        <is>
          <t>M11</t>
        </is>
      </c>
      <c r="N51" s="244" t="inlineStr">
        <is>
          <t>M12</t>
        </is>
      </c>
      <c r="O51" s="245" t="inlineStr">
        <is>
          <t>Year 5 Total</t>
        </is>
      </c>
    </row>
    <row r="52">
      <c r="B52" s="238" t="inlineStr">
        <is>
          <t>Opening balance</t>
        </is>
      </c>
      <c r="C52" s="239">
        <f>$G$5</f>
        <v/>
      </c>
      <c r="D52" s="239">
        <f>C55</f>
        <v/>
      </c>
      <c r="E52" s="239">
        <f>D55</f>
        <v/>
      </c>
      <c r="F52" s="239">
        <f>E55</f>
        <v/>
      </c>
      <c r="G52" s="239">
        <f>F55</f>
        <v/>
      </c>
      <c r="H52" s="239">
        <f>G55</f>
        <v/>
      </c>
      <c r="I52" s="239">
        <f>H55</f>
        <v/>
      </c>
      <c r="J52" s="239">
        <f>I55</f>
        <v/>
      </c>
      <c r="K52" s="239">
        <f>J55</f>
        <v/>
      </c>
      <c r="L52" s="239">
        <f>K55</f>
        <v/>
      </c>
      <c r="M52" s="239">
        <f>L55</f>
        <v/>
      </c>
      <c r="N52" s="239">
        <f>M55</f>
        <v/>
      </c>
      <c r="O52" s="239">
        <f>$G$5</f>
        <v/>
      </c>
    </row>
    <row r="53">
      <c r="B53" s="238" t="inlineStr">
        <is>
          <t>Interest for the month</t>
        </is>
      </c>
      <c r="C53" s="239">
        <f>C52*Assumptions!$C$10/12</f>
        <v/>
      </c>
      <c r="D53" s="239">
        <f>D52*Assumptions!$C$10/12</f>
        <v/>
      </c>
      <c r="E53" s="239">
        <f>E52*Assumptions!$C$10/12</f>
        <v/>
      </c>
      <c r="F53" s="239">
        <f>F52*Assumptions!$C$10/12</f>
        <v/>
      </c>
      <c r="G53" s="239">
        <f>G52*Assumptions!$C$10/12</f>
        <v/>
      </c>
      <c r="H53" s="239">
        <f>H52*Assumptions!$C$10/12</f>
        <v/>
      </c>
      <c r="I53" s="239">
        <f>I52*Assumptions!$C$10/12</f>
        <v/>
      </c>
      <c r="J53" s="239">
        <f>J52*Assumptions!$C$10/12</f>
        <v/>
      </c>
      <c r="K53" s="239">
        <f>K52*Assumptions!$C$10/12</f>
        <v/>
      </c>
      <c r="L53" s="239">
        <f>L52*Assumptions!$C$10/12</f>
        <v/>
      </c>
      <c r="M53" s="239">
        <f>M52*Assumptions!$C$10/12</f>
        <v/>
      </c>
      <c r="N53" s="239">
        <f>N52*Assumptions!$C$10/12</f>
        <v/>
      </c>
      <c r="O53" s="239">
        <f>SUM(C53:N53)</f>
        <v/>
      </c>
    </row>
    <row r="54">
      <c r="B54" s="238" t="inlineStr">
        <is>
          <t>Principal repayment</t>
        </is>
      </c>
      <c r="C54" s="239">
        <f>IF(49&lt;=Assumptions!$C$12,0,MIN(C52,$C$19))</f>
        <v/>
      </c>
      <c r="D54" s="239">
        <f>IF(50&lt;=Assumptions!$C$12,0,MIN(D52,$C$19))</f>
        <v/>
      </c>
      <c r="E54" s="239">
        <f>IF(51&lt;=Assumptions!$C$12,0,MIN(E52,$C$19))</f>
        <v/>
      </c>
      <c r="F54" s="239">
        <f>IF(52&lt;=Assumptions!$C$12,0,MIN(F52,$C$19))</f>
        <v/>
      </c>
      <c r="G54" s="239">
        <f>IF(53&lt;=Assumptions!$C$12,0,MIN(G52,$C$19))</f>
        <v/>
      </c>
      <c r="H54" s="239">
        <f>IF(54&lt;=Assumptions!$C$12,0,MIN(H52,$C$19))</f>
        <v/>
      </c>
      <c r="I54" s="239">
        <f>IF(55&lt;=Assumptions!$C$12,0,MIN(I52,$C$19))</f>
        <v/>
      </c>
      <c r="J54" s="239">
        <f>IF(56&lt;=Assumptions!$C$12,0,MIN(J52,$C$19))</f>
        <v/>
      </c>
      <c r="K54" s="239">
        <f>IF(57&lt;=Assumptions!$C$12,0,MIN(K52,$C$19))</f>
        <v/>
      </c>
      <c r="L54" s="239">
        <f>IF(58&lt;=Assumptions!$C$12,0,MIN(L52,$C$19))</f>
        <v/>
      </c>
      <c r="M54" s="239">
        <f>IF(59&lt;=Assumptions!$C$12,0,MIN(M52,$C$19))</f>
        <v/>
      </c>
      <c r="N54" s="239">
        <f>IF(60&lt;=Assumptions!$C$12,0,MIN(N52,$C$19))</f>
        <v/>
      </c>
      <c r="O54" s="239">
        <f>SUM(C54:N54)</f>
        <v/>
      </c>
    </row>
    <row r="55">
      <c r="B55" s="246" t="inlineStr">
        <is>
          <t>Closing balance</t>
        </is>
      </c>
      <c r="C55" s="247">
        <f>C52-C54</f>
        <v/>
      </c>
      <c r="D55" s="247">
        <f>D52-D54</f>
        <v/>
      </c>
      <c r="E55" s="247">
        <f>E52-E54</f>
        <v/>
      </c>
      <c r="F55" s="247">
        <f>F52-F54</f>
        <v/>
      </c>
      <c r="G55" s="247">
        <f>G52-G54</f>
        <v/>
      </c>
      <c r="H55" s="247">
        <f>H52-H54</f>
        <v/>
      </c>
      <c r="I55" s="247">
        <f>I52-I54</f>
        <v/>
      </c>
      <c r="J55" s="247">
        <f>J52-J54</f>
        <v/>
      </c>
      <c r="K55" s="247">
        <f>K52-K54</f>
        <v/>
      </c>
      <c r="L55" s="247">
        <f>L52-L54</f>
        <v/>
      </c>
      <c r="M55" s="247">
        <f>M52-M54</f>
        <v/>
      </c>
      <c r="N55" s="247">
        <f>N52-N54</f>
        <v/>
      </c>
      <c r="O55" s="247">
        <f>$G$8</f>
        <v/>
      </c>
    </row>
  </sheetData>
  <mergeCells count="9">
    <mergeCell ref="A29:O29"/>
    <mergeCell ref="A12:O12"/>
    <mergeCell ref="A43:O43"/>
    <mergeCell ref="A2:O2"/>
    <mergeCell ref="A13:O13"/>
    <mergeCell ref="A36:O36"/>
    <mergeCell ref="A1:O1"/>
    <mergeCell ref="A22:O22"/>
    <mergeCell ref="A50:O5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259" t="inlineStr">
        <is>
          <t>EXISTING LOAN  —  take-over or additional facility</t>
        </is>
      </c>
    </row>
    <row r="2">
      <c r="A2" s="261" t="inlineStr">
        <is>
          <t>Set the treatment on Assumptions row 72. On take-over the new term loan clears this debt, so it stops costing interest and leaves the balance sheet; on 'additional' it runs alongside and is part of debt service.</t>
        </is>
      </c>
    </row>
    <row r="3">
      <c r="B3" s="310" t="inlineStr">
        <is>
          <t>Particulars</t>
        </is>
      </c>
      <c r="C3" s="266" t="inlineStr">
        <is>
          <t>Year 1</t>
        </is>
      </c>
      <c r="D3" s="266" t="inlineStr">
        <is>
          <t>Year 2</t>
        </is>
      </c>
      <c r="E3" s="266" t="inlineStr">
        <is>
          <t>Year 3</t>
        </is>
      </c>
      <c r="F3" s="266" t="inlineStr">
        <is>
          <t>Year 4</t>
        </is>
      </c>
      <c r="G3" s="266" t="inlineStr">
        <is>
          <t>Year 5</t>
        </is>
      </c>
    </row>
    <row r="4">
      <c r="B4" s="273" t="inlineStr">
        <is>
          <t>Outstanding today</t>
        </is>
      </c>
      <c r="C4" s="331">
        <f>Assumptions!$C$73</f>
        <v/>
      </c>
      <c r="D4" s="332" t="n"/>
    </row>
    <row r="5">
      <c r="B5" s="273" t="inlineStr">
        <is>
          <t>Interest rate (% p.a.)</t>
        </is>
      </c>
      <c r="C5" s="333">
        <f>Assumptions!$C$74</f>
        <v/>
      </c>
      <c r="D5" s="332" t="n"/>
    </row>
    <row r="6">
      <c r="B6" s="273" t="inlineStr">
        <is>
          <t>Remaining tenure (months) / annual principal</t>
        </is>
      </c>
      <c r="C6" s="331">
        <f>Assumptions!$C$75</f>
        <v/>
      </c>
      <c r="D6" s="331">
        <f>IFERROR(Assumptions!$C$73/(Assumptions!$C$75/12),0)</f>
        <v/>
      </c>
    </row>
    <row r="7">
      <c r="A7" s="313" t="n"/>
      <c r="B7" s="326" t="inlineStr">
        <is>
          <t>A.   AMORTISATION OF THE EXISTING FACILITY  (as if it continues)</t>
        </is>
      </c>
      <c r="C7" s="313" t="n"/>
      <c r="D7" s="313" t="n"/>
      <c r="E7" s="313" t="n"/>
      <c r="F7" s="313" t="n"/>
      <c r="G7" s="313" t="n"/>
    </row>
    <row r="8">
      <c r="B8" s="273" t="inlineStr">
        <is>
          <t>Opening balance</t>
        </is>
      </c>
      <c r="C8" s="274">
        <f>Assumptions!$C$73</f>
        <v/>
      </c>
      <c r="D8" s="274">
        <f>C11</f>
        <v/>
      </c>
      <c r="E8" s="274">
        <f>D11</f>
        <v/>
      </c>
      <c r="F8" s="274">
        <f>E11</f>
        <v/>
      </c>
      <c r="G8" s="274">
        <f>F11</f>
        <v/>
      </c>
    </row>
    <row r="9">
      <c r="B9" s="273" t="inlineStr">
        <is>
          <t>Interest for the year</t>
        </is>
      </c>
      <c r="C9" s="274">
        <f>C8*Assumptions!$C$74</f>
        <v/>
      </c>
      <c r="D9" s="274">
        <f>D8*Assumptions!$C$74</f>
        <v/>
      </c>
      <c r="E9" s="274">
        <f>E8*Assumptions!$C$74</f>
        <v/>
      </c>
      <c r="F9" s="274">
        <f>F8*Assumptions!$C$74</f>
        <v/>
      </c>
      <c r="G9" s="274">
        <f>G8*Assumptions!$C$74</f>
        <v/>
      </c>
    </row>
    <row r="10">
      <c r="B10" s="273" t="inlineStr">
        <is>
          <t>Principal repayment</t>
        </is>
      </c>
      <c r="C10" s="274">
        <f>MIN(C8,$D$6)</f>
        <v/>
      </c>
      <c r="D10" s="274">
        <f>MIN(D8,$D$6)</f>
        <v/>
      </c>
      <c r="E10" s="274">
        <f>MIN(E8,$D$6)</f>
        <v/>
      </c>
      <c r="F10" s="274">
        <f>MIN(F8,$D$6)</f>
        <v/>
      </c>
      <c r="G10" s="274">
        <f>MIN(G8,$D$6)</f>
        <v/>
      </c>
    </row>
    <row r="11">
      <c r="B11" s="271" t="inlineStr">
        <is>
          <t>Closing balance</t>
        </is>
      </c>
      <c r="C11" s="272">
        <f>C8-C10</f>
        <v/>
      </c>
      <c r="D11" s="272">
        <f>D8-D10</f>
        <v/>
      </c>
      <c r="E11" s="272">
        <f>E8-E10</f>
        <v/>
      </c>
      <c r="F11" s="272">
        <f>F8-F10</f>
        <v/>
      </c>
      <c r="G11" s="272">
        <f>G8-G10</f>
        <v/>
      </c>
    </row>
    <row r="13">
      <c r="A13" s="313" t="n"/>
      <c r="B13" s="326" t="inlineStr">
        <is>
          <t>B.   WHAT THE MODEL ACTUALLY CHARGES  (after the treatment switch)</t>
        </is>
      </c>
      <c r="C13" s="313" t="n"/>
      <c r="D13" s="313" t="n"/>
      <c r="E13" s="313" t="n"/>
      <c r="F13" s="313" t="n"/>
      <c r="G13" s="313" t="n"/>
    </row>
    <row r="14">
      <c r="B14" s="271" t="inlineStr">
        <is>
          <t>Interest charged to the P&amp;L</t>
        </is>
      </c>
      <c r="C14" s="272">
        <f>IF(Assumptions!$C$72=2,C9,0)</f>
        <v/>
      </c>
      <c r="D14" s="272">
        <f>IF(Assumptions!$C$72=2,D9,0)</f>
        <v/>
      </c>
      <c r="E14" s="272">
        <f>IF(Assumptions!$C$72=2,E9,0)</f>
        <v/>
      </c>
      <c r="F14" s="272">
        <f>IF(Assumptions!$C$72=2,F9,0)</f>
        <v/>
      </c>
      <c r="G14" s="272">
        <f>IF(Assumptions!$C$72=2,G9,0)</f>
        <v/>
      </c>
    </row>
    <row r="15">
      <c r="B15" s="271" t="inlineStr">
        <is>
          <t>Principal repaid in the year</t>
        </is>
      </c>
      <c r="C15" s="272">
        <f>IF(Assumptions!$C$72=2,C10,0)</f>
        <v/>
      </c>
      <c r="D15" s="272">
        <f>IF(Assumptions!$C$72=2,D10,0)</f>
        <v/>
      </c>
      <c r="E15" s="272">
        <f>IF(Assumptions!$C$72=2,E10,0)</f>
        <v/>
      </c>
      <c r="F15" s="272">
        <f>IF(Assumptions!$C$72=2,F10,0)</f>
        <v/>
      </c>
      <c r="G15" s="272">
        <f>IF(Assumptions!$C$72=2,G10,0)</f>
        <v/>
      </c>
    </row>
    <row r="16">
      <c r="B16" s="271" t="inlineStr">
        <is>
          <t>Closing balance carried to the balance sheet</t>
        </is>
      </c>
      <c r="C16" s="272">
        <f>IF(Assumptions!$C$72=2,C11,0)</f>
        <v/>
      </c>
      <c r="D16" s="272">
        <f>IF(Assumptions!$C$72=2,D11,0)</f>
        <v/>
      </c>
      <c r="E16" s="272">
        <f>IF(Assumptions!$C$72=2,E11,0)</f>
        <v/>
      </c>
      <c r="F16" s="272">
        <f>IF(Assumptions!$C$72=2,F11,0)</f>
        <v/>
      </c>
      <c r="G16" s="272">
        <f>IF(Assumptions!$C$72=2,G11,0)</f>
        <v/>
      </c>
    </row>
    <row r="17">
      <c r="B17" s="273" t="inlineStr">
        <is>
          <t>Taken over by the new term loan (Year 1)</t>
        </is>
      </c>
      <c r="C17" s="274">
        <f>IF(Assumptions!$C$72=1,Assumptions!$C$73,0)</f>
        <v/>
      </c>
      <c r="D17" s="274">
        <f>0</f>
        <v/>
      </c>
      <c r="E17" s="274">
        <f>0</f>
        <v/>
      </c>
      <c r="F17" s="274">
        <f>0</f>
        <v/>
      </c>
      <c r="G17" s="274">
        <f>0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DEBT SERVICE COVERAGE  (DSCR)</t>
        </is>
      </c>
    </row>
    <row r="2" ht="15" customHeight="1" s="82">
      <c r="A2" s="114" t="inlineStr">
        <is>
          <t>Repayment capacity: cash available for debt service ÷ debt obligation.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  <c r="H4" s="148" t="inlineStr">
        <is>
          <t>Average</t>
        </is>
      </c>
    </row>
    <row r="5" ht="16.5" customHeight="1" s="82">
      <c r="B5" s="146" t="inlineStr">
        <is>
          <t>Cash available for debt service (₹)</t>
        </is>
      </c>
    </row>
    <row r="6" ht="15" customHeight="1" s="82">
      <c r="B6" s="144" t="inlineStr">
        <is>
          <t>Profit After Tax</t>
        </is>
      </c>
      <c r="C6" s="140">
        <f>Annual_Summary!C26</f>
        <v/>
      </c>
      <c r="D6" s="140">
        <f>Annual_Summary!D26</f>
        <v/>
      </c>
      <c r="E6" s="140">
        <f>Annual_Summary!E26</f>
        <v/>
      </c>
      <c r="F6" s="140">
        <f>Annual_Summary!F26</f>
        <v/>
      </c>
      <c r="G6" s="140">
        <f>Annual_Summary!G26</f>
        <v/>
      </c>
    </row>
    <row r="7" ht="15" customHeight="1" s="82">
      <c r="B7" s="144" t="inlineStr">
        <is>
          <t>(+) Depreciation</t>
        </is>
      </c>
      <c r="C7" s="140">
        <f>Annual_Summary!C18</f>
        <v/>
      </c>
      <c r="D7" s="140">
        <f>Annual_Summary!D18</f>
        <v/>
      </c>
      <c r="E7" s="140">
        <f>Annual_Summary!E18</f>
        <v/>
      </c>
      <c r="F7" s="140">
        <f>Annual_Summary!F18</f>
        <v/>
      </c>
      <c r="G7" s="140">
        <f>Annual_Summary!G18</f>
        <v/>
      </c>
    </row>
    <row r="8" ht="15" customHeight="1" s="82">
      <c r="B8" s="144" t="inlineStr">
        <is>
          <t>(+) Interest on Term Loan</t>
        </is>
      </c>
      <c r="C8" s="140">
        <f>Repayment!C6+'Existing Loan'!C14</f>
        <v/>
      </c>
      <c r="D8" s="140">
        <f>Repayment!D6+'Existing Loan'!D14</f>
        <v/>
      </c>
      <c r="E8" s="140">
        <f>Repayment!E6+'Existing Loan'!E14</f>
        <v/>
      </c>
      <c r="F8" s="140">
        <f>Repayment!F6+'Existing Loan'!F14</f>
        <v/>
      </c>
      <c r="G8" s="140">
        <f>Repayment!G6+'Existing Loan'!G14</f>
        <v/>
      </c>
    </row>
    <row r="9" ht="15" customHeight="1" s="82">
      <c r="B9" s="137" t="inlineStr">
        <is>
          <t>Cash Available for Debt Service (A)</t>
        </is>
      </c>
      <c r="C9" s="139">
        <f>C6+C7+C8</f>
        <v/>
      </c>
      <c r="D9" s="139">
        <f>D6+D7+D8</f>
        <v/>
      </c>
      <c r="E9" s="139">
        <f>E6+E7+E8</f>
        <v/>
      </c>
      <c r="F9" s="139">
        <f>F6+F7+F8</f>
        <v/>
      </c>
      <c r="G9" s="139">
        <f>G6+G7+G8</f>
        <v/>
      </c>
    </row>
    <row r="10" ht="16.5" customHeight="1" s="82">
      <c r="B10" s="146" t="inlineStr">
        <is>
          <t>Debt obligation (₹)</t>
        </is>
      </c>
    </row>
    <row r="11" ht="15" customHeight="1" s="82">
      <c r="B11" s="144" t="inlineStr">
        <is>
          <t>Principal repayment</t>
        </is>
      </c>
      <c r="C11" s="140">
        <f>Repayment!C7+'Existing Loan'!C15</f>
        <v/>
      </c>
      <c r="D11" s="140">
        <f>Repayment!D7+'Existing Loan'!D15</f>
        <v/>
      </c>
      <c r="E11" s="140">
        <f>Repayment!E7+'Existing Loan'!E15</f>
        <v/>
      </c>
      <c r="F11" s="140">
        <f>Repayment!F7+'Existing Loan'!F15</f>
        <v/>
      </c>
      <c r="G11" s="140">
        <f>Repayment!G7+'Existing Loan'!G15</f>
        <v/>
      </c>
    </row>
    <row r="12" ht="15" customHeight="1" s="82">
      <c r="B12" s="144" t="inlineStr">
        <is>
          <t>Interest on Term Loan</t>
        </is>
      </c>
      <c r="C12" s="140">
        <f>Repayment!C6+'Existing Loan'!C14</f>
        <v/>
      </c>
      <c r="D12" s="140">
        <f>Repayment!D6+'Existing Loan'!D14</f>
        <v/>
      </c>
      <c r="E12" s="140">
        <f>Repayment!E6+'Existing Loan'!E14</f>
        <v/>
      </c>
      <c r="F12" s="140">
        <f>Repayment!F6+'Existing Loan'!F14</f>
        <v/>
      </c>
      <c r="G12" s="140">
        <f>Repayment!G6+'Existing Loan'!G14</f>
        <v/>
      </c>
    </row>
    <row r="13" ht="15" customHeight="1" s="82">
      <c r="B13" s="137" t="inlineStr">
        <is>
          <t>Total Debt Obligation (B)</t>
        </is>
      </c>
      <c r="C13" s="139">
        <f>C11+C12</f>
        <v/>
      </c>
      <c r="D13" s="139">
        <f>D11+D12</f>
        <v/>
      </c>
      <c r="E13" s="139">
        <f>E11+E12</f>
        <v/>
      </c>
      <c r="F13" s="139">
        <f>F11+F12</f>
        <v/>
      </c>
      <c r="G13" s="139">
        <f>G11+G12</f>
        <v/>
      </c>
    </row>
    <row r="14" ht="15" customHeight="1" s="82">
      <c r="B14" s="137" t="inlineStr">
        <is>
          <t>DSCR  (A ÷ B)</t>
        </is>
      </c>
      <c r="C14" s="149">
        <f>IFERROR(C9/C13,0)</f>
        <v/>
      </c>
      <c r="D14" s="149">
        <f>IFERROR(D9/D13,0)</f>
        <v/>
      </c>
      <c r="E14" s="149">
        <f>IFERROR(E9/E13,0)</f>
        <v/>
      </c>
      <c r="F14" s="149">
        <f>IFERROR(F9/F13,0)</f>
        <v/>
      </c>
      <c r="G14" s="149">
        <f>IFERROR(G9/G13,0)</f>
        <v/>
      </c>
      <c r="H14" s="149">
        <f>IFERROR(AVERAGE(C14:G14),0)</f>
        <v/>
      </c>
    </row>
  </sheetData>
  <mergeCells count="4">
    <mergeCell ref="B5:H5"/>
    <mergeCell ref="A2:H2"/>
    <mergeCell ref="B10:H10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FINANCIAL VIABILITY  —  KEY RATIOS</t>
        </is>
      </c>
    </row>
    <row r="2" ht="15" customHeight="1" s="82">
      <c r="A2" s="114" t="inlineStr">
        <is>
          <t>Liquidity, leverage, profitability and coverage indicators for appraisal.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LIQUIDITY &amp; LEVERAGE</t>
        </is>
      </c>
    </row>
    <row r="6" ht="15" customHeight="1" s="82">
      <c r="B6" s="137" t="inlineStr">
        <is>
          <t>Current Ratio</t>
        </is>
      </c>
      <c r="C6" s="149">
        <f>IFERROR((Form_III_BalanceSheet!C18+Form_III_BalanceSheet!C19+Form_III_BalanceSheet!C20)/(Form_III_BalanceSheet!C11+Form_III_BalanceSheet!C12+Form_III_BalanceSheet!C10),0)</f>
        <v/>
      </c>
      <c r="D6" s="149">
        <f>IFERROR((Form_III_BalanceSheet!D18+Form_III_BalanceSheet!D19+Form_III_BalanceSheet!D20)/(Form_III_BalanceSheet!D11+Form_III_BalanceSheet!D12+Form_III_BalanceSheet!D10),0)</f>
        <v/>
      </c>
      <c r="E6" s="149">
        <f>IFERROR((Form_III_BalanceSheet!E18+Form_III_BalanceSheet!E19+Form_III_BalanceSheet!E20)/(Form_III_BalanceSheet!E11+Form_III_BalanceSheet!E12+Form_III_BalanceSheet!E10),0)</f>
        <v/>
      </c>
      <c r="F6" s="149">
        <f>IFERROR((Form_III_BalanceSheet!F18+Form_III_BalanceSheet!F19+Form_III_BalanceSheet!F20)/(Form_III_BalanceSheet!F11+Form_III_BalanceSheet!F12+Form_III_BalanceSheet!F10),0)</f>
        <v/>
      </c>
      <c r="G6" s="149">
        <f>IFERROR((Form_III_BalanceSheet!G18+Form_III_BalanceSheet!G19+Form_III_BalanceSheet!G20)/(Form_III_BalanceSheet!G11+Form_III_BalanceSheet!G12+Form_III_BalanceSheet!G10),0)</f>
        <v/>
      </c>
    </row>
    <row r="7" ht="15" customHeight="1" s="82">
      <c r="B7" s="88" t="inlineStr">
        <is>
          <t>Debt–Equity Ratio</t>
        </is>
      </c>
      <c r="C7" s="150">
        <f>IFERROR((Form_III_BalanceSheet!C9+Form_III_BalanceSheet!C10)/Form_III_BalanceSheet!C8,0)</f>
        <v/>
      </c>
      <c r="D7" s="150">
        <f>IFERROR((Form_III_BalanceSheet!D9+Form_III_BalanceSheet!D10)/Form_III_BalanceSheet!D8,0)</f>
        <v/>
      </c>
      <c r="E7" s="150">
        <f>IFERROR((Form_III_BalanceSheet!E9+Form_III_BalanceSheet!E10)/Form_III_BalanceSheet!E8,0)</f>
        <v/>
      </c>
      <c r="F7" s="150">
        <f>IFERROR((Form_III_BalanceSheet!F9+Form_III_BalanceSheet!F10)/Form_III_BalanceSheet!F8,0)</f>
        <v/>
      </c>
      <c r="G7" s="150">
        <f>IFERROR((Form_III_BalanceSheet!G9+Form_III_BalanceSheet!G10)/Form_III_BalanceSheet!G8,0)</f>
        <v/>
      </c>
    </row>
    <row r="8" ht="15" customHeight="1" s="82">
      <c r="B8" s="88" t="inlineStr">
        <is>
          <t>TOL / TNW</t>
        </is>
      </c>
      <c r="C8" s="150">
        <f>IFERROR((Form_III_BalanceSheet!C9+Form_III_BalanceSheet!C10+Form_III_BalanceSheet!C11+Form_III_BalanceSheet!C12)/Form_III_BalanceSheet!C8,0)</f>
        <v/>
      </c>
      <c r="D8" s="150">
        <f>IFERROR((Form_III_BalanceSheet!D9+Form_III_BalanceSheet!D10+Form_III_BalanceSheet!D11+Form_III_BalanceSheet!D12)/Form_III_BalanceSheet!D8,0)</f>
        <v/>
      </c>
      <c r="E8" s="150">
        <f>IFERROR((Form_III_BalanceSheet!E9+Form_III_BalanceSheet!E10+Form_III_BalanceSheet!E11+Form_III_BalanceSheet!E12)/Form_III_BalanceSheet!E8,0)</f>
        <v/>
      </c>
      <c r="F8" s="150">
        <f>IFERROR((Form_III_BalanceSheet!F9+Form_III_BalanceSheet!F10+Form_III_BalanceSheet!F11+Form_III_BalanceSheet!F12)/Form_III_BalanceSheet!F8,0)</f>
        <v/>
      </c>
      <c r="G8" s="150">
        <f>IFERROR((Form_III_BalanceSheet!G9+Form_III_BalanceSheet!G10+Form_III_BalanceSheet!G11+Form_III_BalanceSheet!G12)/Form_III_BalanceSheet!G8,0)</f>
        <v/>
      </c>
    </row>
    <row r="9" ht="16.5" customHeight="1" s="82">
      <c r="B9" s="146" t="inlineStr">
        <is>
          <t>PROFITABILITY</t>
        </is>
      </c>
    </row>
    <row r="10" ht="15" customHeight="1" s="82">
      <c r="B10" s="88" t="inlineStr">
        <is>
          <t>EBITDA Margin</t>
        </is>
      </c>
      <c r="C10" s="151">
        <f>IFERROR(Annual_Summary!C22/Annual_Summary!C8,0)</f>
        <v/>
      </c>
      <c r="D10" s="151">
        <f>IFERROR(Annual_Summary!D22/Annual_Summary!D8,0)</f>
        <v/>
      </c>
      <c r="E10" s="151">
        <f>IFERROR(Annual_Summary!E22/Annual_Summary!E8,0)</f>
        <v/>
      </c>
      <c r="F10" s="151">
        <f>IFERROR(Annual_Summary!F22/Annual_Summary!F8,0)</f>
        <v/>
      </c>
      <c r="G10" s="151">
        <f>IFERROR(Annual_Summary!G22/Annual_Summary!G8,0)</f>
        <v/>
      </c>
    </row>
    <row r="11" ht="15" customHeight="1" s="82">
      <c r="B11" s="88" t="inlineStr">
        <is>
          <t>Net Profit Margin</t>
        </is>
      </c>
      <c r="C11" s="151">
        <f>IFERROR(Annual_Summary!C26/Annual_Summary!C8,0)</f>
        <v/>
      </c>
      <c r="D11" s="151">
        <f>IFERROR(Annual_Summary!D26/Annual_Summary!D8,0)</f>
        <v/>
      </c>
      <c r="E11" s="151">
        <f>IFERROR(Annual_Summary!E26/Annual_Summary!E8,0)</f>
        <v/>
      </c>
      <c r="F11" s="151">
        <f>IFERROR(Annual_Summary!F26/Annual_Summary!F8,0)</f>
        <v/>
      </c>
      <c r="G11" s="151">
        <f>IFERROR(Annual_Summary!G26/Annual_Summary!G8,0)</f>
        <v/>
      </c>
    </row>
    <row r="12" ht="15" customHeight="1" s="82">
      <c r="B12" s="88" t="inlineStr">
        <is>
          <t>Return on Capital Employed</t>
        </is>
      </c>
      <c r="C12" s="151">
        <f>IFERROR(Annual_Summary!C23/(Form_III_BalanceSheet!C8+Form_III_BalanceSheet!C9),0)</f>
        <v/>
      </c>
      <c r="D12" s="151">
        <f>IFERROR(Annual_Summary!D23/(Form_III_BalanceSheet!D8+Form_III_BalanceSheet!D9),0)</f>
        <v/>
      </c>
      <c r="E12" s="151">
        <f>IFERROR(Annual_Summary!E23/(Form_III_BalanceSheet!E8+Form_III_BalanceSheet!E9),0)</f>
        <v/>
      </c>
      <c r="F12" s="151">
        <f>IFERROR(Annual_Summary!F23/(Form_III_BalanceSheet!F8+Form_III_BalanceSheet!F9),0)</f>
        <v/>
      </c>
      <c r="G12" s="151">
        <f>IFERROR(Annual_Summary!G23/(Form_III_BalanceSheet!G8+Form_III_BalanceSheet!G9),0)</f>
        <v/>
      </c>
    </row>
    <row r="13" ht="16.5" customHeight="1" s="82">
      <c r="B13" s="146" t="inlineStr">
        <is>
          <t>COVERAGE &amp; RISK</t>
        </is>
      </c>
    </row>
    <row r="14" ht="15" customHeight="1" s="82">
      <c r="B14" s="88" t="inlineStr">
        <is>
          <t>Interest Coverage</t>
        </is>
      </c>
      <c r="C14" s="150">
        <f>IFERROR(Annual_Summary!C23/(Annual_Summary!C19+Annual_Summary!C20),0)</f>
        <v/>
      </c>
      <c r="D14" s="150">
        <f>IFERROR(Annual_Summary!D23/(Annual_Summary!D19+Annual_Summary!D20),0)</f>
        <v/>
      </c>
      <c r="E14" s="150">
        <f>IFERROR(Annual_Summary!E23/(Annual_Summary!E19+Annual_Summary!E20),0)</f>
        <v/>
      </c>
      <c r="F14" s="150">
        <f>IFERROR(Annual_Summary!F23/(Annual_Summary!F19+Annual_Summary!F20),0)</f>
        <v/>
      </c>
      <c r="G14" s="150">
        <f>IFERROR(Annual_Summary!G23/(Annual_Summary!G19+Annual_Summary!G20),0)</f>
        <v/>
      </c>
    </row>
    <row r="15" ht="15" customHeight="1" s="82">
      <c r="B15" s="137" t="inlineStr">
        <is>
          <t>DSCR</t>
        </is>
      </c>
      <c r="C15" s="152">
        <f>DSCR!C14</f>
        <v/>
      </c>
      <c r="D15" s="152">
        <f>DSCR!D14</f>
        <v/>
      </c>
      <c r="E15" s="152">
        <f>DSCR!E14</f>
        <v/>
      </c>
      <c r="F15" s="152">
        <f>DSCR!F14</f>
        <v/>
      </c>
      <c r="G15" s="152">
        <f>DSCR!G14</f>
        <v/>
      </c>
    </row>
    <row r="16" ht="15" customHeight="1" s="82">
      <c r="B16" s="88" t="inlineStr">
        <is>
          <t>Break-even (% of sales)</t>
        </is>
      </c>
      <c r="C16" s="151">
        <f>IFERROR((Annual_Summary!C12+Annual_Summary!C14+Annual_Summary!C15+Annual_Summary!C16+Annual_Summary!C18+Annual_Summary!C19+Annual_Summary!C20)/(Annual_Summary!C8-(Annual_Summary!C10+Annual_Summary!C11+Annual_Summary!C13+Annual_Summary!C17)),0)</f>
        <v/>
      </c>
      <c r="D16" s="151">
        <f>IFERROR((Annual_Summary!D12+Annual_Summary!D14+Annual_Summary!D15+Annual_Summary!D16+Annual_Summary!D18+Annual_Summary!D19+Annual_Summary!D20)/(Annual_Summary!D8-(Annual_Summary!D10+Annual_Summary!D11+Annual_Summary!D13+Annual_Summary!D17)),0)</f>
        <v/>
      </c>
      <c r="E16" s="151">
        <f>IFERROR((Annual_Summary!E12+Annual_Summary!E14+Annual_Summary!E15+Annual_Summary!E16+Annual_Summary!E18+Annual_Summary!E19+Annual_Summary!E20)/(Annual_Summary!E8-(Annual_Summary!E10+Annual_Summary!E11+Annual_Summary!E13+Annual_Summary!E17)),0)</f>
        <v/>
      </c>
      <c r="F16" s="151">
        <f>IFERROR((Annual_Summary!F12+Annual_Summary!F14+Annual_Summary!F15+Annual_Summary!F16+Annual_Summary!F18+Annual_Summary!F19+Annual_Summary!F20)/(Annual_Summary!F8-(Annual_Summary!F10+Annual_Summary!F11+Annual_Summary!F13+Annual_Summary!F17)),0)</f>
        <v/>
      </c>
      <c r="G16" s="151">
        <f>IFERROR((Annual_Summary!G12+Annual_Summary!G14+Annual_Summary!G15+Annual_Summary!G16+Annual_Summary!G18+Annual_Summary!G19+Annual_Summary!G20)/(Annual_Summary!G8-(Annual_Summary!G10+Annual_Summary!G11+Annual_Summary!G13+Annual_Summary!G17)),0)</f>
        <v/>
      </c>
    </row>
  </sheetData>
  <mergeCells count="5">
    <mergeCell ref="B9:H9"/>
    <mergeCell ref="B13:H13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selection activeCell="A1" sqref="A1"/>
    </sheetView>
  </sheetViews>
  <sheetFormatPr baseColWidth="8" defaultRowHeight="15"/>
  <cols>
    <col width="2.5" customWidth="1" style="82" min="1" max="1"/>
    <col width="34" customWidth="1" style="82" min="2" max="2"/>
    <col width="14" customWidth="1" style="82" min="3" max="3"/>
    <col width="14" customWidth="1" style="82" min="4" max="4"/>
    <col width="14" customWidth="1" style="82" min="5" max="5"/>
    <col width="14" customWidth="1" style="82" min="6" max="6"/>
    <col width="14" customWidth="1" style="82" min="7" max="7"/>
    <col width="14" customWidth="1" style="82" min="8" max="8"/>
  </cols>
  <sheetData>
    <row r="2" ht="30" customHeight="1" s="82">
      <c r="B2" s="154" t="inlineStr">
        <is>
          <t>CONCLUSION &amp; SUMMARY ANALYSIS</t>
        </is>
      </c>
    </row>
    <row r="3">
      <c r="B3" s="155" t="inlineStr">
        <is>
          <t>Executive verdict on financial viability and bankability of the project</t>
        </is>
      </c>
    </row>
    <row r="5" ht="20" customHeight="1" s="82">
      <c r="B5" s="156" t="inlineStr">
        <is>
          <t>PROJECT SNAPSHOT</t>
        </is>
      </c>
    </row>
    <row r="6">
      <c r="B6" s="157" t="inlineStr">
        <is>
          <t>Name of the Unit</t>
        </is>
      </c>
      <c r="C6" s="184">
        <f>Assumptions!C5</f>
        <v/>
      </c>
      <c r="D6" s="181" t="n"/>
      <c r="E6" s="181" t="n"/>
      <c r="F6" s="181" t="n"/>
      <c r="G6" s="181" t="n"/>
      <c r="H6" s="181" t="n"/>
    </row>
    <row r="7">
      <c r="B7" s="157" t="inlineStr">
        <is>
          <t>Constitution</t>
        </is>
      </c>
      <c r="C7" s="184">
        <f>Assumptions!C6</f>
        <v/>
      </c>
      <c r="D7" s="181" t="n"/>
      <c r="E7" s="181" t="n"/>
      <c r="F7" s="181" t="n"/>
      <c r="G7" s="181" t="n"/>
      <c r="H7" s="181" t="n"/>
    </row>
    <row r="8">
      <c r="B8" s="157" t="inlineStr">
        <is>
          <t>Line of Activity</t>
        </is>
      </c>
      <c r="C8" s="184">
        <f>Assumptions!C7</f>
        <v/>
      </c>
      <c r="D8" s="181" t="n"/>
      <c r="E8" s="181" t="n"/>
      <c r="F8" s="181" t="n"/>
      <c r="G8" s="181" t="n"/>
      <c r="H8" s="181" t="n"/>
    </row>
    <row r="9">
      <c r="B9" s="157" t="inlineStr">
        <is>
          <t>Industry</t>
        </is>
      </c>
      <c r="C9" s="184">
        <f>Assumptions!J5</f>
        <v/>
      </c>
      <c r="D9" s="181" t="n"/>
      <c r="E9" s="181" t="n"/>
      <c r="F9" s="181" t="n"/>
      <c r="G9" s="181" t="n"/>
      <c r="H9" s="181" t="n"/>
    </row>
    <row r="10">
      <c r="B10" s="157" t="inlineStr">
        <is>
          <t>Term Loan applied for (₹)</t>
        </is>
      </c>
      <c r="C10" s="185">
        <f>Assumptions!C8</f>
        <v/>
      </c>
      <c r="D10" s="181" t="n"/>
      <c r="E10" s="181" t="n"/>
      <c r="F10" s="181" t="n"/>
      <c r="G10" s="181" t="n"/>
      <c r="H10" s="181" t="n"/>
    </row>
    <row r="11">
      <c r="B11" s="157" t="inlineStr">
        <is>
          <t>Promoters' Capital (₹)</t>
        </is>
      </c>
      <c r="C11" s="185">
        <f>Assumptions!C9</f>
        <v/>
      </c>
      <c r="D11" s="181" t="n"/>
      <c r="E11" s="181" t="n"/>
      <c r="F11" s="181" t="n"/>
      <c r="G11" s="181" t="n"/>
      <c r="H11" s="181" t="n"/>
    </row>
    <row r="13" ht="20" customHeight="1" s="82">
      <c r="B13" s="156" t="inlineStr">
        <is>
          <t>KEY FINANCIAL INDICATORS  (₹, all five years)</t>
        </is>
      </c>
    </row>
    <row r="14">
      <c r="B14" s="160" t="inlineStr">
        <is>
          <t>Particulars</t>
        </is>
      </c>
      <c r="C14" s="161" t="inlineStr">
        <is>
          <t>Year 1</t>
        </is>
      </c>
      <c r="D14" s="161" t="inlineStr">
        <is>
          <t>Year 2</t>
        </is>
      </c>
      <c r="E14" s="161" t="inlineStr">
        <is>
          <t>Year 3</t>
        </is>
      </c>
      <c r="F14" s="161" t="inlineStr">
        <is>
          <t>Year 4</t>
        </is>
      </c>
      <c r="G14" s="161" t="inlineStr">
        <is>
          <t>Year 5</t>
        </is>
      </c>
    </row>
    <row r="15">
      <c r="B15" s="162" t="inlineStr">
        <is>
          <t>Net Sales / Revenue</t>
        </is>
      </c>
      <c r="C15" s="163">
        <f>Annual_Summary!C8</f>
        <v/>
      </c>
      <c r="D15" s="163">
        <f>Annual_Summary!D8</f>
        <v/>
      </c>
      <c r="E15" s="163">
        <f>Annual_Summary!E8</f>
        <v/>
      </c>
      <c r="F15" s="163">
        <f>Annual_Summary!F8</f>
        <v/>
      </c>
      <c r="G15" s="163">
        <f>Annual_Summary!G8</f>
        <v/>
      </c>
    </row>
    <row r="16">
      <c r="B16" s="164" t="inlineStr">
        <is>
          <t>EBITDA</t>
        </is>
      </c>
      <c r="C16" s="165">
        <f>Annual_Summary!C22</f>
        <v/>
      </c>
      <c r="D16" s="165">
        <f>Annual_Summary!D22</f>
        <v/>
      </c>
      <c r="E16" s="165">
        <f>Annual_Summary!E22</f>
        <v/>
      </c>
      <c r="F16" s="165">
        <f>Annual_Summary!F22</f>
        <v/>
      </c>
      <c r="G16" s="165">
        <f>Annual_Summary!G22</f>
        <v/>
      </c>
    </row>
    <row r="17">
      <c r="B17" s="162" t="inlineStr">
        <is>
          <t>Profit After Tax (PAT)</t>
        </is>
      </c>
      <c r="C17" s="163">
        <f>Annual_Summary!C26</f>
        <v/>
      </c>
      <c r="D17" s="163">
        <f>Annual_Summary!D26</f>
        <v/>
      </c>
      <c r="E17" s="163">
        <f>Annual_Summary!E26</f>
        <v/>
      </c>
      <c r="F17" s="163">
        <f>Annual_Summary!F26</f>
        <v/>
      </c>
      <c r="G17" s="163">
        <f>Annual_Summary!G26</f>
        <v/>
      </c>
    </row>
    <row r="18">
      <c r="B18" s="164" t="inlineStr">
        <is>
          <t>Cash Accrual (PAT + Dep.)</t>
        </is>
      </c>
      <c r="C18" s="165">
        <f>Annual_Summary!C27</f>
        <v/>
      </c>
      <c r="D18" s="165">
        <f>Annual_Summary!D27</f>
        <v/>
      </c>
      <c r="E18" s="165">
        <f>Annual_Summary!E27</f>
        <v/>
      </c>
      <c r="F18" s="165">
        <f>Annual_Summary!F27</f>
        <v/>
      </c>
      <c r="G18" s="165">
        <f>Annual_Summary!G27</f>
        <v/>
      </c>
    </row>
    <row r="19">
      <c r="B19" s="162" t="inlineStr">
        <is>
          <t>Current Ratio</t>
        </is>
      </c>
      <c r="C19" s="166">
        <f>Ratios!C6</f>
        <v/>
      </c>
      <c r="D19" s="166">
        <f>Ratios!D6</f>
        <v/>
      </c>
      <c r="E19" s="166">
        <f>Ratios!E6</f>
        <v/>
      </c>
      <c r="F19" s="166">
        <f>Ratios!F6</f>
        <v/>
      </c>
      <c r="G19" s="166">
        <f>Ratios!G6</f>
        <v/>
      </c>
    </row>
    <row r="20">
      <c r="B20" s="164" t="inlineStr">
        <is>
          <t>Debt–Equity Ratio</t>
        </is>
      </c>
      <c r="C20" s="167">
        <f>Ratios!C7</f>
        <v/>
      </c>
      <c r="D20" s="167">
        <f>Ratios!D7</f>
        <v/>
      </c>
      <c r="E20" s="167">
        <f>Ratios!E7</f>
        <v/>
      </c>
      <c r="F20" s="167">
        <f>Ratios!F7</f>
        <v/>
      </c>
      <c r="G20" s="167">
        <f>Ratios!G7</f>
        <v/>
      </c>
    </row>
    <row r="21">
      <c r="B21" s="162" t="inlineStr">
        <is>
          <t>Net Profit Margin</t>
        </is>
      </c>
      <c r="C21" s="168">
        <f>Ratios!C11</f>
        <v/>
      </c>
      <c r="D21" s="168">
        <f>Ratios!D11</f>
        <v/>
      </c>
      <c r="E21" s="168">
        <f>Ratios!E11</f>
        <v/>
      </c>
      <c r="F21" s="168">
        <f>Ratios!F11</f>
        <v/>
      </c>
      <c r="G21" s="168">
        <f>Ratios!G11</f>
        <v/>
      </c>
    </row>
    <row r="22">
      <c r="B22" s="164" t="inlineStr">
        <is>
          <t>DSCR</t>
        </is>
      </c>
      <c r="C22" s="167">
        <f>DSCR!C14</f>
        <v/>
      </c>
      <c r="D22" s="167">
        <f>DSCR!D14</f>
        <v/>
      </c>
      <c r="E22" s="167">
        <f>DSCR!E14</f>
        <v/>
      </c>
      <c r="F22" s="167">
        <f>DSCR!F14</f>
        <v/>
      </c>
      <c r="G22" s="167">
        <f>DSCR!G14</f>
        <v/>
      </c>
    </row>
    <row r="24" ht="20" customHeight="1" s="82">
      <c r="B24" s="156" t="inlineStr">
        <is>
          <t>BANKABILITY VERDICT</t>
        </is>
      </c>
    </row>
    <row r="25">
      <c r="B25" s="169" t="inlineStr">
        <is>
          <t>Average DSCR (5-yr)</t>
        </is>
      </c>
      <c r="C25" s="170">
        <f>AVERAGE(DSCR!C14:G14)</f>
        <v/>
      </c>
      <c r="D25" s="171">
        <f>IF(AVERAGE(DSCR!C14:G14)&gt;=1.5,"STRONG — comfortably serviceable (avg DSCR &gt;= 1.50)",IF(AVERAGE(DSCR!C14:G14)&gt;=1.2,"BANKABLE — meets the 1.20 minimum DSCR","BELOW NORM — average DSCR under the 1.20 bank floor"))</f>
        <v/>
      </c>
    </row>
    <row r="27" ht="20" customHeight="1" s="82">
      <c r="B27" s="156" t="inlineStr">
        <is>
          <t>CONCLUSION</t>
        </is>
      </c>
    </row>
    <row r="28" ht="150" customHeight="1" s="82">
      <c r="B28" s="172" t="n"/>
      <c r="C28" s="182" t="n"/>
      <c r="D28" s="182" t="n"/>
      <c r="E28" s="182" t="n"/>
      <c r="F28" s="182" t="n"/>
      <c r="G28" s="182" t="n"/>
      <c r="H28" s="183" t="n"/>
    </row>
  </sheetData>
  <mergeCells count="14">
    <mergeCell ref="C11:H11"/>
    <mergeCell ref="C6:H6"/>
    <mergeCell ref="C10:H10"/>
    <mergeCell ref="D25:H25"/>
    <mergeCell ref="B27:H27"/>
    <mergeCell ref="B13:H13"/>
    <mergeCell ref="C9:H9"/>
    <mergeCell ref="B24:H24"/>
    <mergeCell ref="B2:H2"/>
    <mergeCell ref="C8:H8"/>
    <mergeCell ref="B3:H3"/>
    <mergeCell ref="B5:H5"/>
    <mergeCell ref="C7:H7"/>
    <mergeCell ref="B28:H28"/>
  </mergeCells>
  <pageMargins left="0.5" right="0.5" top="0.6" bottom="0.6" header="0.5" footer="0.5"/>
  <pageSetup orientation="portrait" fitToHeight="0" fitToWidth="1"/>
  <headerFooter>
    <oddHeader>&amp;C&amp;"Arial"&amp;BCONCLUSION &amp; SUMMARY</oddHeader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S8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2" customWidth="1" style="82" min="1" max="1"/>
    <col width="17" customWidth="1" style="82" min="2" max="2"/>
    <col width="13" customWidth="1" style="82" min="3" max="3"/>
    <col width="6" customWidth="1" style="82" min="4" max="4"/>
    <col width="3.2" customWidth="1" style="82" min="5" max="5"/>
    <col width="17" customWidth="1" style="82" min="6" max="6"/>
    <col width="13" customWidth="1" style="82" min="7" max="7"/>
    <col width="6" customWidth="1" style="82" min="8" max="8"/>
    <col width="3.2" customWidth="1" style="82" min="9" max="9"/>
    <col width="17" customWidth="1" style="82" min="10" max="10"/>
    <col width="13" customWidth="1" style="82" min="11" max="11"/>
    <col width="6" customWidth="1" style="82" min="12" max="12"/>
    <col width="3.2" customWidth="1" style="82" min="13" max="13"/>
    <col width="17" customWidth="1" style="82" min="14" max="14"/>
    <col width="13" customWidth="1" style="82" min="15" max="15"/>
    <col width="6" customWidth="1" style="82" min="16" max="16"/>
    <col width="3" customWidth="1" style="82" min="17" max="17"/>
    <col width="3" customWidth="1" style="82" min="18" max="18"/>
    <col width="3" customWidth="1" style="82" min="19" max="19"/>
  </cols>
  <sheetData>
    <row r="1" ht="20" customHeight="1" s="82">
      <c r="B1" s="92" t="inlineStr">
        <is>
          <t>INVESTMENT DASHBOARD</t>
        </is>
      </c>
    </row>
    <row r="2" ht="16" customHeight="1" s="82"/>
    <row r="3" ht="16" customHeight="1" s="82">
      <c r="B3" s="93" t="inlineStr">
        <is>
          <t>Bank &amp; investor summary — every figure is a live formula and recalculates from the Assumptions sheet.</t>
        </is>
      </c>
    </row>
    <row r="4" ht="18" customHeight="1" s="82">
      <c r="B4" s="94" t="inlineStr">
        <is>
          <t>SNAPSHOT YEAR →</t>
        </is>
      </c>
      <c r="C4" s="153" t="n">
        <v>1</v>
      </c>
      <c r="D4" s="96" t="inlineStr">
        <is>
          <t>← pick 1-5; the four cards below follow it</t>
        </is>
      </c>
    </row>
    <row r="6" ht="14" customHeight="1" s="82">
      <c r="B6" s="97" t="inlineStr">
        <is>
          <t>REVENUE</t>
        </is>
      </c>
      <c r="C6" s="105" t="n"/>
      <c r="D6" s="106" t="n"/>
      <c r="F6" s="97" t="inlineStr">
        <is>
          <t>EBITDA</t>
        </is>
      </c>
      <c r="G6" s="105" t="n"/>
      <c r="H6" s="106" t="n"/>
      <c r="J6" s="97" t="inlineStr">
        <is>
          <t>NET PROFIT (PAT)</t>
        </is>
      </c>
      <c r="K6" s="105" t="n"/>
      <c r="L6" s="106" t="n"/>
      <c r="N6" s="97" t="inlineStr">
        <is>
          <t>CASH &amp; BANK</t>
        </is>
      </c>
      <c r="O6" s="105" t="n"/>
      <c r="P6" s="106" t="n"/>
    </row>
    <row r="7" ht="22" customHeight="1" s="82">
      <c r="B7" s="99">
        <f>INDEX(Annual_Summary!$C$8:$G$8,1,$C$4)</f>
        <v/>
      </c>
      <c r="C7" s="105" t="n"/>
      <c r="D7" s="106" t="n"/>
      <c r="F7" s="99">
        <f>INDEX(Annual_Summary!$C$22:$G$22,1,$C$4)</f>
        <v/>
      </c>
      <c r="G7" s="105" t="n"/>
      <c r="H7" s="106" t="n"/>
      <c r="J7" s="99">
        <f>INDEX(Annual_Summary!$C$26:$G$26,1,$C$4)</f>
        <v/>
      </c>
      <c r="K7" s="105" t="n"/>
      <c r="L7" s="106" t="n"/>
      <c r="N7" s="99">
        <f>INDEX(Form_III_BalanceSheet!$C$20:$G$20,1,$C$4)</f>
        <v/>
      </c>
      <c r="O7" s="105" t="n"/>
      <c r="P7" s="106" t="n"/>
    </row>
    <row r="8" ht="13" customHeight="1" s="82">
      <c r="B8" s="100" t="inlineStr">
        <is>
          <t>Net sales, selected year  ·  from Annual_Summary</t>
        </is>
      </c>
      <c r="C8" s="105" t="n"/>
      <c r="D8" s="106" t="n"/>
      <c r="F8" s="100" t="inlineStr">
        <is>
          <t>Operating profit before D&amp;I  ·  from Annual_Summary</t>
        </is>
      </c>
      <c r="G8" s="105" t="n"/>
      <c r="H8" s="106" t="n"/>
      <c r="J8" s="100" t="inlineStr">
        <is>
          <t>Profit after tax  ·  from Annual_Summary</t>
        </is>
      </c>
      <c r="K8" s="105" t="n"/>
      <c r="L8" s="106" t="n"/>
      <c r="N8" s="100" t="inlineStr">
        <is>
          <t>Closing cash &amp; bank balance  ·  from Form III Balance Sheet</t>
        </is>
      </c>
      <c r="O8" s="105" t="n"/>
      <c r="P8" s="106" t="n"/>
    </row>
    <row r="10" ht="14" customHeight="1" s="82">
      <c r="B10" s="97" t="inlineStr">
        <is>
          <t>PROJECT COST</t>
        </is>
      </c>
      <c r="C10" s="105" t="n"/>
      <c r="D10" s="106" t="n"/>
      <c r="F10" s="97" t="inlineStr">
        <is>
          <t>TERM LOAN</t>
        </is>
      </c>
      <c r="G10" s="105" t="n"/>
      <c r="H10" s="106" t="n"/>
      <c r="J10" s="97" t="inlineStr">
        <is>
          <t>PROMOTERS' EQUITY</t>
        </is>
      </c>
      <c r="K10" s="105" t="n"/>
      <c r="L10" s="106" t="n"/>
      <c r="N10" s="97" t="inlineStr">
        <is>
          <t>AVERAGE DSCR</t>
        </is>
      </c>
      <c r="O10" s="105" t="n"/>
      <c r="P10" s="106" t="n"/>
    </row>
    <row r="11" ht="22" customHeight="1" s="82">
      <c r="B11" s="99">
        <f>Form_III_BalanceSheet!$C$15</f>
        <v/>
      </c>
      <c r="C11" s="105" t="n"/>
      <c r="D11" s="106" t="n"/>
      <c r="F11" s="99">
        <f>Assumptions!$C$8</f>
        <v/>
      </c>
      <c r="G11" s="105" t="n"/>
      <c r="H11" s="106" t="n"/>
      <c r="J11" s="99">
        <f>Assumptions!$C$9</f>
        <v/>
      </c>
      <c r="K11" s="105" t="n"/>
      <c r="L11" s="106" t="n"/>
      <c r="N11" s="101">
        <f>DSCR!$H$14</f>
        <v/>
      </c>
      <c r="O11" s="105" t="n"/>
      <c r="P11" s="106" t="n"/>
    </row>
    <row r="12" ht="13" customHeight="1" s="82">
      <c r="B12" s="100" t="inlineStr">
        <is>
          <t>Gross fixed assets (land + building + equipment)  ·  from Form III Balance Sheet</t>
        </is>
      </c>
      <c r="C12" s="105" t="n"/>
      <c r="D12" s="106" t="n"/>
      <c r="F12" s="100" t="inlineStr">
        <is>
          <t>Term loan applied for  ·  from Assumptions</t>
        </is>
      </c>
      <c r="G12" s="105" t="n"/>
      <c r="H12" s="106" t="n"/>
      <c r="J12" s="100" t="inlineStr">
        <is>
          <t>Promoters' capital brought in  ·  from Assumptions</t>
        </is>
      </c>
      <c r="K12" s="105" t="n"/>
      <c r="L12" s="106" t="n"/>
      <c r="N12" s="100" t="inlineStr">
        <is>
          <t>5-year average DSCR — bank floor 1.20x  ·  from DSCR sheet</t>
        </is>
      </c>
      <c r="O12" s="105" t="n"/>
      <c r="P12" s="106" t="n"/>
    </row>
    <row r="14" ht="20" customHeight="1" s="82">
      <c r="B14" s="102" t="inlineStr">
        <is>
          <t>FINANCIAL PERFORMANCE</t>
        </is>
      </c>
    </row>
    <row r="70" ht="20" customHeight="1" s="82">
      <c r="B70" s="102" t="inlineStr">
        <is>
          <t>KEY RATIOS &amp; PROJECT SUMMARY</t>
        </is>
      </c>
    </row>
    <row r="72">
      <c r="B72" s="103" t="inlineStr">
        <is>
          <t>Liquidity &amp; Leverage</t>
        </is>
      </c>
      <c r="C72" s="104" t="inlineStr">
        <is>
          <t>Year 1</t>
        </is>
      </c>
      <c r="D72" s="104" t="inlineStr">
        <is>
          <t>Year 5</t>
        </is>
      </c>
      <c r="F72" s="103" t="inlineStr">
        <is>
          <t>Project Summary</t>
        </is>
      </c>
      <c r="G72" s="105" t="n"/>
      <c r="H72" s="106" t="n"/>
    </row>
    <row r="73">
      <c r="B73" s="107" t="inlineStr">
        <is>
          <t>Current Ratio</t>
        </is>
      </c>
      <c r="C73" s="108">
        <f>Ratios!C6</f>
        <v/>
      </c>
      <c r="D73" s="108">
        <f>Ratios!G6</f>
        <v/>
      </c>
      <c r="F73" s="107" t="inlineStr">
        <is>
          <t>Name of the Unit</t>
        </is>
      </c>
      <c r="G73" s="109">
        <f>Assumptions!C5</f>
        <v/>
      </c>
      <c r="H73" s="106" t="n"/>
    </row>
    <row r="74">
      <c r="B74" s="107" t="inlineStr">
        <is>
          <t>Debt-Equity Ratio</t>
        </is>
      </c>
      <c r="C74" s="108">
        <f>Ratios!C7</f>
        <v/>
      </c>
      <c r="D74" s="108">
        <f>Ratios!G7</f>
        <v/>
      </c>
      <c r="F74" s="107" t="inlineStr">
        <is>
          <t>Constitution</t>
        </is>
      </c>
      <c r="G74" s="109">
        <f>Assumptions!C6</f>
        <v/>
      </c>
      <c r="H74" s="106" t="n"/>
    </row>
    <row r="75">
      <c r="F75" s="107" t="inlineStr">
        <is>
          <t>Line of Activity</t>
        </is>
      </c>
      <c r="G75" s="109">
        <f>Assumptions!C7</f>
        <v/>
      </c>
      <c r="H75" s="106" t="n"/>
    </row>
    <row r="76">
      <c r="B76" s="103" t="inlineStr">
        <is>
          <t>Profitability Margin</t>
        </is>
      </c>
      <c r="C76" s="104" t="inlineStr">
        <is>
          <t>Year 1</t>
        </is>
      </c>
      <c r="D76" s="104" t="inlineStr">
        <is>
          <t>Year 5</t>
        </is>
      </c>
      <c r="F76" s="107" t="inlineStr">
        <is>
          <t>Industry</t>
        </is>
      </c>
      <c r="G76" s="109">
        <f>Assumptions!J5</f>
        <v/>
      </c>
      <c r="H76" s="106" t="n"/>
    </row>
    <row r="77">
      <c r="B77" s="107" t="inlineStr">
        <is>
          <t>EBITDA Margin</t>
        </is>
      </c>
      <c r="C77" s="110">
        <f>Ratios!C10</f>
        <v/>
      </c>
      <c r="D77" s="110">
        <f>Ratios!G10</f>
        <v/>
      </c>
      <c r="F77" s="107" t="inlineStr">
        <is>
          <t>Installed Capacity (p.a.)</t>
        </is>
      </c>
      <c r="G77" s="111">
        <f>Assumptions!C16</f>
        <v/>
      </c>
      <c r="H77" s="106" t="n"/>
    </row>
    <row r="78">
      <c r="B78" s="107" t="inlineStr">
        <is>
          <t>Net Profit Margin</t>
        </is>
      </c>
      <c r="C78" s="110">
        <f>Ratios!C11</f>
        <v/>
      </c>
      <c r="D78" s="110">
        <f>Ratios!G11</f>
        <v/>
      </c>
      <c r="F78" s="107" t="inlineStr">
        <is>
          <t>Term Loan Tenure (months)</t>
        </is>
      </c>
      <c r="G78" s="112">
        <f>Assumptions!C11</f>
        <v/>
      </c>
      <c r="H78" s="106" t="n"/>
    </row>
    <row r="79">
      <c r="F79" s="107" t="inlineStr">
        <is>
          <t>Interest Rate — Term Loan</t>
        </is>
      </c>
      <c r="G79" s="110">
        <f>Assumptions!C10</f>
        <v/>
      </c>
      <c r="H79" s="106" t="n"/>
    </row>
    <row r="80">
      <c r="B80" s="103" t="inlineStr">
        <is>
          <t>WC Component</t>
        </is>
      </c>
      <c r="C80" s="104" t="inlineStr">
        <is>
          <t>Days</t>
        </is>
      </c>
      <c r="F80" s="107" t="inlineStr">
        <is>
          <t>Moratorium (months)</t>
        </is>
      </c>
      <c r="G80" s="112">
        <f>Assumptions!C12</f>
        <v/>
      </c>
      <c r="H80" s="106" t="n"/>
    </row>
    <row r="81">
      <c r="B81" s="107" t="inlineStr">
        <is>
          <t>Raw Material Holding</t>
        </is>
      </c>
      <c r="C81" s="112">
        <f>Assumptions!C50</f>
        <v/>
      </c>
      <c r="F81" s="107" t="inlineStr">
        <is>
          <t>Income Tax Rate</t>
        </is>
      </c>
      <c r="G81" s="110">
        <f>Assumptions!C14</f>
        <v/>
      </c>
      <c r="H81" s="106" t="n"/>
    </row>
    <row r="82">
      <c r="B82" s="107" t="inlineStr">
        <is>
          <t>Finished Goods Holding</t>
        </is>
      </c>
      <c r="C82" s="112">
        <f>Assumptions!C51</f>
        <v/>
      </c>
      <c r="F82" s="107" t="inlineStr">
        <is>
          <t>Break-even (% of sales, Yr 1)</t>
        </is>
      </c>
      <c r="G82" s="110">
        <f>Ratios!C16</f>
        <v/>
      </c>
      <c r="H82" s="106" t="n"/>
    </row>
    <row r="83">
      <c r="B83" s="107" t="inlineStr">
        <is>
          <t>Receivables</t>
        </is>
      </c>
      <c r="C83" s="112">
        <f>Assumptions!C52</f>
        <v/>
      </c>
    </row>
    <row r="84">
      <c r="B84" s="107" t="inlineStr">
        <is>
          <t>Payables</t>
        </is>
      </c>
      <c r="C84" s="112">
        <f>Assumptions!C53</f>
        <v/>
      </c>
    </row>
  </sheetData>
  <mergeCells count="39">
    <mergeCell ref="B11:D11"/>
    <mergeCell ref="J6:L6"/>
    <mergeCell ref="G81:H81"/>
    <mergeCell ref="B70:S70"/>
    <mergeCell ref="G77:H77"/>
    <mergeCell ref="B8:D8"/>
    <mergeCell ref="F8:H8"/>
    <mergeCell ref="B14:S14"/>
    <mergeCell ref="N8:P8"/>
    <mergeCell ref="J11:L11"/>
    <mergeCell ref="J7:L7"/>
    <mergeCell ref="B10:D10"/>
    <mergeCell ref="G82:H82"/>
    <mergeCell ref="F72:H72"/>
    <mergeCell ref="N10:P10"/>
    <mergeCell ref="J12:L12"/>
    <mergeCell ref="B6:D6"/>
    <mergeCell ref="G78:H78"/>
    <mergeCell ref="N6:P6"/>
    <mergeCell ref="G74:H74"/>
    <mergeCell ref="G80:H80"/>
    <mergeCell ref="J8:L8"/>
    <mergeCell ref="B7:D7"/>
    <mergeCell ref="F11:H11"/>
    <mergeCell ref="G79:H79"/>
    <mergeCell ref="N11:P11"/>
    <mergeCell ref="G73:H73"/>
    <mergeCell ref="N7:P7"/>
    <mergeCell ref="F10:H10"/>
    <mergeCell ref="F6:H6"/>
    <mergeCell ref="J10:L10"/>
    <mergeCell ref="B3:S3"/>
    <mergeCell ref="G76:H76"/>
    <mergeCell ref="B1:S2"/>
    <mergeCell ref="G75:H75"/>
    <mergeCell ref="F12:H12"/>
    <mergeCell ref="F7:H7"/>
    <mergeCell ref="B12:D12"/>
    <mergeCell ref="N12:P12"/>
  </mergeCells>
  <conditionalFormatting sqref="N11">
    <cfRule type="cellIs" priority="1" operator="lessThan" dxfId="2">
      <formula>1.2</formula>
    </cfRule>
    <cfRule type="cellIs" priority="2" operator="greaterThanOrEqual" dxfId="3">
      <formula>1.2</formula>
    </cfRule>
  </conditionalFormatting>
  <dataValidations count="1">
    <dataValidation sqref="C4" showDropDown="0" showInputMessage="0" showErrorMessage="0" allowBlank="0" type="list">
      <formula1>"1,2,3,4,5"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2026-07-08T12:09:24Z</dcterms:created>
  <dcterms:modified xmlns:dcterms="http://purl.org/dc/terms/" xmlns:xsi="http://www.w3.org/2001/XMLSchema-instance" xsi:type="dcterms:W3CDTF">2026-08-04T10:11:29Z</dcterms:modified>
  <cp:revision>1</cp:revision>
</cp:coreProperties>
</file>