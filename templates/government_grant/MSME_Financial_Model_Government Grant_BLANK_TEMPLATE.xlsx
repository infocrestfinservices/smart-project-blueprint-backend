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2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Capex &amp; Financing" sheetId="3" state="visible" r:id="rId5"/>
    <sheet name="Loan Schedule" sheetId="4" state="visible" r:id="rId6"/>
    <sheet name="Depreciation" sheetId="5" state="visible" r:id="rId7"/>
    <sheet name="Payroll" sheetId="6" state="visible" r:id="rId8"/>
    <sheet name="Monthly Model" sheetId="7" state="visible" r:id="rId9"/>
    <sheet name="Annual P&amp;L" sheetId="8" state="visible" r:id="rId10"/>
    <sheet name="Cash Flow" sheetId="9" state="visible" r:id="rId11"/>
    <sheet name="Balance Sheet" sheetId="10" state="visible" r:id="rId12"/>
    <sheet name="Returns &amp; Ratios" sheetId="11" state="visible" r:id="rId13"/>
    <sheet name="Socio-Economic Impact" sheetId="12" state="visible" r:id="rId14"/>
    <sheet name="Sustainability (ESG)" sheetId="13" state="visible" r:id="rId15"/>
    <sheet name="Scheme Alignment" sheetId="14" state="visible" r:id="rId16"/>
    <sheet name="Dashboard" sheetId="15" state="visible" r:id="rId17"/>
    <sheet name="Source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<sst xmlns="http://schemas.openxmlformats.org/spreadsheetml/2006/main" count="953" uniqueCount="480">
  <si>
    <t xml:space="preserve">FINANCIAL FEASIBILITY &amp; PROJECTION MODEL</t>
  </si>
  <si>
    <t xml:space="preserve">Small-Scale Food &amp; Agro-Processing Unit — Gujarat</t>
  </si>
  <si>
    <t xml:space="preserve">5-Year Monthly Model — fully formula-linked, ready for data entry</t>
  </si>
  <si>
    <t xml:space="preserve">BLANK, FULLY-LINKED TEMPLATE  —  ENTER YOUR DATA IN THE YELLOW CELLS</t>
  </si>
  <si>
    <t xml:space="preserve">Applicant / Enterprise</t>
  </si>
  <si>
    <r>
      <rPr>
        <sz val="11"/>
        <color rgb="FF333333"/>
        <rFont val="Noto Sans CJK SC"/>
        <family val="2"/>
      </rPr>
      <t xml:space="preserve">〈</t>
    </r>
    <r>
      <rPr>
        <sz val="11"/>
        <color rgb="FF333333"/>
        <rFont val="Calibri"/>
        <family val="0"/>
        <charset val="1"/>
      </rPr>
      <t xml:space="preserve">Enterprise name</t>
    </r>
    <r>
      <rPr>
        <sz val="11"/>
        <color rgb="FF333333"/>
        <rFont val="Noto Sans CJK SC"/>
        <family val="2"/>
      </rPr>
      <t xml:space="preserve">〉  </t>
    </r>
    <r>
      <rPr>
        <sz val="11"/>
        <color rgb="FF333333"/>
        <rFont val="Calibri"/>
        <family val="0"/>
        <charset val="1"/>
      </rPr>
      <t xml:space="preserve">(edit on Assumptions)</t>
    </r>
  </si>
  <si>
    <t xml:space="preserve">Proposed location</t>
  </si>
  <si>
    <r>
      <rPr>
        <sz val="11"/>
        <color rgb="FF333333"/>
        <rFont val="Noto Sans CJK SC"/>
        <family val="2"/>
      </rPr>
      <t xml:space="preserve">〈</t>
    </r>
    <r>
      <rPr>
        <sz val="11"/>
        <color rgb="FF333333"/>
        <rFont val="Calibri"/>
        <family val="0"/>
        <charset val="1"/>
      </rPr>
      <t xml:space="preserve">Taluka / District</t>
    </r>
    <r>
      <rPr>
        <sz val="11"/>
        <color rgb="FF333333"/>
        <rFont val="Noto Sans CJK SC"/>
        <family val="2"/>
      </rPr>
      <t xml:space="preserve">〉</t>
    </r>
    <r>
      <rPr>
        <sz val="11"/>
        <color rgb="FF333333"/>
        <rFont val="Calibri"/>
        <family val="0"/>
        <charset val="1"/>
      </rPr>
      <t xml:space="preserve">, Gujarat</t>
    </r>
  </si>
  <si>
    <t xml:space="preserve">Enterprise class (MSME)</t>
  </si>
  <si>
    <t xml:space="preserve">Small Enterprise  (P&amp;M ≤ ₹25 cr; turnover ≤ ₹100 cr)</t>
  </si>
  <si>
    <t xml:space="preserve">Constitution</t>
  </si>
  <si>
    <t xml:space="preserve">Private Limited Company (assumed)</t>
  </si>
  <si>
    <t xml:space="preserve">Projection horizon</t>
  </si>
  <si>
    <t xml:space="preserve">60 months (5 financial years), monthly granularity</t>
  </si>
  <si>
    <t xml:space="preserve">Currency / units</t>
  </si>
  <si>
    <t xml:space="preserve">All financial lines in ₹ lakh unless stated (1 lakh = ₹100,000)</t>
  </si>
  <si>
    <t xml:space="preserve">Base / model date</t>
  </si>
  <si>
    <t xml:space="preserve">FY-1 = first year of commercial operation</t>
  </si>
  <si>
    <t xml:space="preserve">WORKBOOK CONTENTS</t>
  </si>
  <si>
    <t xml:space="preserve">01</t>
  </si>
  <si>
    <t xml:space="preserve">Assumptions</t>
  </si>
  <si>
    <t xml:space="preserve">Every driver – blue = editable input, with live source links</t>
  </si>
  <si>
    <t xml:space="preserve">02</t>
  </si>
  <si>
    <t xml:space="preserve">Capex &amp; Financing</t>
  </si>
  <si>
    <t xml:space="preserve">Project cost, means of finance, subsidy build-up</t>
  </si>
  <si>
    <t xml:space="preserve">03</t>
  </si>
  <si>
    <t xml:space="preserve">Loan Schedule</t>
  </si>
  <si>
    <t xml:space="preserve">Monthly term-loan amortisation (moratorium + repayment)</t>
  </si>
  <si>
    <t xml:space="preserve">04</t>
  </si>
  <si>
    <t xml:space="preserve">Depreciation</t>
  </si>
  <si>
    <t xml:space="preserve">Block-wise SLM depreciation schedule</t>
  </si>
  <si>
    <t xml:space="preserve">05</t>
  </si>
  <si>
    <t xml:space="preserve">Payroll</t>
  </si>
  <si>
    <t xml:space="preserve">Monthly headcount &amp; wage bill (feeds employment impact)</t>
  </si>
  <si>
    <t xml:space="preserve">06</t>
  </si>
  <si>
    <t xml:space="preserve">Monthly Model</t>
  </si>
  <si>
    <t xml:space="preserve">THE ENGINE – 60-month P&amp;L from production to net cash</t>
  </si>
  <si>
    <t xml:space="preserve">07</t>
  </si>
  <si>
    <t xml:space="preserve">Annual P&amp;L</t>
  </si>
  <si>
    <t xml:space="preserve">Year 1-5 profit &amp; loss summary</t>
  </si>
  <si>
    <t xml:space="preserve">08</t>
  </si>
  <si>
    <t xml:space="preserve">Cash Flow</t>
  </si>
  <si>
    <t xml:space="preserve">Annual cash-flow statement</t>
  </si>
  <si>
    <t xml:space="preserve">09</t>
  </si>
  <si>
    <t xml:space="preserve">Balance Sheet</t>
  </si>
  <si>
    <t xml:space="preserve">Annual balance sheet (self-balancing)</t>
  </si>
  <si>
    <t xml:space="preserve">10</t>
  </si>
  <si>
    <t xml:space="preserve">Returns &amp; Ratios</t>
  </si>
  <si>
    <t xml:space="preserve">IRR, NPV, DSCR, break-even, margins</t>
  </si>
  <si>
    <t xml:space="preserve">11</t>
  </si>
  <si>
    <t xml:space="preserve">Socio-Economic Impact</t>
  </si>
  <si>
    <t xml:space="preserve">Jobs, wages, farmer linkage, taxes, local multiplier</t>
  </si>
  <si>
    <t xml:space="preserve">12</t>
  </si>
  <si>
    <t xml:space="preserve">Sustainability (ESG)</t>
  </si>
  <si>
    <t xml:space="preserve">Energy, water, waste, solar, emissions</t>
  </si>
  <si>
    <t xml:space="preserve">13</t>
  </si>
  <si>
    <t xml:space="preserve">Scheme Alignment</t>
  </si>
  <si>
    <t xml:space="preserve">Mapping to central &amp; Gujarat schemes with benefit quantum</t>
  </si>
  <si>
    <t xml:space="preserve">14</t>
  </si>
  <si>
    <t xml:space="preserve">Dashboard</t>
  </si>
  <si>
    <t xml:space="preserve">Headline KPIs &amp; charts</t>
  </si>
  <si>
    <t xml:space="preserve">15</t>
  </si>
  <si>
    <t xml:space="preserve">Sources</t>
  </si>
  <si>
    <t xml:space="preserve">Consolidated, clickable source bibliography</t>
  </si>
  <si>
    <t xml:space="preserve">Disclaimer: This is a projection model built on stated assumptions and publicly sourced parameters (see hyperlinks). It is not audited advice. Figures must be validated by the promoter, a chartered accountant and the appraising bank before submission. Tax, subsidy and scheme parameters change — verify each source link at time of use.</t>
  </si>
  <si>
    <t xml:space="preserve">ASSUMPTIONS  —  single source of truth for the model</t>
  </si>
  <si>
    <t xml:space="preserve">Blue = editable input  •  Yellow = key driver  •  Black = derived  •  Green links (col E) open the live source. Change any blue cell and the whole model updates.</t>
  </si>
  <si>
    <t xml:space="preserve">Parameter</t>
  </si>
  <si>
    <t xml:space="preserve">Value</t>
  </si>
  <si>
    <t xml:space="preserve">Unit</t>
  </si>
  <si>
    <t xml:space="preserve">Source / basis (click)</t>
  </si>
  <si>
    <t xml:space="preserve">A.  Macro-economic &amp; tax parameters</t>
  </si>
  <si>
    <t xml:space="preserve">Effective corporate tax rate (s.115BAA, incl. surcharge+cess)</t>
  </si>
  <si>
    <t xml:space="preserve">%</t>
  </si>
  <si>
    <t xml:space="preserve">s.115BAA 22% (eff. 25.17%); s.115BAB 15% (eff. 17.16%, sunset 31-Mar-2024) – ClearTax</t>
  </si>
  <si>
    <t xml:space="preserve">  └ Alternative if s.115BAB eligible (new mfg, if applicable)</t>
  </si>
  <si>
    <t xml:space="preserve">Corporate tax – Income Tax Dept (domestic company rates, AY 2025-26)</t>
  </si>
  <si>
    <t xml:space="preserve">Annual escalation – selling price / realisation</t>
  </si>
  <si>
    <t xml:space="preserve">% p.a.</t>
  </si>
  <si>
    <t xml:space="preserve">Analyst estimate aligned to RBI CPI target band (4% ±2%)</t>
  </si>
  <si>
    <t xml:space="preserve">Annual escalation – raw material &amp; consumables</t>
  </si>
  <si>
    <t xml:space="preserve">Annual escalation – wages &amp; salaries</t>
  </si>
  <si>
    <t xml:space="preserve">Annual escalation – other operating expenses</t>
  </si>
  <si>
    <t xml:space="preserve">Working days per month</t>
  </si>
  <si>
    <t xml:space="preserve">days</t>
  </si>
  <si>
    <t xml:space="preserve">Management / DPR estimate (to be validated by promoter &amp; appraising bank)</t>
  </si>
  <si>
    <t xml:space="preserve">B.  Project cost (capex, ₹ lakh)</t>
  </si>
  <si>
    <t xml:space="preserve">Land &amp; site development</t>
  </si>
  <si>
    <t xml:space="preserve">₹ lakh</t>
  </si>
  <si>
    <t xml:space="preserve">Factory building &amp; civil works</t>
  </si>
  <si>
    <t xml:space="preserve">Plant &amp; machinery (processing + packaging line)</t>
  </si>
  <si>
    <t xml:space="preserve">Utilities – power, water, cold storage, DG, solar</t>
  </si>
  <si>
    <t xml:space="preserve">Misc. fixed assets (furniture, IT, lab, ETP)</t>
  </si>
  <si>
    <t xml:space="preserve">Preliminary &amp; pre-operative expenses</t>
  </si>
  <si>
    <t xml:space="preserve">Contingency (~2% of capital cost)</t>
  </si>
  <si>
    <t xml:space="preserve">Margin money for working capital</t>
  </si>
  <si>
    <t xml:space="preserve">C.  Means of finance</t>
  </si>
  <si>
    <t xml:space="preserve">Promoter contribution (equity)</t>
  </si>
  <si>
    <t xml:space="preserve">% of project</t>
  </si>
  <si>
    <t xml:space="preserve">CGTMSE collateral-free credit guarantee up to ₹5 cr (raised to ₹10 cr, Budget 2025) – MoMSME/SIDBI</t>
  </si>
  <si>
    <t xml:space="preserve">Term-loan interest rate (p.a.)</t>
  </si>
  <si>
    <t xml:space="preserve">MSME term-loan / working-capital rates &amp; RBI repo (~6.5% early-2026; term loans ~9-11%) – 2026 survey</t>
  </si>
  <si>
    <t xml:space="preserve">Term-loan tenure (incl. moratorium)</t>
  </si>
  <si>
    <t xml:space="preserve">months</t>
  </si>
  <si>
    <t xml:space="preserve">Moratorium on principal (interest serviced)</t>
  </si>
  <si>
    <t xml:space="preserve">Working-capital finance rate (p.a.)</t>
  </si>
  <si>
    <t xml:space="preserve">Working capital funded by bank</t>
  </si>
  <si>
    <t xml:space="preserve">% of WC gap</t>
  </si>
  <si>
    <t xml:space="preserve">D.  Production &amp; capacity</t>
  </si>
  <si>
    <t xml:space="preserve">Installed capacity at 100% (finished product)</t>
  </si>
  <si>
    <t xml:space="preserve">tonnes/mo</t>
  </si>
  <si>
    <t xml:space="preserve">Capacity utilisation – Year 1</t>
  </si>
  <si>
    <t xml:space="preserve">Capacity utilisation – Year 2</t>
  </si>
  <si>
    <t xml:space="preserve">Capacity utilisation – Year 3</t>
  </si>
  <si>
    <t xml:space="preserve">Capacity utilisation – Year 4</t>
  </si>
  <si>
    <t xml:space="preserve">Capacity utilisation – Year 5</t>
  </si>
  <si>
    <t xml:space="preserve">E.  Pricing &amp; unit economics (Year 1 base, ₹ per tonne)</t>
  </si>
  <si>
    <t xml:space="preserve">Average net realisation (ex-GST)</t>
  </si>
  <si>
    <t xml:space="preserve">₹/tonne</t>
  </si>
  <si>
    <t xml:space="preserve">Raw material (farm produce incl. wastage)</t>
  </si>
  <si>
    <t xml:space="preserve">Packaging &amp; consumables</t>
  </si>
  <si>
    <t xml:space="preserve">Direct utilities per tonne (power/steam/water)</t>
  </si>
  <si>
    <t xml:space="preserve">Other direct / QC / logistics inward</t>
  </si>
  <si>
    <t xml:space="preserve">F.  Operating expenses (fixed, ₹ lakh per month – Year 1 base)</t>
  </si>
  <si>
    <t xml:space="preserve">Fixed power, fuel &amp; DG (plant overhead)</t>
  </si>
  <si>
    <t xml:space="preserve">₹ lakh/mo</t>
  </si>
  <si>
    <t xml:space="preserve">Repairs &amp; maintenance</t>
  </si>
  <si>
    <t xml:space="preserve">Administrative &amp; general overhead</t>
  </si>
  <si>
    <t xml:space="preserve">Selling, distribution &amp; branding</t>
  </si>
  <si>
    <t xml:space="preserve">% of revenue</t>
  </si>
  <si>
    <t xml:space="preserve">Insurance (assets + stock)</t>
  </si>
  <si>
    <t xml:space="preserve">G.  Manpower (headcount &amp; average wage)</t>
  </si>
  <si>
    <t xml:space="preserve">Total headcount – Year 1</t>
  </si>
  <si>
    <t xml:space="preserve">persons</t>
  </si>
  <si>
    <t xml:space="preserve">Total headcount – Year 2</t>
  </si>
  <si>
    <t xml:space="preserve">Total headcount – Year 3</t>
  </si>
  <si>
    <t xml:space="preserve">Total headcount – Year 4</t>
  </si>
  <si>
    <t xml:space="preserve">Total headcount – Year 5</t>
  </si>
  <si>
    <t xml:space="preserve">Average monthly wage (blended)</t>
  </si>
  <si>
    <t xml:space="preserve">₹/person/mo</t>
  </si>
  <si>
    <t xml:space="preserve">Share of women in workforce</t>
  </si>
  <si>
    <t xml:space="preserve">H.  Working-capital cycle</t>
  </si>
  <si>
    <t xml:space="preserve">Debtor / receivable days</t>
  </si>
  <si>
    <t xml:space="preserve">Inventory holding days</t>
  </si>
  <si>
    <t xml:space="preserve">Creditor / payable days</t>
  </si>
  <si>
    <t xml:space="preserve">I.  Depreciation (SLM book rates)</t>
  </si>
  <si>
    <t xml:space="preserve">Building depreciation rate</t>
  </si>
  <si>
    <t xml:space="preserve">Plant &amp; machinery depreciation rate</t>
  </si>
  <si>
    <t xml:space="preserve">Utilities &amp; misc depreciation rate</t>
  </si>
  <si>
    <t xml:space="preserve">J.  Government scheme parameters (benefit rates)</t>
  </si>
  <si>
    <t xml:space="preserve">State capital investment subsidy (Aatmanirbhar Gujarat)</t>
  </si>
  <si>
    <t xml:space="preserve">% of eFCI</t>
  </si>
  <si>
    <t xml:space="preserve">Aatmanirbhar Gujarat Scheme for MSMEs 2022-27 (capital + interest subsidy) – myScheme (GoI)</t>
  </si>
  <si>
    <t xml:space="preserve">  └ Cap on capital subsidy</t>
  </si>
  <si>
    <t xml:space="preserve">Aatmanirbhar Gujarat incentives: capital + 7% interest subsidy, net-SGST &amp; EPF reimbursement – EY / IPF</t>
  </si>
  <si>
    <t xml:space="preserve">Interest subsidy on term loan (Aatmanirbhar Gujarat)</t>
  </si>
  <si>
    <t xml:space="preserve">  └ Interest-subsidy cap per year</t>
  </si>
  <si>
    <t xml:space="preserve">₹ lakh/yr</t>
  </si>
  <si>
    <t xml:space="preserve">PMFME credit-linked subsidy (if micro food unit)</t>
  </si>
  <si>
    <t xml:space="preserve">% of proj cost</t>
  </si>
  <si>
    <t xml:space="preserve">PMFME – 35% credit-linked capital subsidy up to ₹10 lakh (micro food units) – MoFPI / myScheme</t>
  </si>
  <si>
    <t xml:space="preserve">  └ PMFME cap per unit</t>
  </si>
  <si>
    <t xml:space="preserve">Net SGST reimbursement (indicative, on intra-state sales)</t>
  </si>
  <si>
    <t xml:space="preserve">% of net SGST</t>
  </si>
  <si>
    <t xml:space="preserve">K.  Discounting</t>
  </si>
  <si>
    <t xml:space="preserve">Discount rate / WACC for NPV</t>
  </si>
  <si>
    <t xml:space="preserve">L.  Derived totals (formulas)</t>
  </si>
  <si>
    <t xml:space="preserve">Total project cost</t>
  </si>
  <si>
    <t xml:space="preserve">Eligible fixed capital investment (land+bldg+P&amp;M+util+misc)</t>
  </si>
  <si>
    <t xml:space="preserve">Promoter equity</t>
  </si>
  <si>
    <t xml:space="preserve">Term loan (balance of project cost)</t>
  </si>
  <si>
    <t xml:space="preserve">Capital investment subsidy (state)</t>
  </si>
  <si>
    <t xml:space="preserve">PROJECT COST &amp; MEANS OF FINANCE  (₹ lakh)</t>
  </si>
  <si>
    <t xml:space="preserve">A.  Project cost</t>
  </si>
  <si>
    <t xml:space="preserve">Factory building &amp; civil</t>
  </si>
  <si>
    <t xml:space="preserve">Plant &amp; machinery</t>
  </si>
  <si>
    <t xml:space="preserve">Utilities (power/water/cold-chain/solar)</t>
  </si>
  <si>
    <t xml:space="preserve">Preliminary &amp; pre-operative</t>
  </si>
  <si>
    <t xml:space="preserve">Contingency</t>
  </si>
  <si>
    <t xml:space="preserve">B.  Means of finance</t>
  </si>
  <si>
    <t xml:space="preserve">Own contribution</t>
  </si>
  <si>
    <t xml:space="preserve">Term loan</t>
  </si>
  <si>
    <t xml:space="preserve">CGTMSE-eligible bank term loan</t>
  </si>
  <si>
    <t xml:space="preserve">Total means of finance</t>
  </si>
  <si>
    <t xml:space="preserve">Debt : Equity ratio</t>
  </si>
  <si>
    <t xml:space="preserve">Promoter contribution (%)</t>
  </si>
  <si>
    <t xml:space="preserve">C.  Government support build-up (indicative)</t>
  </si>
  <si>
    <t xml:space="preserve">State capital investment subsidy</t>
  </si>
  <si>
    <t xml:space="preserve">Aatmanirbhar Gujarat (post-COD claim)</t>
  </si>
  <si>
    <t xml:space="preserve">Interest subsidy (5-yr, term loan)</t>
  </si>
  <si>
    <t xml:space="preserve">Reduces effective interest cost</t>
  </si>
  <si>
    <t xml:space="preserve">PMFME subsidy (only if micro unit)</t>
  </si>
  <si>
    <t xml:space="preserve">Conditional – P&amp;M ≤ ₹2.5 cr</t>
  </si>
  <si>
    <t xml:space="preserve">Total indicative support</t>
  </si>
  <si>
    <t xml:space="preserve">Note: subsidies are reimbursed after commencement of commercial operation and are shown as inflows in the Cash Flow / Balance Sheet, not netted against project cost here. Enabler schemes (CGTMSE guarantee, concessional tax) reduce risk and outflows but are not cash grants.</t>
  </si>
  <si>
    <t xml:space="preserve">TERM-LOAN AMORTISATION  (₹ lakh, monthly)</t>
  </si>
  <si>
    <t xml:space="preserve">Equal-principal repayment after moratorium; interest on reducing balance. Interest-subsidy row feeds the P&amp;L.</t>
  </si>
  <si>
    <t xml:space="preserve">Month #</t>
  </si>
  <si>
    <t xml:space="preserve">Financial Year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</si>
  <si>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</si>
  <si>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</si>
  <si>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</si>
  <si>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</si>
  <si>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</si>
  <si>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Opening balance</t>
  </si>
  <si>
    <t xml:space="preserve">Interest for month</t>
  </si>
  <si>
    <t xml:space="preserve">Principal repayment</t>
  </si>
  <si>
    <t xml:space="preserve">Total debt service (interest+principal)</t>
  </si>
  <si>
    <t xml:space="preserve">Closing balance</t>
  </si>
  <si>
    <t xml:space="preserve">Less: interest subsidy (Aatmanirbhar Gujarat)</t>
  </si>
  <si>
    <t xml:space="preserve">Net interest cost to enterprise</t>
  </si>
  <si>
    <t xml:space="preserve">DEPRECIATION SCHEDULE  (₹ lakh, monthly, SLM)</t>
  </si>
  <si>
    <t xml:space="preserve">Straight-line book depreciation by asset block; constant per month over the horizon.</t>
  </si>
  <si>
    <t xml:space="preserve">Building &amp; civil</t>
  </si>
  <si>
    <t xml:space="preserve">Utilities &amp; misc assets</t>
  </si>
  <si>
    <t xml:space="preserve">Total depreciation</t>
  </si>
  <si>
    <t xml:space="preserve">MANPOWER &amp; PAYROLL  (monthly)</t>
  </si>
  <si>
    <t xml:space="preserve">Headcount steps up by year; average wage escalates. Feeds both the P&amp;L and the Socio-Economic Impact sheet.</t>
  </si>
  <si>
    <t xml:space="preserve">Total headcount</t>
  </si>
  <si>
    <t xml:space="preserve">  of which women</t>
  </si>
  <si>
    <t xml:space="preserve">Average monthly wage</t>
  </si>
  <si>
    <t xml:space="preserve">₹</t>
  </si>
  <si>
    <t xml:space="preserve">Monthly wage &amp; salary bill</t>
  </si>
  <si>
    <t xml:space="preserve">MONTHLY MODEL  —  integrated P&amp;L, working capital &amp; cash flow  (₹ lakh)</t>
  </si>
  <si>
    <t xml:space="preserve">Fully formula-driven from Assumptions. Escalation, ramp-up, financing, tax loss carry-forward all automated.</t>
  </si>
  <si>
    <t xml:space="preserve">PRODUCTION</t>
  </si>
  <si>
    <t xml:space="preserve">Installed capacity (100%)</t>
  </si>
  <si>
    <t xml:space="preserve">tonnes</t>
  </si>
  <si>
    <t xml:space="preserve">Capacity utilisation</t>
  </si>
  <si>
    <t xml:space="preserve">Production</t>
  </si>
  <si>
    <t xml:space="preserve">Sales volume</t>
  </si>
  <si>
    <t xml:space="preserve">REVENUE</t>
  </si>
  <si>
    <t xml:space="preserve">Net realisation</t>
  </si>
  <si>
    <t xml:space="preserve">Gross revenue (net of GST)</t>
  </si>
  <si>
    <t xml:space="preserve">DIRECT COST OF GOODS SOLD</t>
  </si>
  <si>
    <t xml:space="preserve">Raw material</t>
  </si>
  <si>
    <t xml:space="preserve">Direct utilities</t>
  </si>
  <si>
    <t xml:space="preserve">Other direct cost</t>
  </si>
  <si>
    <t xml:space="preserve">Total COGS</t>
  </si>
  <si>
    <t xml:space="preserve">Gross profit</t>
  </si>
  <si>
    <t xml:space="preserve">OPERATING EXPENSES</t>
  </si>
  <si>
    <t xml:space="preserve">Salaries &amp; wages</t>
  </si>
  <si>
    <t xml:space="preserve">Fixed power, fuel &amp; DG</t>
  </si>
  <si>
    <t xml:space="preserve">Administrative &amp; general</t>
  </si>
  <si>
    <t xml:space="preserve">Insurance</t>
  </si>
  <si>
    <t xml:space="preserve">Total operating expenses</t>
  </si>
  <si>
    <t xml:space="preserve">EARNINGS</t>
  </si>
  <si>
    <t xml:space="preserve">EBITDA</t>
  </si>
  <si>
    <t xml:space="preserve">EBITDA margin</t>
  </si>
  <si>
    <t xml:space="preserve">EBIT</t>
  </si>
  <si>
    <t xml:space="preserve">WORKING-CAPITAL POSITION</t>
  </si>
  <si>
    <t xml:space="preserve">Debtors / receivables</t>
  </si>
  <si>
    <t xml:space="preserve">Inventory</t>
  </si>
  <si>
    <t xml:space="preserve">Creditors / payables</t>
  </si>
  <si>
    <t xml:space="preserve">Net working capital</t>
  </si>
  <si>
    <t xml:space="preserve">Working-capital borrowing</t>
  </si>
  <si>
    <t xml:space="preserve">FINANCE COST, TAX &amp; PROFIT</t>
  </si>
  <si>
    <t xml:space="preserve">Interest – term loan (net of subsidy)</t>
  </si>
  <si>
    <t xml:space="preserve">Interest – working capital</t>
  </si>
  <si>
    <t xml:space="preserve">Profit before tax (PBT)</t>
  </si>
  <si>
    <t xml:space="preserve">Cumulative PBT</t>
  </si>
  <si>
    <t xml:space="preserve">Cumulative tax provision (with loss c/f)</t>
  </si>
  <si>
    <t xml:space="preserve">Income tax for month</t>
  </si>
  <si>
    <t xml:space="preserve">PROFIT AFTER TAX (PAT)</t>
  </si>
  <si>
    <t xml:space="preserve">PAT margin</t>
  </si>
  <si>
    <t xml:space="preserve">CASH FLOW</t>
  </si>
  <si>
    <t xml:space="preserve">Operating cash flow (PAT + depreciation)</t>
  </si>
  <si>
    <t xml:space="preserve">Less: term-loan principal</t>
  </si>
  <si>
    <t xml:space="preserve">Less: increase in working capital</t>
  </si>
  <si>
    <t xml:space="preserve">Net cash flow</t>
  </si>
  <si>
    <t xml:space="preserve">Cumulative cash flow</t>
  </si>
  <si>
    <t xml:space="preserve">ANNUAL PROFIT &amp; LOSS  (₹ lakh)</t>
  </si>
  <si>
    <t xml:space="preserve">Aggregated from the Monthly Model. Year 1 = first year of commercial operation.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</si>
  <si>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</si>
  <si>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</si>
  <si>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</si>
  <si>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</si>
  <si>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</si>
  <si>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5-Yr Total</t>
  </si>
  <si>
    <t xml:space="preserve">Revenue (net of GST)</t>
  </si>
  <si>
    <t xml:space="preserve">Cost of goods sold</t>
  </si>
  <si>
    <t xml:space="preserve">Operating expenses</t>
  </si>
  <si>
    <t xml:space="preserve">  EBITDA margin</t>
  </si>
  <si>
    <t xml:space="preserve">Interest &amp; finance cost (net of subsidy)</t>
  </si>
  <si>
    <t xml:space="preserve">Profit before tax</t>
  </si>
  <si>
    <t xml:space="preserve">Income tax</t>
  </si>
  <si>
    <t xml:space="preserve">Profit after tax (PAT)</t>
  </si>
  <si>
    <t xml:space="preserve">  PAT margin</t>
  </si>
  <si>
    <t xml:space="preserve">ANNUAL CASH-FLOW STATEMENT  (₹ lakh)</t>
  </si>
  <si>
    <t xml:space="preserve">Operating, investing and financing flows. Year-1 includes project outflow &amp; drawdown.</t>
  </si>
  <si>
    <t xml:space="preserve">PAT</t>
  </si>
  <si>
    <t xml:space="preserve">Add: depreciation</t>
  </si>
  <si>
    <t xml:space="preserve">Net cash from operations</t>
  </si>
  <si>
    <t xml:space="preserve">Investing: project capex</t>
  </si>
  <si>
    <t xml:space="preserve">Financing: promoter equity</t>
  </si>
  <si>
    <t xml:space="preserve">Financing: term-loan drawdown</t>
  </si>
  <si>
    <t xml:space="preserve">Financing: term-loan repayment</t>
  </si>
  <si>
    <t xml:space="preserve">Financing: capital subsidy received</t>
  </si>
  <si>
    <t xml:space="preserve">Net cash flow for year</t>
  </si>
  <si>
    <t xml:space="preserve">Opening cash</t>
  </si>
  <si>
    <t xml:space="preserve">Closing cash</t>
  </si>
  <si>
    <t xml:space="preserve">ANNUAL BALANCE SHEET  (₹ lakh)</t>
  </si>
  <si>
    <t xml:space="preserve">Cash is the balancing item; a check row confirms Assets = Equity + Liabilities.</t>
  </si>
  <si>
    <t xml:space="preserve">EQUITY &amp; LIABILITIES</t>
  </si>
  <si>
    <t xml:space="preserve">Share capital (promoter equity)</t>
  </si>
  <si>
    <t xml:space="preserve">Capital reserve (subsidy)</t>
  </si>
  <si>
    <t xml:space="preserve">Retained earnings (cum. PAT)</t>
  </si>
  <si>
    <t xml:space="preserve">Term loan (closing)</t>
  </si>
  <si>
    <t xml:space="preserve">Total equity &amp; liabilities</t>
  </si>
  <si>
    <t xml:space="preserve">ASSETS</t>
  </si>
  <si>
    <t xml:space="preserve">Gross fixed assets</t>
  </si>
  <si>
    <t xml:space="preserve">Less: accumulated depreciation</t>
  </si>
  <si>
    <t xml:space="preserve">Net fixed assets</t>
  </si>
  <si>
    <t xml:space="preserve">Cash &amp; bank (balancing)</t>
  </si>
  <si>
    <t xml:space="preserve">Total assets</t>
  </si>
  <si>
    <t xml:space="preserve">Check (Assets − E&amp;L, must be 0)</t>
  </si>
  <si>
    <t xml:space="preserve">INVESTMENT RETURNS, DEBT SERVICE &amp; BREAK-EVEN  (₹ lakh)</t>
  </si>
  <si>
    <t xml:space="preserve">A.  Project free cash flow (pre-financing)</t>
  </si>
  <si>
    <t xml:space="preserve">Year 0</t>
  </si>
  <si>
    <t xml:space="preserve">FCFF = EBITDA − tax − ΔNWC (+ terminal)</t>
  </si>
  <si>
    <t xml:space="preserve">B.  Equity cash flow</t>
  </si>
  <si>
    <t xml:space="preserve">Equity FCF = net cash flow (+subsidy, +terminal equity)</t>
  </si>
  <si>
    <t xml:space="preserve">C.  Headline return metrics</t>
  </si>
  <si>
    <t xml:space="preserve">Project IRR (pre-financing)</t>
  </si>
  <si>
    <t xml:space="preserve">Internal rate of return on total project cost</t>
  </si>
  <si>
    <t xml:space="preserve">Project NPV @ WACC</t>
  </si>
  <si>
    <t xml:space="preserve">Net present value of FCFF, ₹ lakh</t>
  </si>
  <si>
    <t xml:space="preserve">Equity IRR</t>
  </si>
  <si>
    <t xml:space="preserve">Return to promoter on equity contribution</t>
  </si>
  <si>
    <t xml:space="preserve">Equity NPV @ WACC</t>
  </si>
  <si>
    <t xml:space="preserve">D.  Debt-service coverage (DSCR)</t>
  </si>
  <si>
    <t xml:space="preserve">DSCR = (PAT + dep + interest) / (interest + principal)</t>
  </si>
  <si>
    <t xml:space="preserve">Average DSCR</t>
  </si>
  <si>
    <t xml:space="preserve">E.  Break-even capacity utilisation</t>
  </si>
  <si>
    <t xml:space="preserve">BEP utilisation = fixed cost / contribution ratio / (rev@100%)</t>
  </si>
  <si>
    <t xml:space="preserve">Interpretation: DSCR ≥ 1.5x and break-even below operating utilisation both indicate a bankable, resilient project.</t>
  </si>
  <si>
    <t xml:space="preserve">SOCIO-ECONOMIC IMPACT</t>
  </si>
  <si>
    <t xml:space="preserve">Quantified development outcomes — the core of a grant case. Blue cells are editable multipliers/norms.</t>
  </si>
  <si>
    <t xml:space="preserve">Editable local parameters</t>
  </si>
  <si>
    <t xml:space="preserve">Employment multiplier (indirect+induced per direct job)</t>
  </si>
  <si>
    <t xml:space="preserve">x</t>
  </si>
  <si>
    <t xml:space="preserve">Standard agro-processing multiplier (management estimate)</t>
  </si>
  <si>
    <t xml:space="preserve">Average annual procurement per farmer family</t>
  </si>
  <si>
    <t xml:space="preserve">Value of produce bought per supplier farmer p.a.</t>
  </si>
  <si>
    <t xml:space="preserve">Net GST contribution rate (indicative)</t>
  </si>
  <si>
    <t xml:space="preserve">% of rev</t>
  </si>
  <si>
    <t xml:space="preserve">Net of input-tax credit (management estimate)</t>
  </si>
  <si>
    <t xml:space="preserve">Employment</t>
  </si>
  <si>
    <t xml:space="preserve">Direct employment at peak (Year 5)</t>
  </si>
  <si>
    <t xml:space="preserve">On-roll + contract at full ramp</t>
  </si>
  <si>
    <t xml:space="preserve">Women employed (Year 5)</t>
  </si>
  <si>
    <t xml:space="preserve">Gender inclusion</t>
  </si>
  <si>
    <t xml:space="preserve">Cumulative person-months of work (5 yr)</t>
  </si>
  <si>
    <t xml:space="preserve">p-months</t>
  </si>
  <si>
    <t xml:space="preserve">Total employment generated</t>
  </si>
  <si>
    <t xml:space="preserve">Indirect &amp; induced jobs (Year 5)</t>
  </si>
  <si>
    <t xml:space="preserve">Direct × multiplier</t>
  </si>
  <si>
    <t xml:space="preserve">Total wages disbursed (5 yr)</t>
  </si>
  <si>
    <t xml:space="preserve">Household income injected</t>
  </si>
  <si>
    <t xml:space="preserve">Farmer &amp; supply-chain linkage</t>
  </si>
  <si>
    <t xml:space="preserve">Raw material procured (5 yr)</t>
  </si>
  <si>
    <t xml:space="preserve">Farmer families linked (approx.)</t>
  </si>
  <si>
    <t xml:space="preserve">families</t>
  </si>
  <si>
    <t xml:space="preserve">Raw-material spend / per-farmer procurement</t>
  </si>
  <si>
    <t xml:space="preserve">Local content of inputs (target)</t>
  </si>
  <si>
    <t xml:space="preserve">% </t>
  </si>
  <si>
    <t xml:space="preserve">Share sourced within Gujarat/region (target)</t>
  </si>
  <si>
    <t xml:space="preserve">Contribution to the exchequer &amp; economy</t>
  </si>
  <si>
    <t xml:space="preserve">Income tax paid (5 yr)</t>
  </si>
  <si>
    <t xml:space="preserve">Direct corporate tax</t>
  </si>
  <si>
    <t xml:space="preserve">Indicative net GST (5 yr)</t>
  </si>
  <si>
    <t xml:space="preserve">Revenue × net GST rate</t>
  </si>
  <si>
    <t xml:space="preserve">Local economic value (wages + procurement, 5 yr)</t>
  </si>
  <si>
    <t xml:space="preserve">Direct money into local economy</t>
  </si>
  <si>
    <t xml:space="preserve">Narrative for the application</t>
  </si>
  <si>
    <t xml:space="preserve">This enterprise advances inclusive, place-based development. It creates direct wage employment (with strong women's participation) in a semi-urban/rural setting, and catalyses a wider set of indirect and induced livelihoods across procurement, logistics and services. By buying farm produce on assured terms it raises and stabilises farmer incomes, reduces post-harvest loss, and formalises an otherwise unorganised value chain. It broadens the tax base (corporate tax + GST), aligns with 'Vocal for Local' and 'Atmanirbhar' priorities, and channels sustained income into the local economy — the classic multiplier a public grant is designed to unlock.</t>
  </si>
  <si>
    <t xml:space="preserve">SUSTAINABILITY &amp; ESG</t>
  </si>
  <si>
    <t xml:space="preserve">Environmental design and targets. Blue cells are management ESG targets (to be firmed up in the DPR/EIA).</t>
  </si>
  <si>
    <t xml:space="preserve">Editable ESG targets (inputs)</t>
  </si>
  <si>
    <t xml:space="preserve">Grid + captive energy use (Year 5)</t>
  </si>
  <si>
    <t xml:space="preserve">kWh/yr</t>
  </si>
  <si>
    <t xml:space="preserve">Estimated at full ramp</t>
  </si>
  <si>
    <t xml:space="preserve">Rooftop solar share of electricity</t>
  </si>
  <si>
    <t xml:space="preserve">On-site renewable generation target</t>
  </si>
  <si>
    <t xml:space="preserve">Grid tariff (avoided cost)</t>
  </si>
  <si>
    <t xml:space="preserve">₹/kWh</t>
  </si>
  <si>
    <t xml:space="preserve">Industrial tariff, avoided via solar</t>
  </si>
  <si>
    <t xml:space="preserve">Grid emission factor</t>
  </si>
  <si>
    <t xml:space="preserve">kg CO₂/kWh</t>
  </si>
  <si>
    <t xml:space="preserve">CEA national average (approx.)</t>
  </si>
  <si>
    <t xml:space="preserve">Process water recycled (ETP/ZLD)</t>
  </si>
  <si>
    <t xml:space="preserve">Reuse via effluent treatment</t>
  </si>
  <si>
    <t xml:space="preserve">Organic waste valorised (compost/biogas)</t>
  </si>
  <si>
    <t xml:space="preserve">Diverted from landfill</t>
  </si>
  <si>
    <t xml:space="preserve">Post-harvest loss reduced (produce processed)</t>
  </si>
  <si>
    <t xml:space="preserve">tonnes/yr</t>
  </si>
  <si>
    <t xml:space="preserve">Perishables saved via processing</t>
  </si>
  <si>
    <t xml:space="preserve">Computed environmental outcomes</t>
  </si>
  <si>
    <t xml:space="preserve">Solar electricity generated (Year 5)</t>
  </si>
  <si>
    <t xml:space="preserve">Energy × solar share</t>
  </si>
  <si>
    <t xml:space="preserve">Grid energy avoided cost (Year 5)</t>
  </si>
  <si>
    <t xml:space="preserve">Solar generation × tariff</t>
  </si>
  <si>
    <t xml:space="preserve">CO₂ emissions avoided (Year 5)</t>
  </si>
  <si>
    <t xml:space="preserve">Solar generation × emission factor</t>
  </si>
  <si>
    <t xml:space="preserve">Water recycled (Year 5, indicative)</t>
  </si>
  <si>
    <t xml:space="preserve">kL/yr</t>
  </si>
  <si>
    <t xml:space="preserve">Recycled share × process water</t>
  </si>
  <si>
    <t xml:space="preserve">ESG narrative</t>
  </si>
  <si>
    <t xml:space="preserve">Environmental: rooftop solar, energy-efficient refrigeration, an effluent-treatment plant with high water recycling, and valorisation of organic waste into compost/biogas minimise the unit's footprint. By processing perishable farm produce, the plant directly cuts post-harvest food loss — a material climate and food-security benefit. Social: safe, formal jobs with gender inclusion, skilling and assured farmer offtake. Governance: FSSAI compliance, transparent procurement, Udyam/GST formalisation and audited accounts. Together these align the project with SDGs 2, 7, 8, 12 and 13 and with national sustainability and food-processing missions.</t>
  </si>
  <si>
    <t xml:space="preserve">GOVERNMENT-SCHEME ALIGNMENT &amp; INDICATIVE BENEFIT</t>
  </si>
  <si>
    <t xml:space="preserve">Recommended stack for a Small (₹1-10 cr) unit: state capital + interest subsidy, CGTMSE-backed credit, concessional tax; PMFME/CLCSS conditional. Benefit figures are indicative and formula-linked to Assumptions.</t>
  </si>
  <si>
    <t xml:space="preserve">Scheme</t>
  </si>
  <si>
    <t xml:space="preserve">Authority</t>
  </si>
  <si>
    <t xml:space="preserve">Benefit basis</t>
  </si>
  <si>
    <t xml:space="preserve">Indicative (₹ lakh)</t>
  </si>
  <si>
    <t xml:space="preserve">Eligibility fit / notes</t>
  </si>
  <si>
    <t xml:space="preserve">Aatmanirbhar Gujarat – Capital Investment Subsidy</t>
  </si>
  <si>
    <t xml:space="preserve">Industries &amp; Mines Dept, Gujarat</t>
  </si>
  <si>
    <t xml:space="preserve">% of eligible fixed capital investment, capped</t>
  </si>
  <si>
    <t xml:space="preserve">New/expanding manufacturing MSME with Udyam &amp; COD in policy window</t>
  </si>
  <si>
    <t xml:space="preserve">Aatmanirbhar Gujarat – Interest Subsidy</t>
  </si>
  <si>
    <t xml:space="preserve">Subsidy on term-loan interest (5-yr sum)</t>
  </si>
  <si>
    <t xml:space="preserve">Bank/FI-financed term loan; paid post-COD</t>
  </si>
  <si>
    <t xml:space="preserve">Aatmanirbhar Gujarat – Net SGST Reimbursement</t>
  </si>
  <si>
    <t xml:space="preserve">Share of net SGST on intra-state sales (indicative)</t>
  </si>
  <si>
    <t xml:space="preserve">Category 1/2/3 talukas; intra-Gujarat sales</t>
  </si>
  <si>
    <t xml:space="preserve">CGTMSE Credit Guarantee</t>
  </si>
  <si>
    <t xml:space="preserve">MoMSME / SIDBI</t>
  </si>
  <si>
    <t xml:space="preserve">Collateral-free guarantee on the term loan</t>
  </si>
  <si>
    <t xml:space="preserve">Guarantee cover up to ₹5 cr (₹10 cr per Budget 2025); enabler, not cash grant</t>
  </si>
  <si>
    <t xml:space="preserve">PMFME (conditional)</t>
  </si>
  <si>
    <t xml:space="preserve">MoFPI / State Nodal</t>
  </si>
  <si>
    <t xml:space="preserve">35% credit-linked subsidy up to ₹10 lakh</t>
  </si>
  <si>
    <t xml:space="preserve">ONLY if the unit qualifies as MICRO food-processing (P&amp;M ≤₹2.5 cr)</t>
  </si>
  <si>
    <t xml:space="preserve">CLCSS-type Tech Upgradation (indicative)</t>
  </si>
  <si>
    <t xml:space="preserve">MoMSME (subsumed)</t>
  </si>
  <si>
    <t xml:space="preserve">15% capital subsidy on eligible P&amp;M</t>
  </si>
  <si>
    <t xml:space="preserve">For technology upgradation; verify current window</t>
  </si>
  <si>
    <t xml:space="preserve">Concessional Corporate Tax (s.115BAA)</t>
  </si>
  <si>
    <t xml:space="preserve">Income Tax Dept</t>
  </si>
  <si>
    <t xml:space="preserve">22% base (eff. 25.17%), no MAT</t>
  </si>
  <si>
    <t xml:space="preserve">—</t>
  </si>
  <si>
    <t xml:space="preserve">Any domestic company; s.115BAB 15% only if COD was ≤ 31-Mar-2024</t>
  </si>
  <si>
    <t xml:space="preserve">EPF Reimbursement</t>
  </si>
  <si>
    <t xml:space="preserve">Employer PF for new employees (10 yr)</t>
  </si>
  <si>
    <t xml:space="preserve">New employees without prior UAN; strong for a job-creating unit</t>
  </si>
  <si>
    <t xml:space="preserve">Total indicative cash subsidy (excl. enablers)</t>
  </si>
  <si>
    <t xml:space="preserve">DASHBOARD — HEADLINE RESULTS</t>
  </si>
  <si>
    <t xml:space="preserve">All ₹ figures in lakh unless a % or count. Cards are live-linked to the model.</t>
  </si>
  <si>
    <t xml:space="preserve">Year-5 Revenue</t>
  </si>
  <si>
    <t xml:space="preserve">Year-5 PAT</t>
  </si>
  <si>
    <t xml:space="preserve">Year-5 EBITDA margin</t>
  </si>
  <si>
    <t xml:space="preserve">Project IRR</t>
  </si>
  <si>
    <t xml:space="preserve">Peak direct jobs</t>
  </si>
  <si>
    <t xml:space="preserve">Total cash subsidy</t>
  </si>
  <si>
    <t xml:space="preserve">SOURCES &amp; REFERENCES  (click to open)</t>
  </si>
  <si>
    <t xml:space="preserve">Live, publicly accessible sources underpinning the Assumptions. Verify each at time of use — tax, subsidy and scheme parameters are revised periodically.</t>
  </si>
  <si>
    <t xml:space="preserve">What it supports</t>
  </si>
  <si>
    <t xml:space="preserve">Source (click to open)</t>
  </si>
  <si>
    <t xml:space="preserve">MSME classification, w.e.f. 01-Apr-2025 (Small = P&amp;M ≤₹25 cr / turnover ≤₹100 cr)</t>
  </si>
  <si>
    <t xml:space="preserve">https://www.pib.gov.in/PressReleasePage.aspx?PRID=2098389</t>
  </si>
  <si>
    <t xml:space="preserve">Corporate tax</t>
  </si>
  <si>
    <t xml:space="preserve">https://incometaxindia.gov.in/Documents/Left%20Menu/TAX%20RATES-domestic.htm</t>
  </si>
  <si>
    <t xml:space="preserve">s.115BAA 22% (eff. 25.17%); s.115BAB 15% (eff. 17.16%, sunset 31-Mar-2024)</t>
  </si>
  <si>
    <t xml:space="preserve">https://cleartax.in/s/section-115-baa-tax-rate-domestic-companies</t>
  </si>
  <si>
    <t xml:space="preserve">MSME term-loan / working-capital rates &amp; RBI repo (~6.5% early-2026; term loans ~9-11%)</t>
  </si>
  <si>
    <t xml:space="preserve">https://creditcares.in/cgtmse-loan-interest-rate-2026-bank-wise-rates/</t>
  </si>
  <si>
    <t xml:space="preserve">CGTMSE collateral-free credit guarantee up to ₹5 cr (raised to ₹10 cr, Budget 2025)</t>
  </si>
  <si>
    <t xml:space="preserve">https://cleartax.in/s/msme-loan-scheme-2020</t>
  </si>
  <si>
    <t xml:space="preserve">Aatmanirbhar Gujarat Scheme for MSMEs 2022-27 (capital + interest subsidy)</t>
  </si>
  <si>
    <t xml:space="preserve">https://www.myscheme.gov.in/schemes/agmsmecis</t>
  </si>
  <si>
    <t xml:space="preserve">Aatmanirbhar Gujarat incentives: capital + 7% interest subsidy, net-SGST &amp; EPF reimbursement</t>
  </si>
  <si>
    <t xml:space="preserve">https://ipfonline.com/news/detail/policyregulation/aatmanirbhar-gujarat-2022-boosting-growth-of-msmes/15919</t>
  </si>
  <si>
    <t xml:space="preserve">Aatmanirbhar Gujarat Industrial Policy 2022 (full text)</t>
  </si>
  <si>
    <t xml:space="preserve">https://cmogujarat.gov.in/wp-content/uploads/2022/10/AatmaNirbhar-Gujarat_Industrial-Policy.pdf</t>
  </si>
  <si>
    <t xml:space="preserve">PMFME</t>
  </si>
  <si>
    <t xml:space="preserve">https://www.myscheme.gov.in/schemes/pmfmpe</t>
  </si>
  <si>
    <t xml:space="preserve">PMFME scheme structure, ODOP &amp; eligibility</t>
  </si>
  <si>
    <t xml:space="preserve">https://cleartax.in/s/pmfme-scheme</t>
  </si>
  <si>
    <t xml:space="preserve">Operational / management estimate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</si>
</sst>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%"/>
    <numFmt numFmtId="166" formatCode="&quot;₹ &quot;#,##0"/>
    <numFmt numFmtId="167" formatCode="#,##0.0"/>
    <numFmt numFmtId="168" formatCode="#,##0"/>
    <numFmt numFmtId="169" formatCode="#,##0.0;\(#,##0.0\);&quot;&quot;"/>
    <numFmt numFmtId="170" formatCode="0.00\x"/>
    <numFmt numFmtId="171" formatCode="0.0%;\-0.0%;&quot;&quot;"/>
    <numFmt numFmtId="172" formatCode="#,##0;\(#,##0\);&quot;&quot;"/>
    <numFmt numFmtId="173" formatCode="&quot;₹ &quot;#,##0;&quot;₹ -&quot;#,##0;&quot;&quot;"/>
    <numFmt numFmtId="174" formatCode="0.0"/>
    <numFmt numFmtId="175" formatCode="&quot;₹ &quot;#,##0.00;&quot;₹ -&quot;#,##0.00;&quot;&quot;"/>
    <numFmt numFmtId="176" formatCode="0.00"/>
  </numFmts>
  <fonts count="5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sz val="13"/>
      <color rgb="FFC9A227"/>
      <name val="Calibri"/>
      <family val="0"/>
      <charset val="1"/>
    </font>
    <font>
      <i val="true"/>
      <sz val="11"/>
      <color rgb="FFFFFFFF"/>
      <name val="Calibri"/>
      <family val="0"/>
      <charset val="1"/>
    </font>
    <font>
      <b val="true"/>
      <sz val="10"/>
      <color rgb="FF2E7D6F"/>
      <name val="Calibri"/>
      <family val="0"/>
      <charset val="1"/>
    </font>
    <font>
      <b val="true"/>
      <sz val="11"/>
      <color rgb="FF1F3B57"/>
      <name val="Calibri"/>
      <family val="0"/>
      <charset val="1"/>
    </font>
    <font>
      <sz val="11"/>
      <color rgb="FF333333"/>
      <name val="Noto Sans CJK SC"/>
      <family val="2"/>
    </font>
    <font>
      <sz val="11"/>
      <color rgb="FF33333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C9A227"/>
      <name val="Calibri"/>
      <family val="0"/>
      <charset val="1"/>
    </font>
    <font>
      <sz val="9"/>
      <color rgb="FF444444"/>
      <name val="Calibri"/>
      <family val="0"/>
      <charset val="1"/>
    </font>
    <font>
      <i val="true"/>
      <sz val="8"/>
      <color rgb="FF808080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sz val="9"/>
      <color rgb="FF666666"/>
      <name val="Calibri"/>
      <family val="0"/>
      <charset val="1"/>
    </font>
    <font>
      <i val="true"/>
      <u val="single"/>
      <sz val="8"/>
      <color rgb="FF008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1"/>
      <color rgb="FF222222"/>
      <name val="Calibri"/>
      <family val="0"/>
      <charset val="1"/>
    </font>
    <font>
      <sz val="11"/>
      <color rgb="FF008000"/>
      <name val="Calibri"/>
      <family val="0"/>
      <charset val="1"/>
    </font>
    <font>
      <i val="true"/>
      <sz val="9"/>
      <color rgb="FF777777"/>
      <name val="Calibri"/>
      <family val="0"/>
      <charset val="1"/>
    </font>
    <font>
      <b val="true"/>
      <sz val="11"/>
      <color rgb="FF666666"/>
      <name val="Calibri"/>
      <family val="0"/>
      <charset val="1"/>
    </font>
    <font>
      <sz val="8"/>
      <color rgb="FF888888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sz val="8"/>
      <color rgb="FF999999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sz val="9"/>
      <color rgb="FF008000"/>
      <name val="Calibri"/>
      <family val="0"/>
      <charset val="1"/>
    </font>
    <font>
      <sz val="9"/>
      <color rgb="FF0000FF"/>
      <name val="Calibri"/>
      <family val="0"/>
      <charset val="1"/>
    </font>
    <font>
      <sz val="9"/>
      <color rgb="FF888888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444444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666666"/>
      <name val="Calibri"/>
      <family val="0"/>
      <charset val="1"/>
    </font>
    <font>
      <sz val="10"/>
      <color rgb="FF008000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2E7D6F"/>
      <name val="Calibri"/>
      <family val="0"/>
      <charset val="1"/>
    </font>
    <font>
      <sz val="10"/>
      <color rgb="FF333333"/>
      <name val="Calibri"/>
      <family val="0"/>
      <charset val="1"/>
    </font>
    <font>
      <sz val="9"/>
      <color rgb="FF333333"/>
      <name val="Calibri"/>
      <family val="0"/>
      <charset val="1"/>
    </font>
    <font>
      <u val="single"/>
      <sz val="9"/>
      <color rgb="FF008000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8"/>
      <color rgb="FF888888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8"/>
      <color rgb="FF1F3B57"/>
      <name val="Calibri"/>
      <family val="0"/>
      <charset val="1"/>
    </font>
    <font>
      <b val="true"/>
      <sz val="18"/>
      <color rgb="FF2E7D6F"/>
      <name val="Calibri"/>
      <family val="0"/>
      <charset val="1"/>
    </font>
    <font>
      <b val="true"/>
      <sz val="18"/>
      <color rgb="FFB8860B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80808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B57"/>
        <bgColor rgb="FF333333"/>
      </patternFill>
    </fill>
    <fill>
      <patternFill patternType="solid">
        <fgColor rgb="FF2E7D6F"/>
        <bgColor rgb="FF4A7EBB"/>
      </patternFill>
    </fill>
    <fill>
      <patternFill patternType="solid">
        <fgColor rgb="FFF2F4F5"/>
        <bgColor rgb="FFE3F0EC"/>
      </patternFill>
    </fill>
    <fill>
      <patternFill patternType="solid">
        <fgColor rgb="FFFBF3D5"/>
        <bgColor rgb="FFF2F4F5"/>
      </patternFill>
    </fill>
    <fill>
      <patternFill patternType="solid">
        <fgColor rgb="FFFFF2A8"/>
        <bgColor rgb="FFFBF3D5"/>
      </patternFill>
    </fill>
    <fill>
      <patternFill patternType="solid">
        <fgColor rgb="FFE3F0EC"/>
        <bgColor rgb="FFF2F4F5"/>
      </patternFill>
    </fill>
    <fill>
      <patternFill patternType="solid">
        <fgColor rgb="FFC9A227"/>
        <bgColor rgb="FFB8860B"/>
      </patternFill>
    </fill>
    <fill>
      <patternFill patternType="solid">
        <fgColor rgb="FFB8860B"/>
        <bgColor rgb="FFC9A22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2D7DB"/>
      </left>
      <right style="thin">
        <color rgb="FFD2D7DB"/>
      </right>
      <top style="thin">
        <color rgb="FFD2D7DB"/>
      </top>
      <bottom style="thin">
        <color rgb="FFD2D7DB"/>
      </bottom>
      <diagonal/>
    </border>
    <border diagonalUp="false" diagonalDown="false">
      <left/>
      <right/>
      <top/>
      <bottom style="medium">
        <color rgb="FFC9A22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4F81BD"/>
      <rgbColor rgb="FFD9D9D9"/>
      <rgbColor rgb="FF808080"/>
      <rgbColor rgb="FF888888"/>
      <rgbColor rgb="FFC0504D"/>
      <rgbColor rgb="FFFBF3D5"/>
      <rgbColor rgb="FFE3F0EC"/>
      <rgbColor rgb="FF660066"/>
      <rgbColor rgb="FFFF8080"/>
      <rgbColor rgb="FF0066CC"/>
      <rgbColor rgb="FFD2D7DB"/>
      <rgbColor rgb="FF000080"/>
      <rgbColor rgb="FFFF00FF"/>
      <rgbColor rgb="FFFFFF00"/>
      <rgbColor rgb="FF00FFFF"/>
      <rgbColor rgb="FF800080"/>
      <rgbColor rgb="FF800000"/>
      <rgbColor rgb="FF777777"/>
      <rgbColor rgb="FF0000FF"/>
      <rgbColor rgb="FF00CCFF"/>
      <rgbColor rgb="FFF2F4F5"/>
      <rgbColor rgb="FFCCFFCC"/>
      <rgbColor rgb="FFFFF2A8"/>
      <rgbColor rgb="FF99CCFF"/>
      <rgbColor rgb="FFFF99CC"/>
      <rgbColor rgb="FF878787"/>
      <rgbColor rgb="FFFFCC99"/>
      <rgbColor rgb="FF4A7EBB"/>
      <rgbColor rgb="FF33CCCC"/>
      <rgbColor rgb="FF99CC00"/>
      <rgbColor rgb="FFFFCC00"/>
      <rgbColor rgb="FFC9A227"/>
      <rgbColor rgb="FFFF6600"/>
      <rgbColor rgb="FF666666"/>
      <rgbColor rgb="FF999999"/>
      <rgbColor rgb="FF1F3B57"/>
      <rgbColor rgb="FF2E7D6F"/>
      <rgbColor rgb="FF003300"/>
      <rgbColor rgb="FF222222"/>
      <rgbColor rgb="FF993300"/>
      <rgbColor rgb="FF555555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PAT by Year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'Annual P&amp;L'!$C$4:$G$4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'Annual P&amp;L'!$C$5:$G$5</c:f>
              <c:numCache>
                <c:formatCode>#,##0.0;\(#,##0.0\);""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"PAT"</c:f>
              <c:strCache>
                <c:ptCount val="1"/>
                <c:pt idx="0">
                  <c:v>PAT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'Annual P&amp;L'!$C$4:$G$4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'Annual P&amp;L'!$C$16:$G$16</c:f>
              <c:numCache>
                <c:formatCode>#,##0.0;\(#,##0.0\);""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97495100"/>
        <c:axId val="42420854"/>
      </c:barChart>
      <c:catAx>
        <c:axId val="974951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20854"/>
        <c:crosses val="autoZero"/>
        <c:auto val="1"/>
        <c:lblAlgn val="ctr"/>
        <c:lblOffset val="100"/>
        <c:noMultiLvlLbl val="0"/>
      </c:catAx>
      <c:valAx>
        <c:axId val="424208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lakh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951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EBITDA margin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"EBITDA margin"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'Annual P&amp;L'!$C$4:$G$4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'Annual P&amp;L'!$C$10:$G$10</c:f>
              <c:numCache>
                <c:formatCode>0.0%;\-0.0%;""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8642244"/>
        <c:axId val="28633649"/>
      </c:lineChart>
      <c:catAx>
        <c:axId val="386422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33649"/>
        <c:crosses val="autoZero"/>
        <c:auto val="1"/>
        <c:lblAlgn val="ctr"/>
        <c:lblOffset val="100"/>
        <c:noMultiLvlLbl val="0"/>
      </c:catAx>
      <c:valAx>
        <c:axId val="286336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\-0.0%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422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5</xdr:col>
      <xdr:colOff>183960</xdr:colOff>
      <xdr:row>29</xdr:row>
      <xdr:rowOff>32400</xdr:rowOff>
    </xdr:to>
    <xdr:graphicFrame>
      <xdr:nvGraphicFramePr>
        <xdr:cNvPr id="0" name="Chart 1"/>
        <xdr:cNvGraphicFramePr/>
      </xdr:nvGraphicFramePr>
      <xdr:xfrm>
        <a:off x="141120" y="30193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5</xdr:col>
      <xdr:colOff>183960</xdr:colOff>
      <xdr:row>45</xdr:row>
      <xdr:rowOff>32760</xdr:rowOff>
    </xdr:to>
    <xdr:graphicFrame>
      <xdr:nvGraphicFramePr>
        <xdr:cNvPr id="1" name="Chart 2"/>
        <xdr:cNvGraphicFramePr/>
      </xdr:nvGraphicFramePr>
      <xdr:xfrm>
        <a:off x="141120" y="6067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cleartax.in/s/section-115-baa-tax-rate-domestic-companies" TargetMode="External"/><Relationship Id="rId2" Type="http://schemas.openxmlformats.org/officeDocument/2006/relationships/hyperlink" Target="https://incometaxindia.gov.in/Documents/Left%20Menu/TAX%20RATES-domestic.htm" TargetMode="External"/><Relationship Id="rId3" Type="http://schemas.openxmlformats.org/officeDocument/2006/relationships/hyperlink" Target="https://cleartax.in/s/section-115-baa-tax-rate-domestic-companies" TargetMode="External"/><Relationship Id="rId4" Type="http://schemas.openxmlformats.org/officeDocument/2006/relationships/hyperlink" Target="https://cleartax.in/s/section-115-baa-tax-rate-domestic-companies" TargetMode="External"/><Relationship Id="rId5" Type="http://schemas.openxmlformats.org/officeDocument/2006/relationships/hyperlink" Target="https://cleartax.in/s/section-115-baa-tax-rate-domestic-companies" TargetMode="External"/><Relationship Id="rId6" Type="http://schemas.openxmlformats.org/officeDocument/2006/relationships/hyperlink" Target="https://cleartax.in/s/section-115-baa-tax-rate-domestic-companies" TargetMode="External"/><Relationship Id="rId7" Type="http://schemas.openxmlformats.org/officeDocument/2006/relationships/hyperlink" Target="https://cleartax.in/s/msme-loan-scheme-2020" TargetMode="External"/><Relationship Id="rId8" Type="http://schemas.openxmlformats.org/officeDocument/2006/relationships/hyperlink" Target="https://creditcares.in/cgtmse-loan-interest-rate-2026-bank-wise-rates/" TargetMode="External"/><Relationship Id="rId9" Type="http://schemas.openxmlformats.org/officeDocument/2006/relationships/hyperlink" Target="https://creditcares.in/cgtmse-loan-interest-rate-2026-bank-wise-rates/" TargetMode="External"/><Relationship Id="rId10" Type="http://schemas.openxmlformats.org/officeDocument/2006/relationships/hyperlink" Target="https://creditcares.in/cgtmse-loan-interest-rate-2026-bank-wise-rates/" TargetMode="External"/><Relationship Id="rId11" Type="http://schemas.openxmlformats.org/officeDocument/2006/relationships/hyperlink" Target="https://creditcares.in/cgtmse-loan-interest-rate-2026-bank-wise-rates/" TargetMode="External"/><Relationship Id="rId12" Type="http://schemas.openxmlformats.org/officeDocument/2006/relationships/hyperlink" Target="https://cleartax.in/s/msme-loan-scheme-2020" TargetMode="External"/><Relationship Id="rId13" Type="http://schemas.openxmlformats.org/officeDocument/2006/relationships/hyperlink" Target="https://www.myscheme.gov.in/schemes/agmsmecis" TargetMode="External"/><Relationship Id="rId14" Type="http://schemas.openxmlformats.org/officeDocument/2006/relationships/hyperlink" Target="https://ipfonline.com/news/detail/policyregulation/aatmanirbhar-gujarat-2022-boosting-growth-of-msmes/15919" TargetMode="External"/><Relationship Id="rId15" Type="http://schemas.openxmlformats.org/officeDocument/2006/relationships/hyperlink" Target="https://ipfonline.com/news/detail/policyregulation/aatmanirbhar-gujarat-2022-boosting-growth-of-msmes/15919" TargetMode="External"/><Relationship Id="rId16" Type="http://schemas.openxmlformats.org/officeDocument/2006/relationships/hyperlink" Target="https://ipfonline.com/news/detail/policyregulation/aatmanirbhar-gujarat-2022-boosting-growth-of-msmes/15919" TargetMode="External"/><Relationship Id="rId17" Type="http://schemas.openxmlformats.org/officeDocument/2006/relationships/hyperlink" Target="https://www.myscheme.gov.in/schemes/pmfmpe" TargetMode="External"/><Relationship Id="rId18" Type="http://schemas.openxmlformats.org/officeDocument/2006/relationships/hyperlink" Target="https://www.myscheme.gov.in/schemes/pmfmpe" TargetMode="External"/><Relationship Id="rId19" Type="http://schemas.openxmlformats.org/officeDocument/2006/relationships/hyperlink" Target="https://ipfonline.com/news/detail/policyregulation/aatmanirbhar-gujarat-2022-boosting-growth-of-msmes/15919" TargetMode="External"/><Relationship Id="rId20" Type="http://schemas.openxmlformats.org/officeDocument/2006/relationships/hyperlink" Target="https://cleartax.in/s/section-115-baa-tax-rate-domestic-companies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www.myscheme.gov.in/schemes/agmsmecis" TargetMode="External"/><Relationship Id="rId2" Type="http://schemas.openxmlformats.org/officeDocument/2006/relationships/hyperlink" Target="https://ipfonline.com/news/detail/policyregulation/aatmanirbhar-gujarat-2022-boosting-growth-of-msmes/15919" TargetMode="External"/><Relationship Id="rId3" Type="http://schemas.openxmlformats.org/officeDocument/2006/relationships/hyperlink" Target="https://ipfonline.com/news/detail/policyregulation/aatmanirbhar-gujarat-2022-boosting-growth-of-msmes/15919" TargetMode="External"/><Relationship Id="rId4" Type="http://schemas.openxmlformats.org/officeDocument/2006/relationships/hyperlink" Target="https://cleartax.in/s/msme-loan-scheme-2020" TargetMode="External"/><Relationship Id="rId5" Type="http://schemas.openxmlformats.org/officeDocument/2006/relationships/hyperlink" Target="https://www.myscheme.gov.in/schemes/pmfmpe" TargetMode="External"/><Relationship Id="rId6" Type="http://schemas.openxmlformats.org/officeDocument/2006/relationships/hyperlink" Target="https://cleartax.in/s/msme-loan-scheme-2020" TargetMode="External"/><Relationship Id="rId7" Type="http://schemas.openxmlformats.org/officeDocument/2006/relationships/hyperlink" Target="https://cleartax.in/s/section-115-baa-tax-rate-domestic-companies" TargetMode="External"/><Relationship Id="rId8" Type="http://schemas.openxmlformats.org/officeDocument/2006/relationships/hyperlink" Target="https://ipfonline.com/news/detail/policyregulation/aatmanirbhar-gujarat-2022-boosting-growth-of-msmes/15919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https://www.pib.gov.in/PressReleasePage.aspx?PRID=2098389" TargetMode="External"/><Relationship Id="rId2" Type="http://schemas.openxmlformats.org/officeDocument/2006/relationships/hyperlink" Target="https://incometaxindia.gov.in/Documents/Left%20Menu/TAX%20RATES-domestic.htm" TargetMode="External"/><Relationship Id="rId3" Type="http://schemas.openxmlformats.org/officeDocument/2006/relationships/hyperlink" Target="https://cleartax.in/s/section-115-baa-tax-rate-domestic-companies" TargetMode="External"/><Relationship Id="rId4" Type="http://schemas.openxmlformats.org/officeDocument/2006/relationships/hyperlink" Target="https://creditcares.in/cgtmse-loan-interest-rate-2026-bank-wise-rates/" TargetMode="External"/><Relationship Id="rId5" Type="http://schemas.openxmlformats.org/officeDocument/2006/relationships/hyperlink" Target="https://cleartax.in/s/msme-loan-scheme-2020" TargetMode="External"/><Relationship Id="rId6" Type="http://schemas.openxmlformats.org/officeDocument/2006/relationships/hyperlink" Target="https://www.myscheme.gov.in/schemes/agmsmecis" TargetMode="External"/><Relationship Id="rId7" Type="http://schemas.openxmlformats.org/officeDocument/2006/relationships/hyperlink" Target="https://ipfonline.com/news/detail/policyregulation/aatmanirbhar-gujarat-2022-boosting-growth-of-msmes/15919" TargetMode="External"/><Relationship Id="rId8" Type="http://schemas.openxmlformats.org/officeDocument/2006/relationships/hyperlink" Target="https://cmogujarat.gov.in/wp-content/uploads/2022/10/AatmaNirbhar-Gujarat_Industrial-Policy.pdf" TargetMode="External"/><Relationship Id="rId9" Type="http://schemas.openxmlformats.org/officeDocument/2006/relationships/hyperlink" Target="https://www.myscheme.gov.in/schemes/pmfmpe" TargetMode="External"/><Relationship Id="rId10" Type="http://schemas.openxmlformats.org/officeDocument/2006/relationships/hyperlink" Target="https://cleartax.in/s/pmfme-schem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6" min="3" style="0" width="24"/>
    <col collapsed="false" customWidth="true" hidden="false" outlineLevel="0" max="7" min="7" style="0" width="2"/>
  </cols>
  <sheetData>
    <row r="1" customFormat="false" ht="18" hidden="false" customHeight="true" outlineLevel="0" collapsed="false"/>
    <row r="2" customFormat="false" ht="18" hidden="false" customHeight="true" outlineLevel="0" collapsed="false">
      <c r="B2" s="1"/>
      <c r="C2" s="1"/>
      <c r="D2" s="1"/>
      <c r="E2" s="1"/>
      <c r="F2" s="1"/>
    </row>
    <row r="3" customFormat="false" ht="18" hidden="false" customHeight="true" outlineLevel="0" collapsed="false">
      <c r="B3" s="2" t="s">
        <v>0</v>
      </c>
      <c r="C3" s="2"/>
      <c r="D3" s="2"/>
      <c r="E3" s="2"/>
      <c r="F3" s="2"/>
    </row>
    <row r="4" customFormat="false" ht="18" hidden="false" customHeight="true" outlineLevel="0" collapsed="false">
      <c r="B4" s="1"/>
      <c r="C4" s="1"/>
      <c r="D4" s="1"/>
      <c r="E4" s="1"/>
      <c r="F4" s="1"/>
    </row>
    <row r="5" customFormat="false" ht="18" hidden="false" customHeight="true" outlineLevel="0" collapsed="false">
      <c r="B5" s="3" t="s">
        <v>1</v>
      </c>
      <c r="C5" s="3"/>
      <c r="D5" s="3"/>
      <c r="E5" s="3"/>
      <c r="F5" s="3"/>
    </row>
    <row r="6" customFormat="false" ht="18" hidden="false" customHeight="true" outlineLevel="0" collapsed="false">
      <c r="B6" s="1"/>
      <c r="C6" s="1"/>
      <c r="D6" s="1"/>
      <c r="E6" s="1"/>
      <c r="F6" s="1"/>
    </row>
    <row r="7" customFormat="false" ht="18" hidden="false" customHeight="true" outlineLevel="0" collapsed="false">
      <c r="B7" s="4" t="s">
        <v>2</v>
      </c>
      <c r="C7" s="4"/>
      <c r="D7" s="4"/>
      <c r="E7" s="4"/>
      <c r="F7" s="4"/>
    </row>
    <row r="8" customFormat="false" ht="18" hidden="false" customHeight="true" outlineLevel="0" collapsed="false">
      <c r="B8" s="1"/>
      <c r="C8" s="1"/>
      <c r="D8" s="1"/>
      <c r="E8" s="1"/>
      <c r="F8" s="1"/>
    </row>
    <row r="9" customFormat="false" ht="18" hidden="false" customHeight="true" outlineLevel="0" collapsed="false"/>
    <row r="10" customFormat="false" ht="18" hidden="false" customHeight="true" outlineLevel="0" collapsed="false">
      <c r="B10" s="5" t="s">
        <v>3</v>
      </c>
      <c r="C10" s="5"/>
      <c r="D10" s="5"/>
      <c r="E10" s="5"/>
      <c r="F10" s="5"/>
    </row>
    <row r="11" customFormat="false" ht="18" hidden="false" customHeight="true" outlineLevel="0" collapsed="false"/>
    <row r="12" customFormat="false" ht="18" hidden="false" customHeight="true" outlineLevel="0" collapsed="false"/>
    <row r="13" customFormat="false" ht="18" hidden="false" customHeight="true" outlineLevel="0" collapsed="false">
      <c r="B13" s="6" t="s">
        <v>4</v>
      </c>
      <c r="C13" s="7" t="s">
        <v>5</v>
      </c>
      <c r="D13" s="7"/>
      <c r="E13" s="7"/>
      <c r="F13" s="7"/>
    </row>
    <row r="14" customFormat="false" ht="18" hidden="false" customHeight="true" outlineLevel="0" collapsed="false">
      <c r="B14" s="6" t="s">
        <v>6</v>
      </c>
      <c r="C14" s="7" t="s">
        <v>7</v>
      </c>
      <c r="D14" s="7"/>
      <c r="E14" s="7"/>
      <c r="F14" s="7"/>
    </row>
    <row r="15" customFormat="false" ht="18" hidden="false" customHeight="true" outlineLevel="0" collapsed="false">
      <c r="B15" s="6" t="s">
        <v>8</v>
      </c>
      <c r="C15" s="8" t="s">
        <v>9</v>
      </c>
      <c r="D15" s="8"/>
      <c r="E15" s="8"/>
      <c r="F15" s="8"/>
    </row>
    <row r="16" customFormat="false" ht="18" hidden="false" customHeight="true" outlineLevel="0" collapsed="false">
      <c r="B16" s="6" t="s">
        <v>10</v>
      </c>
      <c r="C16" s="8" t="s">
        <v>11</v>
      </c>
      <c r="D16" s="8"/>
      <c r="E16" s="8"/>
      <c r="F16" s="8"/>
    </row>
    <row r="17" customFormat="false" ht="18" hidden="false" customHeight="true" outlineLevel="0" collapsed="false">
      <c r="B17" s="6" t="s">
        <v>12</v>
      </c>
      <c r="C17" s="8" t="s">
        <v>13</v>
      </c>
      <c r="D17" s="8"/>
      <c r="E17" s="8"/>
      <c r="F17" s="8"/>
    </row>
    <row r="18" customFormat="false" ht="18" hidden="false" customHeight="true" outlineLevel="0" collapsed="false">
      <c r="B18" s="6" t="s">
        <v>14</v>
      </c>
      <c r="C18" s="8" t="s">
        <v>15</v>
      </c>
      <c r="D18" s="8"/>
      <c r="E18" s="8"/>
      <c r="F18" s="8"/>
    </row>
    <row r="19" customFormat="false" ht="18" hidden="false" customHeight="true" outlineLevel="0" collapsed="false">
      <c r="B19" s="6" t="s">
        <v>16</v>
      </c>
      <c r="C19" s="8" t="s">
        <v>17</v>
      </c>
      <c r="D19" s="8"/>
      <c r="E19" s="8"/>
      <c r="F19" s="8"/>
    </row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>
      <c r="B22" s="9" t="s">
        <v>18</v>
      </c>
      <c r="C22" s="9"/>
      <c r="D22" s="9"/>
      <c r="E22" s="9"/>
      <c r="F22" s="9"/>
    </row>
    <row r="23" customFormat="false" ht="18" hidden="false" customHeight="true" outlineLevel="0" collapsed="false"/>
    <row r="24" customFormat="false" ht="18" hidden="false" customHeight="true" outlineLevel="0" collapsed="false">
      <c r="B24" s="10" t="s">
        <v>19</v>
      </c>
      <c r="C24" s="6" t="s">
        <v>20</v>
      </c>
      <c r="D24" s="11" t="s">
        <v>21</v>
      </c>
      <c r="E24" s="11"/>
      <c r="F24" s="11"/>
    </row>
    <row r="25" customFormat="false" ht="18" hidden="false" customHeight="true" outlineLevel="0" collapsed="false">
      <c r="B25" s="12" t="s">
        <v>22</v>
      </c>
      <c r="C25" s="13" t="s">
        <v>23</v>
      </c>
      <c r="D25" s="14" t="s">
        <v>24</v>
      </c>
      <c r="E25" s="14"/>
      <c r="F25" s="14"/>
    </row>
    <row r="26" customFormat="false" ht="18" hidden="false" customHeight="true" outlineLevel="0" collapsed="false">
      <c r="B26" s="10" t="s">
        <v>25</v>
      </c>
      <c r="C26" s="6" t="s">
        <v>26</v>
      </c>
      <c r="D26" s="11" t="s">
        <v>27</v>
      </c>
      <c r="E26" s="11"/>
      <c r="F26" s="11"/>
    </row>
    <row r="27" customFormat="false" ht="18" hidden="false" customHeight="true" outlineLevel="0" collapsed="false">
      <c r="B27" s="12" t="s">
        <v>28</v>
      </c>
      <c r="C27" s="13" t="s">
        <v>29</v>
      </c>
      <c r="D27" s="14" t="s">
        <v>30</v>
      </c>
      <c r="E27" s="14"/>
      <c r="F27" s="14"/>
    </row>
    <row r="28" customFormat="false" ht="18" hidden="false" customHeight="true" outlineLevel="0" collapsed="false">
      <c r="B28" s="10" t="s">
        <v>31</v>
      </c>
      <c r="C28" s="6" t="s">
        <v>32</v>
      </c>
      <c r="D28" s="11" t="s">
        <v>33</v>
      </c>
      <c r="E28" s="11"/>
      <c r="F28" s="11"/>
    </row>
    <row r="29" customFormat="false" ht="18" hidden="false" customHeight="true" outlineLevel="0" collapsed="false">
      <c r="B29" s="12" t="s">
        <v>34</v>
      </c>
      <c r="C29" s="13" t="s">
        <v>35</v>
      </c>
      <c r="D29" s="14" t="s">
        <v>36</v>
      </c>
      <c r="E29" s="14"/>
      <c r="F29" s="14"/>
    </row>
    <row r="30" customFormat="false" ht="18" hidden="false" customHeight="true" outlineLevel="0" collapsed="false">
      <c r="B30" s="10" t="s">
        <v>37</v>
      </c>
      <c r="C30" s="6" t="s">
        <v>38</v>
      </c>
      <c r="D30" s="11" t="s">
        <v>39</v>
      </c>
      <c r="E30" s="11"/>
      <c r="F30" s="11"/>
    </row>
    <row r="31" customFormat="false" ht="18" hidden="false" customHeight="true" outlineLevel="0" collapsed="false">
      <c r="B31" s="12" t="s">
        <v>40</v>
      </c>
      <c r="C31" s="13" t="s">
        <v>41</v>
      </c>
      <c r="D31" s="14" t="s">
        <v>42</v>
      </c>
      <c r="E31" s="14"/>
      <c r="F31" s="14"/>
    </row>
    <row r="32" customFormat="false" ht="18" hidden="false" customHeight="true" outlineLevel="0" collapsed="false">
      <c r="B32" s="10" t="s">
        <v>43</v>
      </c>
      <c r="C32" s="6" t="s">
        <v>44</v>
      </c>
      <c r="D32" s="11" t="s">
        <v>45</v>
      </c>
      <c r="E32" s="11"/>
      <c r="F32" s="11"/>
    </row>
    <row r="33" customFormat="false" ht="18" hidden="false" customHeight="true" outlineLevel="0" collapsed="false">
      <c r="B33" s="12" t="s">
        <v>46</v>
      </c>
      <c r="C33" s="13" t="s">
        <v>47</v>
      </c>
      <c r="D33" s="14" t="s">
        <v>48</v>
      </c>
      <c r="E33" s="14"/>
      <c r="F33" s="14"/>
    </row>
    <row r="34" customFormat="false" ht="18" hidden="false" customHeight="true" outlineLevel="0" collapsed="false">
      <c r="B34" s="10" t="s">
        <v>49</v>
      </c>
      <c r="C34" s="6" t="s">
        <v>50</v>
      </c>
      <c r="D34" s="11" t="s">
        <v>51</v>
      </c>
      <c r="E34" s="11"/>
      <c r="F34" s="11"/>
    </row>
    <row r="35" customFormat="false" ht="18" hidden="false" customHeight="true" outlineLevel="0" collapsed="false">
      <c r="B35" s="12" t="s">
        <v>52</v>
      </c>
      <c r="C35" s="13" t="s">
        <v>53</v>
      </c>
      <c r="D35" s="14" t="s">
        <v>54</v>
      </c>
      <c r="E35" s="14"/>
      <c r="F35" s="14"/>
    </row>
    <row r="36" customFormat="false" ht="18" hidden="false" customHeight="true" outlineLevel="0" collapsed="false">
      <c r="B36" s="10" t="s">
        <v>55</v>
      </c>
      <c r="C36" s="6" t="s">
        <v>56</v>
      </c>
      <c r="D36" s="11" t="s">
        <v>57</v>
      </c>
      <c r="E36" s="11"/>
      <c r="F36" s="11"/>
    </row>
    <row r="37" customFormat="false" ht="18" hidden="false" customHeight="true" outlineLevel="0" collapsed="false">
      <c r="B37" s="12" t="s">
        <v>58</v>
      </c>
      <c r="C37" s="13" t="s">
        <v>59</v>
      </c>
      <c r="D37" s="14" t="s">
        <v>60</v>
      </c>
      <c r="E37" s="14"/>
      <c r="F37" s="14"/>
    </row>
    <row r="38" customFormat="false" ht="18" hidden="false" customHeight="true" outlineLevel="0" collapsed="false">
      <c r="B38" s="10" t="s">
        <v>61</v>
      </c>
      <c r="C38" s="6" t="s">
        <v>62</v>
      </c>
      <c r="D38" s="11" t="s">
        <v>63</v>
      </c>
      <c r="E38" s="11"/>
      <c r="F38" s="11"/>
    </row>
    <row r="39" customFormat="false" ht="18" hidden="false" customHeight="true" outlineLevel="0" collapsed="false"/>
    <row r="40" customFormat="false" ht="18" hidden="false" customHeight="true" outlineLevel="0" collapsed="false">
      <c r="B40" s="15" t="s">
        <v>64</v>
      </c>
      <c r="C40" s="15"/>
      <c r="D40" s="15"/>
      <c r="E40" s="15"/>
      <c r="F40" s="15"/>
    </row>
    <row r="41" customFormat="false" ht="18" hidden="false" customHeight="true" outlineLevel="0" collapsed="false">
      <c r="B41" s="15"/>
      <c r="C41" s="15"/>
      <c r="D41" s="15"/>
      <c r="E41" s="15"/>
      <c r="F41" s="15"/>
    </row>
    <row r="42" customFormat="false" ht="18" hidden="false" customHeight="true" outlineLevel="0" collapsed="false">
      <c r="B42" s="15"/>
      <c r="C42" s="15"/>
      <c r="D42" s="15"/>
      <c r="E42" s="15"/>
      <c r="F42" s="15"/>
    </row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</sheetData>
  <mergeCells count="28">
    <mergeCell ref="B3:F3"/>
    <mergeCell ref="B5:F5"/>
    <mergeCell ref="B7:F7"/>
    <mergeCell ref="B10:F10"/>
    <mergeCell ref="C13:F13"/>
    <mergeCell ref="C14:F14"/>
    <mergeCell ref="C15:F15"/>
    <mergeCell ref="C16:F16"/>
    <mergeCell ref="C17:F17"/>
    <mergeCell ref="C18:F18"/>
    <mergeCell ref="C19:F19"/>
    <mergeCell ref="B22:F22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B40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66"/>
  </cols>
  <sheetData>
    <row r="1" customFormat="false" ht="25.5" hidden="false" customHeight="true" outlineLevel="0" collapsed="false">
      <c r="B1" s="16" t="s">
        <v>65</v>
      </c>
      <c r="C1" s="16"/>
      <c r="D1" s="16"/>
      <c r="E1" s="16"/>
    </row>
    <row r="2" customFormat="false" ht="15" hidden="false" customHeight="false" outlineLevel="0" collapsed="false">
      <c r="B2" s="17" t="s">
        <v>66</v>
      </c>
      <c r="C2" s="17"/>
      <c r="D2" s="17"/>
      <c r="E2" s="17"/>
    </row>
    <row r="4" customFormat="false" ht="15" hidden="false" customHeight="false" outlineLevel="0" collapsed="false">
      <c r="B4" s="18" t="s">
        <v>67</v>
      </c>
      <c r="C4" s="18" t="s">
        <v>68</v>
      </c>
      <c r="D4" s="18" t="s">
        <v>69</v>
      </c>
      <c r="E4" s="18" t="s">
        <v>70</v>
      </c>
    </row>
    <row r="5" customFormat="false" ht="15" hidden="false" customHeight="false" outlineLevel="0" collapsed="false">
      <c r="B5" s="19" t="s">
        <v>71</v>
      </c>
      <c r="C5" s="19"/>
      <c r="D5" s="19"/>
      <c r="E5" s="19"/>
    </row>
    <row r="6" customFormat="false" ht="15" hidden="false" customHeight="false" outlineLevel="0" collapsed="false">
      <c r="B6" s="20" t="s">
        <v>72</v>
      </c>
      <c r="C6" s="21"/>
      <c r="D6" s="22" t="s">
        <v>73</v>
      </c>
      <c r="E6" s="23" t="s">
        <v>74</v>
      </c>
    </row>
    <row r="7" customFormat="false" ht="15" hidden="false" customHeight="false" outlineLevel="0" collapsed="false">
      <c r="B7" s="20" t="s">
        <v>75</v>
      </c>
      <c r="C7" s="21"/>
      <c r="D7" s="22" t="s">
        <v>73</v>
      </c>
      <c r="E7" s="23" t="s">
        <v>76</v>
      </c>
    </row>
    <row r="8" customFormat="false" ht="15" hidden="false" customHeight="false" outlineLevel="0" collapsed="false">
      <c r="B8" s="20" t="s">
        <v>77</v>
      </c>
      <c r="C8" s="21"/>
      <c r="D8" s="22" t="s">
        <v>78</v>
      </c>
      <c r="E8" s="23" t="s">
        <v>79</v>
      </c>
    </row>
    <row r="9" customFormat="false" ht="15" hidden="false" customHeight="false" outlineLevel="0" collapsed="false">
      <c r="B9" s="20" t="s">
        <v>80</v>
      </c>
      <c r="C9" s="21"/>
      <c r="D9" s="22" t="s">
        <v>78</v>
      </c>
      <c r="E9" s="23" t="s">
        <v>79</v>
      </c>
    </row>
    <row r="10" customFormat="false" ht="15" hidden="false" customHeight="false" outlineLevel="0" collapsed="false">
      <c r="B10" s="20" t="s">
        <v>81</v>
      </c>
      <c r="C10" s="21"/>
      <c r="D10" s="22" t="s">
        <v>78</v>
      </c>
      <c r="E10" s="23" t="s">
        <v>79</v>
      </c>
    </row>
    <row r="11" customFormat="false" ht="15" hidden="false" customHeight="false" outlineLevel="0" collapsed="false">
      <c r="B11" s="20" t="s">
        <v>82</v>
      </c>
      <c r="C11" s="21"/>
      <c r="D11" s="22" t="s">
        <v>78</v>
      </c>
      <c r="E11" s="23" t="s">
        <v>79</v>
      </c>
    </row>
    <row r="12" customFormat="false" ht="15" hidden="false" customHeight="false" outlineLevel="0" collapsed="false">
      <c r="B12" s="20" t="s">
        <v>83</v>
      </c>
      <c r="C12" s="24"/>
      <c r="D12" s="22" t="s">
        <v>84</v>
      </c>
      <c r="E12" s="25" t="s">
        <v>85</v>
      </c>
    </row>
    <row r="13" customFormat="false" ht="15" hidden="false" customHeight="false" outlineLevel="0" collapsed="false">
      <c r="B13" s="19" t="s">
        <v>86</v>
      </c>
      <c r="C13" s="19"/>
      <c r="D13" s="19"/>
      <c r="E13" s="19"/>
    </row>
    <row r="14" customFormat="false" ht="15" hidden="false" customHeight="false" outlineLevel="0" collapsed="false">
      <c r="B14" s="20" t="s">
        <v>87</v>
      </c>
      <c r="C14" s="24"/>
      <c r="D14" s="22" t="s">
        <v>88</v>
      </c>
      <c r="E14" s="25" t="s">
        <v>85</v>
      </c>
    </row>
    <row r="15" customFormat="false" ht="15" hidden="false" customHeight="false" outlineLevel="0" collapsed="false">
      <c r="B15" s="20" t="s">
        <v>89</v>
      </c>
      <c r="C15" s="24"/>
      <c r="D15" s="22" t="s">
        <v>88</v>
      </c>
      <c r="E15" s="25" t="s">
        <v>85</v>
      </c>
    </row>
    <row r="16" customFormat="false" ht="15" hidden="false" customHeight="false" outlineLevel="0" collapsed="false">
      <c r="B16" s="20" t="s">
        <v>90</v>
      </c>
      <c r="C16" s="24"/>
      <c r="D16" s="22" t="s">
        <v>88</v>
      </c>
      <c r="E16" s="25" t="s">
        <v>85</v>
      </c>
    </row>
    <row r="17" customFormat="false" ht="15" hidden="false" customHeight="false" outlineLevel="0" collapsed="false">
      <c r="B17" s="20" t="s">
        <v>91</v>
      </c>
      <c r="C17" s="24"/>
      <c r="D17" s="22" t="s">
        <v>88</v>
      </c>
      <c r="E17" s="25" t="s">
        <v>85</v>
      </c>
    </row>
    <row r="18" customFormat="false" ht="15" hidden="false" customHeight="false" outlineLevel="0" collapsed="false">
      <c r="B18" s="20" t="s">
        <v>92</v>
      </c>
      <c r="C18" s="24"/>
      <c r="D18" s="22" t="s">
        <v>88</v>
      </c>
      <c r="E18" s="25" t="s">
        <v>85</v>
      </c>
    </row>
    <row r="19" customFormat="false" ht="15" hidden="false" customHeight="false" outlineLevel="0" collapsed="false">
      <c r="B19" s="20" t="s">
        <v>93</v>
      </c>
      <c r="C19" s="24"/>
      <c r="D19" s="22" t="s">
        <v>88</v>
      </c>
      <c r="E19" s="25" t="s">
        <v>85</v>
      </c>
    </row>
    <row r="20" customFormat="false" ht="15" hidden="false" customHeight="false" outlineLevel="0" collapsed="false">
      <c r="B20" s="20" t="s">
        <v>94</v>
      </c>
      <c r="C20" s="24"/>
      <c r="D20" s="22" t="s">
        <v>88</v>
      </c>
      <c r="E20" s="25" t="s">
        <v>85</v>
      </c>
    </row>
    <row r="21" customFormat="false" ht="15" hidden="false" customHeight="false" outlineLevel="0" collapsed="false">
      <c r="B21" s="20" t="s">
        <v>95</v>
      </c>
      <c r="C21" s="24"/>
      <c r="D21" s="22" t="s">
        <v>88</v>
      </c>
      <c r="E21" s="25" t="s">
        <v>85</v>
      </c>
    </row>
    <row r="22" customFormat="false" ht="15" hidden="false" customHeight="false" outlineLevel="0" collapsed="false">
      <c r="B22" s="19" t="s">
        <v>96</v>
      </c>
      <c r="C22" s="19"/>
      <c r="D22" s="19"/>
      <c r="E22" s="19"/>
    </row>
    <row r="23" customFormat="false" ht="15" hidden="false" customHeight="false" outlineLevel="0" collapsed="false">
      <c r="B23" s="20" t="s">
        <v>97</v>
      </c>
      <c r="C23" s="21"/>
      <c r="D23" s="22" t="s">
        <v>98</v>
      </c>
      <c r="E23" s="23" t="s">
        <v>99</v>
      </c>
    </row>
    <row r="24" customFormat="false" ht="15" hidden="false" customHeight="false" outlineLevel="0" collapsed="false">
      <c r="B24" s="20" t="s">
        <v>100</v>
      </c>
      <c r="C24" s="21"/>
      <c r="D24" s="22" t="s">
        <v>78</v>
      </c>
      <c r="E24" s="23" t="s">
        <v>101</v>
      </c>
    </row>
    <row r="25" customFormat="false" ht="15" hidden="false" customHeight="false" outlineLevel="0" collapsed="false">
      <c r="B25" s="20" t="s">
        <v>102</v>
      </c>
      <c r="C25" s="24"/>
      <c r="D25" s="22" t="s">
        <v>103</v>
      </c>
      <c r="E25" s="23" t="s">
        <v>101</v>
      </c>
    </row>
    <row r="26" customFormat="false" ht="15" hidden="false" customHeight="false" outlineLevel="0" collapsed="false">
      <c r="B26" s="20" t="s">
        <v>104</v>
      </c>
      <c r="C26" s="24"/>
      <c r="D26" s="22" t="s">
        <v>103</v>
      </c>
      <c r="E26" s="23" t="s">
        <v>101</v>
      </c>
    </row>
    <row r="27" customFormat="false" ht="15" hidden="false" customHeight="false" outlineLevel="0" collapsed="false">
      <c r="B27" s="20" t="s">
        <v>105</v>
      </c>
      <c r="C27" s="21"/>
      <c r="D27" s="22" t="s">
        <v>78</v>
      </c>
      <c r="E27" s="23" t="s">
        <v>101</v>
      </c>
    </row>
    <row r="28" customFormat="false" ht="15" hidden="false" customHeight="false" outlineLevel="0" collapsed="false">
      <c r="B28" s="20" t="s">
        <v>106</v>
      </c>
      <c r="C28" s="21"/>
      <c r="D28" s="22" t="s">
        <v>107</v>
      </c>
      <c r="E28" s="23" t="s">
        <v>99</v>
      </c>
    </row>
    <row r="29" customFormat="false" ht="15" hidden="false" customHeight="false" outlineLevel="0" collapsed="false">
      <c r="B29" s="19" t="s">
        <v>108</v>
      </c>
      <c r="C29" s="19"/>
      <c r="D29" s="19"/>
      <c r="E29" s="19"/>
    </row>
    <row r="30" customFormat="false" ht="15" hidden="false" customHeight="false" outlineLevel="0" collapsed="false">
      <c r="B30" s="20" t="s">
        <v>109</v>
      </c>
      <c r="C30" s="24"/>
      <c r="D30" s="22" t="s">
        <v>110</v>
      </c>
      <c r="E30" s="25" t="s">
        <v>85</v>
      </c>
    </row>
    <row r="31" customFormat="false" ht="15" hidden="false" customHeight="false" outlineLevel="0" collapsed="false">
      <c r="B31" s="20" t="s">
        <v>111</v>
      </c>
      <c r="C31" s="21"/>
      <c r="D31" s="22" t="s">
        <v>73</v>
      </c>
      <c r="E31" s="25" t="s">
        <v>85</v>
      </c>
    </row>
    <row r="32" customFormat="false" ht="15" hidden="false" customHeight="false" outlineLevel="0" collapsed="false">
      <c r="B32" s="20" t="s">
        <v>112</v>
      </c>
      <c r="C32" s="21"/>
      <c r="D32" s="22" t="s">
        <v>73</v>
      </c>
      <c r="E32" s="25" t="s">
        <v>85</v>
      </c>
    </row>
    <row r="33" customFormat="false" ht="15" hidden="false" customHeight="false" outlineLevel="0" collapsed="false">
      <c r="B33" s="20" t="s">
        <v>113</v>
      </c>
      <c r="C33" s="21"/>
      <c r="D33" s="22" t="s">
        <v>73</v>
      </c>
      <c r="E33" s="25" t="s">
        <v>85</v>
      </c>
    </row>
    <row r="34" customFormat="false" ht="15" hidden="false" customHeight="false" outlineLevel="0" collapsed="false">
      <c r="B34" s="20" t="s">
        <v>114</v>
      </c>
      <c r="C34" s="21"/>
      <c r="D34" s="22" t="s">
        <v>73</v>
      </c>
      <c r="E34" s="25" t="s">
        <v>85</v>
      </c>
    </row>
    <row r="35" customFormat="false" ht="15" hidden="false" customHeight="false" outlineLevel="0" collapsed="false">
      <c r="B35" s="20" t="s">
        <v>115</v>
      </c>
      <c r="C35" s="21"/>
      <c r="D35" s="22" t="s">
        <v>73</v>
      </c>
      <c r="E35" s="25" t="s">
        <v>85</v>
      </c>
    </row>
    <row r="36" customFormat="false" ht="15" hidden="false" customHeight="false" outlineLevel="0" collapsed="false">
      <c r="B36" s="19" t="s">
        <v>116</v>
      </c>
      <c r="C36" s="19"/>
      <c r="D36" s="19"/>
      <c r="E36" s="19"/>
    </row>
    <row r="37" customFormat="false" ht="15" hidden="false" customHeight="false" outlineLevel="0" collapsed="false">
      <c r="B37" s="20" t="s">
        <v>117</v>
      </c>
      <c r="C37" s="26"/>
      <c r="D37" s="22" t="s">
        <v>118</v>
      </c>
      <c r="E37" s="25" t="s">
        <v>85</v>
      </c>
    </row>
    <row r="38" customFormat="false" ht="15" hidden="false" customHeight="false" outlineLevel="0" collapsed="false">
      <c r="B38" s="20" t="s">
        <v>119</v>
      </c>
      <c r="C38" s="26"/>
      <c r="D38" s="22" t="s">
        <v>118</v>
      </c>
      <c r="E38" s="25" t="s">
        <v>85</v>
      </c>
    </row>
    <row r="39" customFormat="false" ht="15" hidden="false" customHeight="false" outlineLevel="0" collapsed="false">
      <c r="B39" s="20" t="s">
        <v>120</v>
      </c>
      <c r="C39" s="26"/>
      <c r="D39" s="22" t="s">
        <v>118</v>
      </c>
      <c r="E39" s="25" t="s">
        <v>85</v>
      </c>
    </row>
    <row r="40" customFormat="false" ht="15" hidden="false" customHeight="false" outlineLevel="0" collapsed="false">
      <c r="B40" s="20" t="s">
        <v>121</v>
      </c>
      <c r="C40" s="26"/>
      <c r="D40" s="22" t="s">
        <v>118</v>
      </c>
      <c r="E40" s="25" t="s">
        <v>85</v>
      </c>
    </row>
    <row r="41" customFormat="false" ht="15" hidden="false" customHeight="false" outlineLevel="0" collapsed="false">
      <c r="B41" s="20" t="s">
        <v>122</v>
      </c>
      <c r="C41" s="26"/>
      <c r="D41" s="22" t="s">
        <v>118</v>
      </c>
      <c r="E41" s="25" t="s">
        <v>85</v>
      </c>
    </row>
    <row r="42" customFormat="false" ht="15" hidden="false" customHeight="false" outlineLevel="0" collapsed="false">
      <c r="B42" s="19" t="s">
        <v>123</v>
      </c>
      <c r="C42" s="19"/>
      <c r="D42" s="19"/>
      <c r="E42" s="19"/>
    </row>
    <row r="43" customFormat="false" ht="15" hidden="false" customHeight="false" outlineLevel="0" collapsed="false">
      <c r="B43" s="20" t="s">
        <v>124</v>
      </c>
      <c r="C43" s="27"/>
      <c r="D43" s="22" t="s">
        <v>125</v>
      </c>
      <c r="E43" s="25" t="s">
        <v>85</v>
      </c>
    </row>
    <row r="44" customFormat="false" ht="15" hidden="false" customHeight="false" outlineLevel="0" collapsed="false">
      <c r="B44" s="20" t="s">
        <v>126</v>
      </c>
      <c r="C44" s="27"/>
      <c r="D44" s="22" t="s">
        <v>125</v>
      </c>
      <c r="E44" s="25" t="s">
        <v>85</v>
      </c>
    </row>
    <row r="45" customFormat="false" ht="15" hidden="false" customHeight="false" outlineLevel="0" collapsed="false">
      <c r="B45" s="20" t="s">
        <v>127</v>
      </c>
      <c r="C45" s="27"/>
      <c r="D45" s="22" t="s">
        <v>125</v>
      </c>
      <c r="E45" s="25" t="s">
        <v>85</v>
      </c>
    </row>
    <row r="46" customFormat="false" ht="15" hidden="false" customHeight="false" outlineLevel="0" collapsed="false">
      <c r="B46" s="20" t="s">
        <v>128</v>
      </c>
      <c r="C46" s="21"/>
      <c r="D46" s="22" t="s">
        <v>129</v>
      </c>
      <c r="E46" s="25" t="s">
        <v>85</v>
      </c>
    </row>
    <row r="47" customFormat="false" ht="15" hidden="false" customHeight="false" outlineLevel="0" collapsed="false">
      <c r="B47" s="20" t="s">
        <v>130</v>
      </c>
      <c r="C47" s="27"/>
      <c r="D47" s="22" t="s">
        <v>125</v>
      </c>
      <c r="E47" s="25" t="s">
        <v>85</v>
      </c>
    </row>
    <row r="48" customFormat="false" ht="15" hidden="false" customHeight="false" outlineLevel="0" collapsed="false">
      <c r="B48" s="19" t="s">
        <v>131</v>
      </c>
      <c r="C48" s="19"/>
      <c r="D48" s="19"/>
      <c r="E48" s="19"/>
    </row>
    <row r="49" customFormat="false" ht="15" hidden="false" customHeight="false" outlineLevel="0" collapsed="false">
      <c r="B49" s="20" t="s">
        <v>132</v>
      </c>
      <c r="C49" s="24"/>
      <c r="D49" s="22" t="s">
        <v>133</v>
      </c>
      <c r="E49" s="25" t="s">
        <v>85</v>
      </c>
    </row>
    <row r="50" customFormat="false" ht="15" hidden="false" customHeight="false" outlineLevel="0" collapsed="false">
      <c r="B50" s="20" t="s">
        <v>134</v>
      </c>
      <c r="C50" s="24"/>
      <c r="D50" s="22" t="s">
        <v>133</v>
      </c>
      <c r="E50" s="25" t="s">
        <v>85</v>
      </c>
    </row>
    <row r="51" customFormat="false" ht="15" hidden="false" customHeight="false" outlineLevel="0" collapsed="false">
      <c r="B51" s="20" t="s">
        <v>135</v>
      </c>
      <c r="C51" s="24"/>
      <c r="D51" s="22" t="s">
        <v>133</v>
      </c>
      <c r="E51" s="25" t="s">
        <v>85</v>
      </c>
    </row>
    <row r="52" customFormat="false" ht="15" hidden="false" customHeight="false" outlineLevel="0" collapsed="false">
      <c r="B52" s="20" t="s">
        <v>136</v>
      </c>
      <c r="C52" s="24"/>
      <c r="D52" s="22" t="s">
        <v>133</v>
      </c>
      <c r="E52" s="25" t="s">
        <v>85</v>
      </c>
    </row>
    <row r="53" customFormat="false" ht="15" hidden="false" customHeight="false" outlineLevel="0" collapsed="false">
      <c r="B53" s="20" t="s">
        <v>137</v>
      </c>
      <c r="C53" s="24"/>
      <c r="D53" s="22" t="s">
        <v>133</v>
      </c>
      <c r="E53" s="25" t="s">
        <v>85</v>
      </c>
    </row>
    <row r="54" customFormat="false" ht="15" hidden="false" customHeight="false" outlineLevel="0" collapsed="false">
      <c r="B54" s="20" t="s">
        <v>138</v>
      </c>
      <c r="C54" s="26"/>
      <c r="D54" s="22" t="s">
        <v>139</v>
      </c>
      <c r="E54" s="25" t="s">
        <v>85</v>
      </c>
    </row>
    <row r="55" customFormat="false" ht="15" hidden="false" customHeight="false" outlineLevel="0" collapsed="false">
      <c r="B55" s="20" t="s">
        <v>140</v>
      </c>
      <c r="C55" s="21"/>
      <c r="D55" s="22" t="s">
        <v>73</v>
      </c>
      <c r="E55" s="25" t="s">
        <v>85</v>
      </c>
    </row>
    <row r="56" customFormat="false" ht="15" hidden="false" customHeight="false" outlineLevel="0" collapsed="false">
      <c r="B56" s="19" t="s">
        <v>141</v>
      </c>
      <c r="C56" s="19"/>
      <c r="D56" s="19"/>
      <c r="E56" s="19"/>
    </row>
    <row r="57" customFormat="false" ht="15" hidden="false" customHeight="false" outlineLevel="0" collapsed="false">
      <c r="B57" s="20" t="s">
        <v>142</v>
      </c>
      <c r="C57" s="24"/>
      <c r="D57" s="22" t="s">
        <v>84</v>
      </c>
      <c r="E57" s="25" t="s">
        <v>85</v>
      </c>
    </row>
    <row r="58" customFormat="false" ht="15" hidden="false" customHeight="false" outlineLevel="0" collapsed="false">
      <c r="B58" s="20" t="s">
        <v>143</v>
      </c>
      <c r="C58" s="24"/>
      <c r="D58" s="22" t="s">
        <v>84</v>
      </c>
      <c r="E58" s="25" t="s">
        <v>85</v>
      </c>
    </row>
    <row r="59" customFormat="false" ht="15" hidden="false" customHeight="false" outlineLevel="0" collapsed="false">
      <c r="B59" s="20" t="s">
        <v>144</v>
      </c>
      <c r="C59" s="24"/>
      <c r="D59" s="22" t="s">
        <v>84</v>
      </c>
      <c r="E59" s="25" t="s">
        <v>85</v>
      </c>
    </row>
    <row r="60" customFormat="false" ht="15" hidden="false" customHeight="false" outlineLevel="0" collapsed="false">
      <c r="B60" s="19" t="s">
        <v>145</v>
      </c>
      <c r="C60" s="19"/>
      <c r="D60" s="19"/>
      <c r="E60" s="19"/>
    </row>
    <row r="61" customFormat="false" ht="15" hidden="false" customHeight="false" outlineLevel="0" collapsed="false">
      <c r="B61" s="20" t="s">
        <v>146</v>
      </c>
      <c r="C61" s="21"/>
      <c r="D61" s="22" t="s">
        <v>78</v>
      </c>
      <c r="E61" s="25" t="s">
        <v>85</v>
      </c>
    </row>
    <row r="62" customFormat="false" ht="15" hidden="false" customHeight="false" outlineLevel="0" collapsed="false">
      <c r="B62" s="20" t="s">
        <v>147</v>
      </c>
      <c r="C62" s="21"/>
      <c r="D62" s="22" t="s">
        <v>78</v>
      </c>
      <c r="E62" s="25" t="s">
        <v>85</v>
      </c>
    </row>
    <row r="63" customFormat="false" ht="15" hidden="false" customHeight="false" outlineLevel="0" collapsed="false">
      <c r="B63" s="20" t="s">
        <v>148</v>
      </c>
      <c r="C63" s="21"/>
      <c r="D63" s="22" t="s">
        <v>78</v>
      </c>
      <c r="E63" s="25" t="s">
        <v>85</v>
      </c>
    </row>
    <row r="64" customFormat="false" ht="15" hidden="false" customHeight="false" outlineLevel="0" collapsed="false">
      <c r="B64" s="19" t="s">
        <v>149</v>
      </c>
      <c r="C64" s="19"/>
      <c r="D64" s="19"/>
      <c r="E64" s="19"/>
    </row>
    <row r="65" customFormat="false" ht="15" hidden="false" customHeight="false" outlineLevel="0" collapsed="false">
      <c r="B65" s="20" t="s">
        <v>150</v>
      </c>
      <c r="C65" s="21"/>
      <c r="D65" s="22" t="s">
        <v>151</v>
      </c>
      <c r="E65" s="23" t="s">
        <v>152</v>
      </c>
    </row>
    <row r="66" customFormat="false" ht="15" hidden="false" customHeight="false" outlineLevel="0" collapsed="false">
      <c r="B66" s="20" t="s">
        <v>153</v>
      </c>
      <c r="C66" s="28"/>
      <c r="D66" s="22" t="s">
        <v>88</v>
      </c>
      <c r="E66" s="23" t="s">
        <v>154</v>
      </c>
    </row>
    <row r="67" customFormat="false" ht="15" hidden="false" customHeight="false" outlineLevel="0" collapsed="false">
      <c r="B67" s="20" t="s">
        <v>155</v>
      </c>
      <c r="C67" s="21"/>
      <c r="D67" s="22" t="s">
        <v>78</v>
      </c>
      <c r="E67" s="23" t="s">
        <v>154</v>
      </c>
    </row>
    <row r="68" customFormat="false" ht="15" hidden="false" customHeight="false" outlineLevel="0" collapsed="false">
      <c r="B68" s="20" t="s">
        <v>156</v>
      </c>
      <c r="C68" s="28"/>
      <c r="D68" s="22" t="s">
        <v>157</v>
      </c>
      <c r="E68" s="23" t="s">
        <v>154</v>
      </c>
    </row>
    <row r="69" customFormat="false" ht="15" hidden="false" customHeight="false" outlineLevel="0" collapsed="false">
      <c r="B69" s="20" t="s">
        <v>158</v>
      </c>
      <c r="C69" s="21"/>
      <c r="D69" s="22" t="s">
        <v>159</v>
      </c>
      <c r="E69" s="23" t="s">
        <v>160</v>
      </c>
    </row>
    <row r="70" customFormat="false" ht="15" hidden="false" customHeight="false" outlineLevel="0" collapsed="false">
      <c r="B70" s="20" t="s">
        <v>161</v>
      </c>
      <c r="C70" s="28"/>
      <c r="D70" s="22" t="s">
        <v>88</v>
      </c>
      <c r="E70" s="23" t="s">
        <v>160</v>
      </c>
    </row>
    <row r="71" customFormat="false" ht="15" hidden="false" customHeight="false" outlineLevel="0" collapsed="false">
      <c r="B71" s="20" t="s">
        <v>162</v>
      </c>
      <c r="C71" s="21"/>
      <c r="D71" s="22" t="s">
        <v>163</v>
      </c>
      <c r="E71" s="23" t="s">
        <v>154</v>
      </c>
    </row>
    <row r="72" customFormat="false" ht="15" hidden="false" customHeight="false" outlineLevel="0" collapsed="false">
      <c r="B72" s="19" t="s">
        <v>164</v>
      </c>
      <c r="C72" s="19"/>
      <c r="D72" s="19"/>
      <c r="E72" s="19"/>
    </row>
    <row r="73" customFormat="false" ht="15" hidden="false" customHeight="false" outlineLevel="0" collapsed="false">
      <c r="B73" s="20" t="s">
        <v>165</v>
      </c>
      <c r="C73" s="21"/>
      <c r="D73" s="22" t="s">
        <v>78</v>
      </c>
      <c r="E73" s="23" t="s">
        <v>79</v>
      </c>
    </row>
    <row r="74" customFormat="false" ht="15" hidden="false" customHeight="false" outlineLevel="0" collapsed="false">
      <c r="B74" s="19" t="s">
        <v>166</v>
      </c>
      <c r="C74" s="19"/>
      <c r="D74" s="19"/>
      <c r="E74" s="19"/>
    </row>
    <row r="75" customFormat="false" ht="15" hidden="false" customHeight="false" outlineLevel="0" collapsed="false">
      <c r="B75" s="6" t="s">
        <v>167</v>
      </c>
      <c r="C75" s="29" t="n">
        <f aca="false">SUM($C$14,$C$15,$C$16,$C$17,$C$18,$C$19,$C$20,$C$21)</f>
        <v>0</v>
      </c>
      <c r="D75" s="30" t="s">
        <v>88</v>
      </c>
    </row>
    <row r="76" customFormat="false" ht="15" hidden="false" customHeight="false" outlineLevel="0" collapsed="false">
      <c r="B76" s="31" t="s">
        <v>168</v>
      </c>
      <c r="C76" s="29" t="n">
        <f aca="false">SUM($C$14,$C$15,$C$16,$C$17,$C$18)</f>
        <v>0</v>
      </c>
      <c r="D76" s="30" t="s">
        <v>88</v>
      </c>
    </row>
    <row r="77" customFormat="false" ht="15" hidden="false" customHeight="false" outlineLevel="0" collapsed="false">
      <c r="B77" s="31" t="s">
        <v>169</v>
      </c>
      <c r="C77" s="29" t="n">
        <f aca="false">$C$75*$C$23</f>
        <v>0</v>
      </c>
      <c r="D77" s="30" t="s">
        <v>88</v>
      </c>
    </row>
    <row r="78" customFormat="false" ht="15" hidden="false" customHeight="false" outlineLevel="0" collapsed="false">
      <c r="B78" s="31" t="s">
        <v>170</v>
      </c>
      <c r="C78" s="29" t="n">
        <f aca="false">$C$75-$C$77</f>
        <v>0</v>
      </c>
      <c r="D78" s="30" t="s">
        <v>88</v>
      </c>
    </row>
    <row r="79" customFormat="false" ht="15" hidden="false" customHeight="false" outlineLevel="0" collapsed="false">
      <c r="B79" s="31" t="s">
        <v>171</v>
      </c>
      <c r="C79" s="29" t="n">
        <f aca="false">MIN($C$76*$C$65,$C$66)</f>
        <v>0</v>
      </c>
      <c r="D79" s="30" t="s">
        <v>88</v>
      </c>
    </row>
  </sheetData>
  <mergeCells count="14">
    <mergeCell ref="B1:E1"/>
    <mergeCell ref="B2:E2"/>
    <mergeCell ref="B5:E5"/>
    <mergeCell ref="B13:E13"/>
    <mergeCell ref="B22:E22"/>
    <mergeCell ref="B29:E29"/>
    <mergeCell ref="B36:E36"/>
    <mergeCell ref="B42:E42"/>
    <mergeCell ref="B48:E48"/>
    <mergeCell ref="B56:E56"/>
    <mergeCell ref="B60:E60"/>
    <mergeCell ref="B64:E64"/>
    <mergeCell ref="B72:E72"/>
    <mergeCell ref="B74:E74"/>
  </mergeCells>
  <hyperlinks>
    <hyperlink ref="E6" r:id="rId1" display="s.115BAA 22% (eff. 25.17%); s.115BAB 15% (eff. 17.16%, sunset 31-Mar-2024) – ClearTax"/>
    <hyperlink ref="E7" r:id="rId2" display="Corporate tax – Income Tax Dept (domestic company rates, AY 2025-26)"/>
    <hyperlink ref="E8" r:id="rId3" display="Analyst estimate aligned to RBI CPI target band (4% ±2%)"/>
    <hyperlink ref="E9" r:id="rId4" display="Analyst estimate aligned to RBI CPI target band (4% ±2%)"/>
    <hyperlink ref="E10" r:id="rId5" display="Analyst estimate aligned to RBI CPI target band (4% ±2%)"/>
    <hyperlink ref="E11" r:id="rId6" display="Analyst estimate aligned to RBI CPI target band (4% ±2%)"/>
    <hyperlink ref="E23" r:id="rId7" display="CGTMSE collateral-free credit guarantee up to ₹5 cr (raised to ₹10 cr, Budget 2025) – MoMSME/SIDBI"/>
    <hyperlink ref="E24" r:id="rId8" display="MSME term-loan / working-capital rates &amp; RBI repo (~6.5% early-2026; term loans ~9-11%) – 2026 survey"/>
    <hyperlink ref="E25" r:id="rId9" display="MSME term-loan / working-capital rates &amp; RBI repo (~6.5% early-2026; term loans ~9-11%) – 2026 survey"/>
    <hyperlink ref="E26" r:id="rId10" display="MSME term-loan / working-capital rates &amp; RBI repo (~6.5% early-2026; term loans ~9-11%) – 2026 survey"/>
    <hyperlink ref="E27" r:id="rId11" display="MSME term-loan / working-capital rates &amp; RBI repo (~6.5% early-2026; term loans ~9-11%) – 2026 survey"/>
    <hyperlink ref="E28" r:id="rId12" display="CGTMSE collateral-free credit guarantee up to ₹5 cr (raised to ₹10 cr, Budget 2025) – MoMSME/SIDBI"/>
    <hyperlink ref="E65" r:id="rId13" display="Aatmanirbhar Gujarat Scheme for MSMEs 2022-27 (capital + interest subsidy) – myScheme (GoI)"/>
    <hyperlink ref="E66" r:id="rId14" display="Aatmanirbhar Gujarat incentives: capital + 7% interest subsidy, net-SGST &amp; EPF reimbursement – EY / IPF"/>
    <hyperlink ref="E67" r:id="rId15" display="Aatmanirbhar Gujarat incentives: capital + 7% interest subsidy, net-SGST &amp; EPF reimbursement – EY / IPF"/>
    <hyperlink ref="E68" r:id="rId16" display="Aatmanirbhar Gujarat incentives: capital + 7% interest subsidy, net-SGST &amp; EPF reimbursement – EY / IPF"/>
    <hyperlink ref="E69" r:id="rId17" display="PMFME – 35% credit-linked capital subsidy up to ₹10 lakh (micro food units) – MoFPI / myScheme"/>
    <hyperlink ref="E70" r:id="rId18" display="PMFME – 35% credit-linked capital subsidy up to ₹10 lakh (micro food units) – MoFPI / myScheme"/>
    <hyperlink ref="E71" r:id="rId19" display="Aatmanirbhar Gujarat incentives: capital + 7% interest subsidy, net-SGST &amp; EPF reimbursement – EY / IPF"/>
    <hyperlink ref="E73" r:id="rId20" display="Analyst estimate aligned to RBI CPI target band (4% ±2%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40"/>
  </cols>
  <sheetData>
    <row r="1" customFormat="false" ht="24" hidden="false" customHeight="true" outlineLevel="0" collapsed="false">
      <c r="B1" s="32" t="s">
        <v>172</v>
      </c>
      <c r="C1" s="32"/>
      <c r="D1" s="32"/>
      <c r="E1" s="32"/>
    </row>
    <row r="3" customFormat="false" ht="15" hidden="false" customHeight="false" outlineLevel="0" collapsed="false">
      <c r="B3" s="33" t="s">
        <v>173</v>
      </c>
      <c r="C3" s="33"/>
      <c r="D3" s="33"/>
      <c r="E3" s="33"/>
    </row>
    <row r="4" customFormat="false" ht="15" hidden="false" customHeight="false" outlineLevel="0" collapsed="false">
      <c r="B4" s="34" t="s">
        <v>87</v>
      </c>
      <c r="C4" s="35" t="n">
        <f aca="false">IFERROR(Assumptions!$C$14,0)</f>
        <v>0</v>
      </c>
      <c r="D4" s="36" t="s">
        <v>88</v>
      </c>
      <c r="E4" s="37"/>
    </row>
    <row r="5" customFormat="false" ht="15" hidden="false" customHeight="false" outlineLevel="0" collapsed="false">
      <c r="B5" s="34" t="s">
        <v>174</v>
      </c>
      <c r="C5" s="35" t="n">
        <f aca="false">IFERROR(Assumptions!$C$15,0)</f>
        <v>0</v>
      </c>
      <c r="D5" s="36" t="s">
        <v>88</v>
      </c>
      <c r="E5" s="37"/>
    </row>
    <row r="6" customFormat="false" ht="15" hidden="false" customHeight="false" outlineLevel="0" collapsed="false">
      <c r="B6" s="34" t="s">
        <v>175</v>
      </c>
      <c r="C6" s="35" t="n">
        <f aca="false">IFERROR(Assumptions!$C$16,0)</f>
        <v>0</v>
      </c>
      <c r="D6" s="36" t="s">
        <v>88</v>
      </c>
      <c r="E6" s="37"/>
    </row>
    <row r="7" customFormat="false" ht="15" hidden="false" customHeight="false" outlineLevel="0" collapsed="false">
      <c r="B7" s="34" t="s">
        <v>176</v>
      </c>
      <c r="C7" s="35" t="n">
        <f aca="false">IFERROR(Assumptions!$C$17,0)</f>
        <v>0</v>
      </c>
      <c r="D7" s="36" t="s">
        <v>88</v>
      </c>
      <c r="E7" s="37"/>
    </row>
    <row r="8" customFormat="false" ht="15" hidden="false" customHeight="false" outlineLevel="0" collapsed="false">
      <c r="B8" s="34" t="s">
        <v>92</v>
      </c>
      <c r="C8" s="35" t="n">
        <f aca="false">IFERROR(Assumptions!$C$18,0)</f>
        <v>0</v>
      </c>
      <c r="D8" s="36" t="s">
        <v>88</v>
      </c>
      <c r="E8" s="37"/>
    </row>
    <row r="9" customFormat="false" ht="15" hidden="false" customHeight="false" outlineLevel="0" collapsed="false">
      <c r="B9" s="34" t="s">
        <v>177</v>
      </c>
      <c r="C9" s="35" t="n">
        <f aca="false">IFERROR(Assumptions!$C$19,0)</f>
        <v>0</v>
      </c>
      <c r="D9" s="36" t="s">
        <v>88</v>
      </c>
      <c r="E9" s="37"/>
    </row>
    <row r="10" customFormat="false" ht="15" hidden="false" customHeight="false" outlineLevel="0" collapsed="false">
      <c r="B10" s="34" t="s">
        <v>178</v>
      </c>
      <c r="C10" s="35" t="n">
        <f aca="false">IFERROR(Assumptions!$C$20,0)</f>
        <v>0</v>
      </c>
      <c r="D10" s="36" t="s">
        <v>88</v>
      </c>
      <c r="E10" s="37"/>
    </row>
    <row r="11" customFormat="false" ht="15" hidden="false" customHeight="false" outlineLevel="0" collapsed="false">
      <c r="B11" s="34" t="s">
        <v>95</v>
      </c>
      <c r="C11" s="35" t="n">
        <f aca="false">IFERROR(Assumptions!$C$21,0)</f>
        <v>0</v>
      </c>
      <c r="D11" s="36" t="s">
        <v>88</v>
      </c>
      <c r="E11" s="37"/>
    </row>
    <row r="12" customFormat="false" ht="15" hidden="false" customHeight="false" outlineLevel="0" collapsed="false">
      <c r="B12" s="38" t="s">
        <v>167</v>
      </c>
      <c r="C12" s="39" t="n">
        <f aca="false">IFERROR(Assumptions!$C$75,0)</f>
        <v>0</v>
      </c>
      <c r="D12" s="40" t="s">
        <v>88</v>
      </c>
      <c r="E12" s="41"/>
    </row>
    <row r="14" customFormat="false" ht="15" hidden="false" customHeight="false" outlineLevel="0" collapsed="false">
      <c r="B14" s="33" t="s">
        <v>179</v>
      </c>
      <c r="C14" s="33"/>
      <c r="D14" s="33"/>
      <c r="E14" s="33"/>
    </row>
    <row r="15" customFormat="false" ht="15" hidden="false" customHeight="false" outlineLevel="0" collapsed="false">
      <c r="B15" s="34" t="s">
        <v>169</v>
      </c>
      <c r="C15" s="35" t="n">
        <f aca="false">IFERROR(Assumptions!$C$77,0)</f>
        <v>0</v>
      </c>
      <c r="D15" s="36" t="s">
        <v>88</v>
      </c>
      <c r="E15" s="37" t="s">
        <v>180</v>
      </c>
    </row>
    <row r="16" customFormat="false" ht="15" hidden="false" customHeight="false" outlineLevel="0" collapsed="false">
      <c r="B16" s="34" t="s">
        <v>181</v>
      </c>
      <c r="C16" s="35" t="n">
        <f aca="false">IFERROR(Assumptions!$C$78,0)</f>
        <v>0</v>
      </c>
      <c r="D16" s="36" t="s">
        <v>88</v>
      </c>
      <c r="E16" s="37" t="s">
        <v>182</v>
      </c>
    </row>
    <row r="17" customFormat="false" ht="15" hidden="false" customHeight="false" outlineLevel="0" collapsed="false">
      <c r="B17" s="38" t="s">
        <v>183</v>
      </c>
      <c r="C17" s="39" t="n">
        <f aca="false">IFERROR(C15+C16,0)</f>
        <v>0</v>
      </c>
      <c r="D17" s="40" t="s">
        <v>88</v>
      </c>
      <c r="E17" s="41"/>
    </row>
    <row r="18" customFormat="false" ht="15" hidden="false" customHeight="false" outlineLevel="0" collapsed="false">
      <c r="B18" s="42" t="s">
        <v>184</v>
      </c>
      <c r="C18" s="43" t="str">
        <f aca="false">IFERROR(C16/C15,"")</f>
        <v/>
      </c>
    </row>
    <row r="19" customFormat="false" ht="15" hidden="false" customHeight="false" outlineLevel="0" collapsed="false">
      <c r="B19" s="42" t="s">
        <v>185</v>
      </c>
      <c r="C19" s="44" t="str">
        <f aca="false">IFERROR(C15/C12,"")</f>
        <v/>
      </c>
    </row>
    <row r="21" customFormat="false" ht="15" hidden="false" customHeight="false" outlineLevel="0" collapsed="false">
      <c r="B21" s="33" t="s">
        <v>186</v>
      </c>
      <c r="C21" s="33"/>
      <c r="D21" s="33"/>
      <c r="E21" s="33"/>
    </row>
    <row r="22" customFormat="false" ht="15" hidden="false" customHeight="false" outlineLevel="0" collapsed="false">
      <c r="B22" s="34" t="s">
        <v>187</v>
      </c>
      <c r="C22" s="35" t="n">
        <f aca="false">IFERROR(Assumptions!$C$79,0)</f>
        <v>0</v>
      </c>
      <c r="D22" s="36" t="s">
        <v>88</v>
      </c>
      <c r="E22" s="37" t="s">
        <v>188</v>
      </c>
    </row>
    <row r="23" customFormat="false" ht="15" hidden="false" customHeight="false" outlineLevel="0" collapsed="false">
      <c r="B23" s="34" t="s">
        <v>189</v>
      </c>
      <c r="C23" s="35" t="n">
        <f aca="false">IFERROR(SUM('Loan Schedule'!C12:BJ12),0)</f>
        <v>0</v>
      </c>
      <c r="D23" s="36" t="s">
        <v>88</v>
      </c>
      <c r="E23" s="37" t="s">
        <v>190</v>
      </c>
    </row>
    <row r="24" customFormat="false" ht="15" hidden="false" customHeight="false" outlineLevel="0" collapsed="false">
      <c r="B24" s="34" t="s">
        <v>191</v>
      </c>
      <c r="C24" s="35" t="n">
        <f aca="false">IFERROR(MIN(Assumptions!$C$75*Assumptions!$C$69,Assumptions!$C$70),0)</f>
        <v>0</v>
      </c>
      <c r="D24" s="36" t="s">
        <v>88</v>
      </c>
      <c r="E24" s="37" t="s">
        <v>192</v>
      </c>
    </row>
    <row r="25" customFormat="false" ht="15" hidden="false" customHeight="false" outlineLevel="0" collapsed="false">
      <c r="B25" s="38" t="s">
        <v>193</v>
      </c>
      <c r="C25" s="39" t="n">
        <f aca="false">IFERROR(Assumptions!$C$79+C23,0)</f>
        <v>0</v>
      </c>
      <c r="D25" s="40" t="s">
        <v>88</v>
      </c>
      <c r="E25" s="41"/>
    </row>
    <row r="27" customFormat="false" ht="15" hidden="false" customHeight="true" outlineLevel="0" collapsed="false">
      <c r="B27" s="15" t="s">
        <v>194</v>
      </c>
      <c r="C27" s="15"/>
      <c r="D27" s="15"/>
      <c r="E27" s="15"/>
    </row>
    <row r="28" customFormat="false" ht="15" hidden="false" customHeight="false" outlineLevel="0" collapsed="false">
      <c r="B28" s="15"/>
      <c r="C28" s="15"/>
      <c r="D28" s="15"/>
      <c r="E28" s="15"/>
    </row>
  </sheetData>
  <mergeCells count="5">
    <mergeCell ref="B1:E1"/>
    <mergeCell ref="B3:E3"/>
    <mergeCell ref="B14:E14"/>
    <mergeCell ref="B21:E21"/>
    <mergeCell ref="B27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2" min="2" style="0" width="11"/>
  </cols>
  <sheetData>
    <row r="1" customFormat="false" ht="24" hidden="false" customHeight="true" outlineLevel="0" collapsed="false">
      <c r="A1" s="32" t="s">
        <v>195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</row>
    <row r="2" customFormat="false" ht="15" hidden="false" customHeight="false" outlineLevel="0" collapsed="false">
      <c r="A2" s="37" t="s">
        <v>196</v>
      </c>
    </row>
    <row r="3" customFormat="false" ht="15" hidden="false" customHeight="false" outlineLevel="0" collapsed="false">
      <c r="A3" s="45" t="s">
        <v>197</v>
      </c>
      <c r="C3" s="46" t="n">
        <v>1</v>
      </c>
      <c r="D3" s="46" t="n">
        <v>2</v>
      </c>
      <c r="E3" s="46" t="n">
        <v>3</v>
      </c>
      <c r="F3" s="46" t="n">
        <v>4</v>
      </c>
      <c r="G3" s="46" t="n">
        <v>5</v>
      </c>
      <c r="H3" s="46" t="n">
        <v>6</v>
      </c>
      <c r="I3" s="46" t="n">
        <v>7</v>
      </c>
      <c r="J3" s="46" t="n">
        <v>8</v>
      </c>
      <c r="K3" s="46" t="n">
        <v>9</v>
      </c>
      <c r="L3" s="46" t="n">
        <v>10</v>
      </c>
      <c r="M3" s="46" t="n">
        <v>11</v>
      </c>
      <c r="N3" s="46" t="n">
        <v>12</v>
      </c>
      <c r="O3" s="46" t="n">
        <v>13</v>
      </c>
      <c r="P3" s="46" t="n">
        <v>14</v>
      </c>
      <c r="Q3" s="46" t="n">
        <v>15</v>
      </c>
      <c r="R3" s="46" t="n">
        <v>16</v>
      </c>
      <c r="S3" s="46" t="n">
        <v>17</v>
      </c>
      <c r="T3" s="46" t="n">
        <v>18</v>
      </c>
      <c r="U3" s="46" t="n">
        <v>19</v>
      </c>
      <c r="V3" s="46" t="n">
        <v>20</v>
      </c>
      <c r="W3" s="46" t="n">
        <v>21</v>
      </c>
      <c r="X3" s="46" t="n">
        <v>22</v>
      </c>
      <c r="Y3" s="46" t="n">
        <v>23</v>
      </c>
      <c r="Z3" s="46" t="n">
        <v>24</v>
      </c>
      <c r="AA3" s="46" t="n">
        <v>25</v>
      </c>
      <c r="AB3" s="46" t="n">
        <v>26</v>
      </c>
      <c r="AC3" s="46" t="n">
        <v>27</v>
      </c>
      <c r="AD3" s="46" t="n">
        <v>28</v>
      </c>
      <c r="AE3" s="46" t="n">
        <v>29</v>
      </c>
      <c r="AF3" s="46" t="n">
        <v>30</v>
      </c>
      <c r="AG3" s="46" t="n">
        <v>31</v>
      </c>
      <c r="AH3" s="46" t="n">
        <v>32</v>
      </c>
      <c r="AI3" s="46" t="n">
        <v>33</v>
      </c>
      <c r="AJ3" s="46" t="n">
        <v>34</v>
      </c>
      <c r="AK3" s="46" t="n">
        <v>35</v>
      </c>
      <c r="AL3" s="46" t="n">
        <v>36</v>
      </c>
      <c r="AM3" s="46" t="n">
        <v>37</v>
      </c>
      <c r="AN3" s="46" t="n">
        <v>38</v>
      </c>
      <c r="AO3" s="46" t="n">
        <v>39</v>
      </c>
      <c r="AP3" s="46" t="n">
        <v>40</v>
      </c>
      <c r="AQ3" s="46" t="n">
        <v>41</v>
      </c>
      <c r="AR3" s="46" t="n">
        <v>42</v>
      </c>
      <c r="AS3" s="46" t="n">
        <v>43</v>
      </c>
      <c r="AT3" s="46" t="n">
        <v>44</v>
      </c>
      <c r="AU3" s="46" t="n">
        <v>45</v>
      </c>
      <c r="AV3" s="46" t="n">
        <v>46</v>
      </c>
      <c r="AW3" s="46" t="n">
        <v>47</v>
      </c>
      <c r="AX3" s="46" t="n">
        <v>48</v>
      </c>
      <c r="AY3" s="46" t="n">
        <v>49</v>
      </c>
      <c r="AZ3" s="46" t="n">
        <v>50</v>
      </c>
      <c r="BA3" s="46" t="n">
        <v>51</v>
      </c>
      <c r="BB3" s="46" t="n">
        <v>52</v>
      </c>
      <c r="BC3" s="46" t="n">
        <v>53</v>
      </c>
      <c r="BD3" s="46" t="n">
        <v>54</v>
      </c>
      <c r="BE3" s="46" t="n">
        <v>55</v>
      </c>
      <c r="BF3" s="46" t="n">
        <v>56</v>
      </c>
      <c r="BG3" s="46" t="n">
        <v>57</v>
      </c>
      <c r="BH3" s="46" t="n">
        <v>58</v>
      </c>
      <c r="BI3" s="46" t="n">
        <v>59</v>
      </c>
      <c r="BJ3" s="46" t="n">
        <v>60</v>
      </c>
    </row>
    <row r="4" customFormat="false" ht="15" hidden="false" customHeight="false" outlineLevel="0" collapsed="false">
      <c r="A4" s="45" t="s">
        <v>198</v>
      </c>
      <c r="C4" s="47" t="s">
        <v>199</v>
      </c>
      <c r="D4" s="47" t="s">
        <v>199</v>
      </c>
      <c r="E4" s="47" t="s">
        <v>199</v>
      </c>
      <c r="F4" s="47" t="s">
        <v>199</v>
      </c>
      <c r="G4" s="47" t="s">
        <v>199</v>
      </c>
      <c r="H4" s="47" t="s">
        <v>199</v>
      </c>
      <c r="I4" s="47" t="s">
        <v>199</v>
      </c>
      <c r="J4" s="47" t="s">
        <v>199</v>
      </c>
      <c r="K4" s="47" t="s">
        <v>199</v>
      </c>
      <c r="L4" s="47" t="s">
        <v>199</v>
      </c>
      <c r="M4" s="47" t="s">
        <v>199</v>
      </c>
      <c r="N4" s="47" t="s">
        <v>199</v>
      </c>
      <c r="O4" s="48" t="s">
        <v>200</v>
      </c>
      <c r="P4" s="48" t="s">
        <v>200</v>
      </c>
      <c r="Q4" s="48" t="s">
        <v>200</v>
      </c>
      <c r="R4" s="48" t="s">
        <v>200</v>
      </c>
      <c r="S4" s="48" t="s">
        <v>200</v>
      </c>
      <c r="T4" s="48" t="s">
        <v>200</v>
      </c>
      <c r="U4" s="48" t="s">
        <v>200</v>
      </c>
      <c r="V4" s="48" t="s">
        <v>200</v>
      </c>
      <c r="W4" s="48" t="s">
        <v>200</v>
      </c>
      <c r="X4" s="48" t="s">
        <v>200</v>
      </c>
      <c r="Y4" s="48" t="s">
        <v>200</v>
      </c>
      <c r="Z4" s="48" t="s">
        <v>200</v>
      </c>
      <c r="AA4" s="47" t="s">
        <v>201</v>
      </c>
      <c r="AB4" s="47" t="s">
        <v>201</v>
      </c>
      <c r="AC4" s="47" t="s">
        <v>201</v>
      </c>
      <c r="AD4" s="47" t="s">
        <v>201</v>
      </c>
      <c r="AE4" s="47" t="s">
        <v>201</v>
      </c>
      <c r="AF4" s="47" t="s">
        <v>201</v>
      </c>
      <c r="AG4" s="47" t="s">
        <v>201</v>
      </c>
      <c r="AH4" s="47" t="s">
        <v>201</v>
      </c>
      <c r="AI4" s="47" t="s">
        <v>201</v>
      </c>
      <c r="AJ4" s="47" t="s">
        <v>201</v>
      </c>
      <c r="AK4" s="47" t="s">
        <v>201</v>
      </c>
      <c r="AL4" s="47" t="s">
        <v>201</v>
      </c>
      <c r="AM4" s="48" t="s">
        <v>202</v>
      </c>
      <c r="AN4" s="48" t="s">
        <v>202</v>
      </c>
      <c r="AO4" s="48" t="s">
        <v>202</v>
      </c>
      <c r="AP4" s="48" t="s">
        <v>202</v>
      </c>
      <c r="AQ4" s="48" t="s">
        <v>202</v>
      </c>
      <c r="AR4" s="48" t="s">
        <v>202</v>
      </c>
      <c r="AS4" s="48" t="s">
        <v>202</v>
      </c>
      <c r="AT4" s="48" t="s">
        <v>202</v>
      </c>
      <c r="AU4" s="48" t="s">
        <v>202</v>
      </c>
      <c r="AV4" s="48" t="s">
        <v>202</v>
      </c>
      <c r="AW4" s="48" t="s">
        <v>202</v>
      </c>
      <c r="AX4" s="48" t="s">
        <v>202</v>
      </c>
      <c r="AY4" s="47" t="s">
        <v>203</v>
      </c>
      <c r="AZ4" s="47" t="s">
        <v>203</v>
      </c>
      <c r="BA4" s="47" t="s">
        <v>203</v>
      </c>
      <c r="BB4" s="47" t="s">
        <v>203</v>
      </c>
      <c r="BC4" s="47" t="s">
        <v>203</v>
      </c>
      <c r="BD4" s="47" t="s">
        <v>203</v>
      </c>
      <c r="BE4" s="47" t="s">
        <v>203</v>
      </c>
      <c r="BF4" s="47" t="s">
        <v>203</v>
      </c>
      <c r="BG4" s="47" t="s">
        <v>203</v>
      </c>
      <c r="BH4" s="47" t="s">
        <v>203</v>
      </c>
      <c r="BI4" s="47" t="s">
        <v>203</v>
      </c>
      <c r="BJ4" s="47" t="s">
        <v>203</v>
      </c>
    </row>
    <row r="6" customFormat="false" ht="15" hidden="false" customHeight="false" outlineLevel="0" collapsed="false">
      <c r="A6" s="6" t="s">
        <v>204</v>
      </c>
      <c r="B6" s="49" t="s">
        <v>88</v>
      </c>
      <c r="C6" s="50" t="n">
        <f aca="false">IFERROR(Assumptions!$C$78,0)</f>
        <v>0</v>
      </c>
      <c r="D6" s="50" t="n">
        <f aca="false">IFERROR(C10,0)</f>
        <v>0</v>
      </c>
      <c r="E6" s="50" t="n">
        <f aca="false">IFERROR(D10,0)</f>
        <v>0</v>
      </c>
      <c r="F6" s="50" t="n">
        <f aca="false">IFERROR(E10,0)</f>
        <v>0</v>
      </c>
      <c r="G6" s="50" t="n">
        <f aca="false">IFERROR(F10,0)</f>
        <v>0</v>
      </c>
      <c r="H6" s="50" t="n">
        <f aca="false">IFERROR(G10,0)</f>
        <v>0</v>
      </c>
      <c r="I6" s="50" t="n">
        <f aca="false">IFERROR(H10,0)</f>
        <v>0</v>
      </c>
      <c r="J6" s="50" t="n">
        <f aca="false">IFERROR(I10,0)</f>
        <v>0</v>
      </c>
      <c r="K6" s="50" t="n">
        <f aca="false">IFERROR(J10,0)</f>
        <v>0</v>
      </c>
      <c r="L6" s="50" t="n">
        <f aca="false">IFERROR(K10,0)</f>
        <v>0</v>
      </c>
      <c r="M6" s="50" t="n">
        <f aca="false">IFERROR(L10,0)</f>
        <v>0</v>
      </c>
      <c r="N6" s="50" t="n">
        <f aca="false">IFERROR(M10,0)</f>
        <v>0</v>
      </c>
      <c r="O6" s="50" t="n">
        <f aca="false">IFERROR(N10,0)</f>
        <v>0</v>
      </c>
      <c r="P6" s="50" t="n">
        <f aca="false">IFERROR(O10,0)</f>
        <v>0</v>
      </c>
      <c r="Q6" s="50" t="n">
        <f aca="false">IFERROR(P10,0)</f>
        <v>0</v>
      </c>
      <c r="R6" s="50" t="n">
        <f aca="false">IFERROR(Q10,0)</f>
        <v>0</v>
      </c>
      <c r="S6" s="50" t="n">
        <f aca="false">IFERROR(R10,0)</f>
        <v>0</v>
      </c>
      <c r="T6" s="50" t="n">
        <f aca="false">IFERROR(S10,0)</f>
        <v>0</v>
      </c>
      <c r="U6" s="50" t="n">
        <f aca="false">IFERROR(T10,0)</f>
        <v>0</v>
      </c>
      <c r="V6" s="50" t="n">
        <f aca="false">IFERROR(U10,0)</f>
        <v>0</v>
      </c>
      <c r="W6" s="50" t="n">
        <f aca="false">IFERROR(V10,0)</f>
        <v>0</v>
      </c>
      <c r="X6" s="50" t="n">
        <f aca="false">IFERROR(W10,0)</f>
        <v>0</v>
      </c>
      <c r="Y6" s="50" t="n">
        <f aca="false">IFERROR(X10,0)</f>
        <v>0</v>
      </c>
      <c r="Z6" s="50" t="n">
        <f aca="false">IFERROR(Y10,0)</f>
        <v>0</v>
      </c>
      <c r="AA6" s="50" t="n">
        <f aca="false">IFERROR(Z10,0)</f>
        <v>0</v>
      </c>
      <c r="AB6" s="50" t="n">
        <f aca="false">IFERROR(AA10,0)</f>
        <v>0</v>
      </c>
      <c r="AC6" s="50" t="n">
        <f aca="false">IFERROR(AB10,0)</f>
        <v>0</v>
      </c>
      <c r="AD6" s="50" t="n">
        <f aca="false">IFERROR(AC10,0)</f>
        <v>0</v>
      </c>
      <c r="AE6" s="50" t="n">
        <f aca="false">IFERROR(AD10,0)</f>
        <v>0</v>
      </c>
      <c r="AF6" s="50" t="n">
        <f aca="false">IFERROR(AE10,0)</f>
        <v>0</v>
      </c>
      <c r="AG6" s="50" t="n">
        <f aca="false">IFERROR(AF10,0)</f>
        <v>0</v>
      </c>
      <c r="AH6" s="50" t="n">
        <f aca="false">IFERROR(AG10,0)</f>
        <v>0</v>
      </c>
      <c r="AI6" s="50" t="n">
        <f aca="false">IFERROR(AH10,0)</f>
        <v>0</v>
      </c>
      <c r="AJ6" s="50" t="n">
        <f aca="false">IFERROR(AI10,0)</f>
        <v>0</v>
      </c>
      <c r="AK6" s="50" t="n">
        <f aca="false">IFERROR(AJ10,0)</f>
        <v>0</v>
      </c>
      <c r="AL6" s="50" t="n">
        <f aca="false">IFERROR(AK10,0)</f>
        <v>0</v>
      </c>
      <c r="AM6" s="50" t="n">
        <f aca="false">IFERROR(AL10,0)</f>
        <v>0</v>
      </c>
      <c r="AN6" s="50" t="n">
        <f aca="false">IFERROR(AM10,0)</f>
        <v>0</v>
      </c>
      <c r="AO6" s="50" t="n">
        <f aca="false">IFERROR(AN10,0)</f>
        <v>0</v>
      </c>
      <c r="AP6" s="50" t="n">
        <f aca="false">IFERROR(AO10,0)</f>
        <v>0</v>
      </c>
      <c r="AQ6" s="50" t="n">
        <f aca="false">IFERROR(AP10,0)</f>
        <v>0</v>
      </c>
      <c r="AR6" s="50" t="n">
        <f aca="false">IFERROR(AQ10,0)</f>
        <v>0</v>
      </c>
      <c r="AS6" s="50" t="n">
        <f aca="false">IFERROR(AR10,0)</f>
        <v>0</v>
      </c>
      <c r="AT6" s="50" t="n">
        <f aca="false">IFERROR(AS10,0)</f>
        <v>0</v>
      </c>
      <c r="AU6" s="50" t="n">
        <f aca="false">IFERROR(AT10,0)</f>
        <v>0</v>
      </c>
      <c r="AV6" s="50" t="n">
        <f aca="false">IFERROR(AU10,0)</f>
        <v>0</v>
      </c>
      <c r="AW6" s="50" t="n">
        <f aca="false">IFERROR(AV10,0)</f>
        <v>0</v>
      </c>
      <c r="AX6" s="50" t="n">
        <f aca="false">IFERROR(AW10,0)</f>
        <v>0</v>
      </c>
      <c r="AY6" s="50" t="n">
        <f aca="false">IFERROR(AX10,0)</f>
        <v>0</v>
      </c>
      <c r="AZ6" s="50" t="n">
        <f aca="false">IFERROR(AY10,0)</f>
        <v>0</v>
      </c>
      <c r="BA6" s="50" t="n">
        <f aca="false">IFERROR(AZ10,0)</f>
        <v>0</v>
      </c>
      <c r="BB6" s="50" t="n">
        <f aca="false">IFERROR(BA10,0)</f>
        <v>0</v>
      </c>
      <c r="BC6" s="50" t="n">
        <f aca="false">IFERROR(BB10,0)</f>
        <v>0</v>
      </c>
      <c r="BD6" s="50" t="n">
        <f aca="false">IFERROR(BC10,0)</f>
        <v>0</v>
      </c>
      <c r="BE6" s="50" t="n">
        <f aca="false">IFERROR(BD10,0)</f>
        <v>0</v>
      </c>
      <c r="BF6" s="50" t="n">
        <f aca="false">IFERROR(BE10,0)</f>
        <v>0</v>
      </c>
      <c r="BG6" s="50" t="n">
        <f aca="false">IFERROR(BF10,0)</f>
        <v>0</v>
      </c>
      <c r="BH6" s="50" t="n">
        <f aca="false">IFERROR(BG10,0)</f>
        <v>0</v>
      </c>
      <c r="BI6" s="50" t="n">
        <f aca="false">IFERROR(BH10,0)</f>
        <v>0</v>
      </c>
      <c r="BJ6" s="50" t="n">
        <f aca="false">IFERROR(BI10,0)</f>
        <v>0</v>
      </c>
    </row>
    <row r="7" customFormat="false" ht="15" hidden="false" customHeight="false" outlineLevel="0" collapsed="false">
      <c r="A7" s="42" t="s">
        <v>205</v>
      </c>
      <c r="B7" s="49" t="s">
        <v>88</v>
      </c>
      <c r="C7" s="51" t="n">
        <f aca="false">IFERROR(C6*Assumptions!$C$24/12,0)</f>
        <v>0</v>
      </c>
      <c r="D7" s="51" t="n">
        <f aca="false">IFERROR(D6*Assumptions!$C$24/12,0)</f>
        <v>0</v>
      </c>
      <c r="E7" s="51" t="n">
        <f aca="false">IFERROR(E6*Assumptions!$C$24/12,0)</f>
        <v>0</v>
      </c>
      <c r="F7" s="51" t="n">
        <f aca="false">IFERROR(F6*Assumptions!$C$24/12,0)</f>
        <v>0</v>
      </c>
      <c r="G7" s="51" t="n">
        <f aca="false">IFERROR(G6*Assumptions!$C$24/12,0)</f>
        <v>0</v>
      </c>
      <c r="H7" s="51" t="n">
        <f aca="false">IFERROR(H6*Assumptions!$C$24/12,0)</f>
        <v>0</v>
      </c>
      <c r="I7" s="51" t="n">
        <f aca="false">IFERROR(I6*Assumptions!$C$24/12,0)</f>
        <v>0</v>
      </c>
      <c r="J7" s="51" t="n">
        <f aca="false">IFERROR(J6*Assumptions!$C$24/12,0)</f>
        <v>0</v>
      </c>
      <c r="K7" s="51" t="n">
        <f aca="false">IFERROR(K6*Assumptions!$C$24/12,0)</f>
        <v>0</v>
      </c>
      <c r="L7" s="51" t="n">
        <f aca="false">IFERROR(L6*Assumptions!$C$24/12,0)</f>
        <v>0</v>
      </c>
      <c r="M7" s="51" t="n">
        <f aca="false">IFERROR(M6*Assumptions!$C$24/12,0)</f>
        <v>0</v>
      </c>
      <c r="N7" s="51" t="n">
        <f aca="false">IFERROR(N6*Assumptions!$C$24/12,0)</f>
        <v>0</v>
      </c>
      <c r="O7" s="51" t="n">
        <f aca="false">IFERROR(O6*Assumptions!$C$24/12,0)</f>
        <v>0</v>
      </c>
      <c r="P7" s="51" t="n">
        <f aca="false">IFERROR(P6*Assumptions!$C$24/12,0)</f>
        <v>0</v>
      </c>
      <c r="Q7" s="51" t="n">
        <f aca="false">IFERROR(Q6*Assumptions!$C$24/12,0)</f>
        <v>0</v>
      </c>
      <c r="R7" s="51" t="n">
        <f aca="false">IFERROR(R6*Assumptions!$C$24/12,0)</f>
        <v>0</v>
      </c>
      <c r="S7" s="51" t="n">
        <f aca="false">IFERROR(S6*Assumptions!$C$24/12,0)</f>
        <v>0</v>
      </c>
      <c r="T7" s="51" t="n">
        <f aca="false">IFERROR(T6*Assumptions!$C$24/12,0)</f>
        <v>0</v>
      </c>
      <c r="U7" s="51" t="n">
        <f aca="false">IFERROR(U6*Assumptions!$C$24/12,0)</f>
        <v>0</v>
      </c>
      <c r="V7" s="51" t="n">
        <f aca="false">IFERROR(V6*Assumptions!$C$24/12,0)</f>
        <v>0</v>
      </c>
      <c r="W7" s="51" t="n">
        <f aca="false">IFERROR(W6*Assumptions!$C$24/12,0)</f>
        <v>0</v>
      </c>
      <c r="X7" s="51" t="n">
        <f aca="false">IFERROR(X6*Assumptions!$C$24/12,0)</f>
        <v>0</v>
      </c>
      <c r="Y7" s="51" t="n">
        <f aca="false">IFERROR(Y6*Assumptions!$C$24/12,0)</f>
        <v>0</v>
      </c>
      <c r="Z7" s="51" t="n">
        <f aca="false">IFERROR(Z6*Assumptions!$C$24/12,0)</f>
        <v>0</v>
      </c>
      <c r="AA7" s="51" t="n">
        <f aca="false">IFERROR(AA6*Assumptions!$C$24/12,0)</f>
        <v>0</v>
      </c>
      <c r="AB7" s="51" t="n">
        <f aca="false">IFERROR(AB6*Assumptions!$C$24/12,0)</f>
        <v>0</v>
      </c>
      <c r="AC7" s="51" t="n">
        <f aca="false">IFERROR(AC6*Assumptions!$C$24/12,0)</f>
        <v>0</v>
      </c>
      <c r="AD7" s="51" t="n">
        <f aca="false">IFERROR(AD6*Assumptions!$C$24/12,0)</f>
        <v>0</v>
      </c>
      <c r="AE7" s="51" t="n">
        <f aca="false">IFERROR(AE6*Assumptions!$C$24/12,0)</f>
        <v>0</v>
      </c>
      <c r="AF7" s="51" t="n">
        <f aca="false">IFERROR(AF6*Assumptions!$C$24/12,0)</f>
        <v>0</v>
      </c>
      <c r="AG7" s="51" t="n">
        <f aca="false">IFERROR(AG6*Assumptions!$C$24/12,0)</f>
        <v>0</v>
      </c>
      <c r="AH7" s="51" t="n">
        <f aca="false">IFERROR(AH6*Assumptions!$C$24/12,0)</f>
        <v>0</v>
      </c>
      <c r="AI7" s="51" t="n">
        <f aca="false">IFERROR(AI6*Assumptions!$C$24/12,0)</f>
        <v>0</v>
      </c>
      <c r="AJ7" s="51" t="n">
        <f aca="false">IFERROR(AJ6*Assumptions!$C$24/12,0)</f>
        <v>0</v>
      </c>
      <c r="AK7" s="51" t="n">
        <f aca="false">IFERROR(AK6*Assumptions!$C$24/12,0)</f>
        <v>0</v>
      </c>
      <c r="AL7" s="51" t="n">
        <f aca="false">IFERROR(AL6*Assumptions!$C$24/12,0)</f>
        <v>0</v>
      </c>
      <c r="AM7" s="51" t="n">
        <f aca="false">IFERROR(AM6*Assumptions!$C$24/12,0)</f>
        <v>0</v>
      </c>
      <c r="AN7" s="51" t="n">
        <f aca="false">IFERROR(AN6*Assumptions!$C$24/12,0)</f>
        <v>0</v>
      </c>
      <c r="AO7" s="51" t="n">
        <f aca="false">IFERROR(AO6*Assumptions!$C$24/12,0)</f>
        <v>0</v>
      </c>
      <c r="AP7" s="51" t="n">
        <f aca="false">IFERROR(AP6*Assumptions!$C$24/12,0)</f>
        <v>0</v>
      </c>
      <c r="AQ7" s="51" t="n">
        <f aca="false">IFERROR(AQ6*Assumptions!$C$24/12,0)</f>
        <v>0</v>
      </c>
      <c r="AR7" s="51" t="n">
        <f aca="false">IFERROR(AR6*Assumptions!$C$24/12,0)</f>
        <v>0</v>
      </c>
      <c r="AS7" s="51" t="n">
        <f aca="false">IFERROR(AS6*Assumptions!$C$24/12,0)</f>
        <v>0</v>
      </c>
      <c r="AT7" s="51" t="n">
        <f aca="false">IFERROR(AT6*Assumptions!$C$24/12,0)</f>
        <v>0</v>
      </c>
      <c r="AU7" s="51" t="n">
        <f aca="false">IFERROR(AU6*Assumptions!$C$24/12,0)</f>
        <v>0</v>
      </c>
      <c r="AV7" s="51" t="n">
        <f aca="false">IFERROR(AV6*Assumptions!$C$24/12,0)</f>
        <v>0</v>
      </c>
      <c r="AW7" s="51" t="n">
        <f aca="false">IFERROR(AW6*Assumptions!$C$24/12,0)</f>
        <v>0</v>
      </c>
      <c r="AX7" s="51" t="n">
        <f aca="false">IFERROR(AX6*Assumptions!$C$24/12,0)</f>
        <v>0</v>
      </c>
      <c r="AY7" s="51" t="n">
        <f aca="false">IFERROR(AY6*Assumptions!$C$24/12,0)</f>
        <v>0</v>
      </c>
      <c r="AZ7" s="51" t="n">
        <f aca="false">IFERROR(AZ6*Assumptions!$C$24/12,0)</f>
        <v>0</v>
      </c>
      <c r="BA7" s="51" t="n">
        <f aca="false">IFERROR(BA6*Assumptions!$C$24/12,0)</f>
        <v>0</v>
      </c>
      <c r="BB7" s="51" t="n">
        <f aca="false">IFERROR(BB6*Assumptions!$C$24/12,0)</f>
        <v>0</v>
      </c>
      <c r="BC7" s="51" t="n">
        <f aca="false">IFERROR(BC6*Assumptions!$C$24/12,0)</f>
        <v>0</v>
      </c>
      <c r="BD7" s="51" t="n">
        <f aca="false">IFERROR(BD6*Assumptions!$C$24/12,0)</f>
        <v>0</v>
      </c>
      <c r="BE7" s="51" t="n">
        <f aca="false">IFERROR(BE6*Assumptions!$C$24/12,0)</f>
        <v>0</v>
      </c>
      <c r="BF7" s="51" t="n">
        <f aca="false">IFERROR(BF6*Assumptions!$C$24/12,0)</f>
        <v>0</v>
      </c>
      <c r="BG7" s="51" t="n">
        <f aca="false">IFERROR(BG6*Assumptions!$C$24/12,0)</f>
        <v>0</v>
      </c>
      <c r="BH7" s="51" t="n">
        <f aca="false">IFERROR(BH6*Assumptions!$C$24/12,0)</f>
        <v>0</v>
      </c>
      <c r="BI7" s="51" t="n">
        <f aca="false">IFERROR(BI6*Assumptions!$C$24/12,0)</f>
        <v>0</v>
      </c>
      <c r="BJ7" s="51" t="n">
        <f aca="false">IFERROR(BJ6*Assumptions!$C$24/12,0)</f>
        <v>0</v>
      </c>
    </row>
    <row r="8" customFormat="false" ht="15" hidden="false" customHeight="false" outlineLevel="0" collapsed="false">
      <c r="A8" s="42" t="s">
        <v>206</v>
      </c>
      <c r="B8" s="49" t="s">
        <v>88</v>
      </c>
      <c r="C8" s="51" t="n">
        <f aca="false">IFERROR(IF(1&lt;=Assumptions!$C$26,0,Assumptions!$C$78/(Assumptions!$C$25-Assumptions!$C$26)),0)</f>
        <v>0</v>
      </c>
      <c r="D8" s="51" t="n">
        <f aca="false">IFERROR(IF(2&lt;=Assumptions!$C$26,0,Assumptions!$C$78/(Assumptions!$C$25-Assumptions!$C$26)),0)</f>
        <v>0</v>
      </c>
      <c r="E8" s="51" t="n">
        <f aca="false">IFERROR(IF(3&lt;=Assumptions!$C$26,0,Assumptions!$C$78/(Assumptions!$C$25-Assumptions!$C$26)),0)</f>
        <v>0</v>
      </c>
      <c r="F8" s="51" t="n">
        <f aca="false">IFERROR(IF(4&lt;=Assumptions!$C$26,0,Assumptions!$C$78/(Assumptions!$C$25-Assumptions!$C$26)),0)</f>
        <v>0</v>
      </c>
      <c r="G8" s="51" t="n">
        <f aca="false">IFERROR(IF(5&lt;=Assumptions!$C$26,0,Assumptions!$C$78/(Assumptions!$C$25-Assumptions!$C$26)),0)</f>
        <v>0</v>
      </c>
      <c r="H8" s="51" t="n">
        <f aca="false">IFERROR(IF(6&lt;=Assumptions!$C$26,0,Assumptions!$C$78/(Assumptions!$C$25-Assumptions!$C$26)),0)</f>
        <v>0</v>
      </c>
      <c r="I8" s="51" t="n">
        <f aca="false">IFERROR(IF(7&lt;=Assumptions!$C$26,0,Assumptions!$C$78/(Assumptions!$C$25-Assumptions!$C$26)),0)</f>
        <v>0</v>
      </c>
      <c r="J8" s="51" t="n">
        <f aca="false">IFERROR(IF(8&lt;=Assumptions!$C$26,0,Assumptions!$C$78/(Assumptions!$C$25-Assumptions!$C$26)),0)</f>
        <v>0</v>
      </c>
      <c r="K8" s="51" t="n">
        <f aca="false">IFERROR(IF(9&lt;=Assumptions!$C$26,0,Assumptions!$C$78/(Assumptions!$C$25-Assumptions!$C$26)),0)</f>
        <v>0</v>
      </c>
      <c r="L8" s="51" t="n">
        <f aca="false">IFERROR(IF(10&lt;=Assumptions!$C$26,0,Assumptions!$C$78/(Assumptions!$C$25-Assumptions!$C$26)),0)</f>
        <v>0</v>
      </c>
      <c r="M8" s="51" t="n">
        <f aca="false">IFERROR(IF(11&lt;=Assumptions!$C$26,0,Assumptions!$C$78/(Assumptions!$C$25-Assumptions!$C$26)),0)</f>
        <v>0</v>
      </c>
      <c r="N8" s="51" t="n">
        <f aca="false">IFERROR(IF(12&lt;=Assumptions!$C$26,0,Assumptions!$C$78/(Assumptions!$C$25-Assumptions!$C$26)),0)</f>
        <v>0</v>
      </c>
      <c r="O8" s="51" t="n">
        <f aca="false">IFERROR(IF(13&lt;=Assumptions!$C$26,0,Assumptions!$C$78/(Assumptions!$C$25-Assumptions!$C$26)),0)</f>
        <v>0</v>
      </c>
      <c r="P8" s="51" t="n">
        <f aca="false">IFERROR(IF(14&lt;=Assumptions!$C$26,0,Assumptions!$C$78/(Assumptions!$C$25-Assumptions!$C$26)),0)</f>
        <v>0</v>
      </c>
      <c r="Q8" s="51" t="n">
        <f aca="false">IFERROR(IF(15&lt;=Assumptions!$C$26,0,Assumptions!$C$78/(Assumptions!$C$25-Assumptions!$C$26)),0)</f>
        <v>0</v>
      </c>
      <c r="R8" s="51" t="n">
        <f aca="false">IFERROR(IF(16&lt;=Assumptions!$C$26,0,Assumptions!$C$78/(Assumptions!$C$25-Assumptions!$C$26)),0)</f>
        <v>0</v>
      </c>
      <c r="S8" s="51" t="n">
        <f aca="false">IFERROR(IF(17&lt;=Assumptions!$C$26,0,Assumptions!$C$78/(Assumptions!$C$25-Assumptions!$C$26)),0)</f>
        <v>0</v>
      </c>
      <c r="T8" s="51" t="n">
        <f aca="false">IFERROR(IF(18&lt;=Assumptions!$C$26,0,Assumptions!$C$78/(Assumptions!$C$25-Assumptions!$C$26)),0)</f>
        <v>0</v>
      </c>
      <c r="U8" s="51" t="n">
        <f aca="false">IFERROR(IF(19&lt;=Assumptions!$C$26,0,Assumptions!$C$78/(Assumptions!$C$25-Assumptions!$C$26)),0)</f>
        <v>0</v>
      </c>
      <c r="V8" s="51" t="n">
        <f aca="false">IFERROR(IF(20&lt;=Assumptions!$C$26,0,Assumptions!$C$78/(Assumptions!$C$25-Assumptions!$C$26)),0)</f>
        <v>0</v>
      </c>
      <c r="W8" s="51" t="n">
        <f aca="false">IFERROR(IF(21&lt;=Assumptions!$C$26,0,Assumptions!$C$78/(Assumptions!$C$25-Assumptions!$C$26)),0)</f>
        <v>0</v>
      </c>
      <c r="X8" s="51" t="n">
        <f aca="false">IFERROR(IF(22&lt;=Assumptions!$C$26,0,Assumptions!$C$78/(Assumptions!$C$25-Assumptions!$C$26)),0)</f>
        <v>0</v>
      </c>
      <c r="Y8" s="51" t="n">
        <f aca="false">IFERROR(IF(23&lt;=Assumptions!$C$26,0,Assumptions!$C$78/(Assumptions!$C$25-Assumptions!$C$26)),0)</f>
        <v>0</v>
      </c>
      <c r="Z8" s="51" t="n">
        <f aca="false">IFERROR(IF(24&lt;=Assumptions!$C$26,0,Assumptions!$C$78/(Assumptions!$C$25-Assumptions!$C$26)),0)</f>
        <v>0</v>
      </c>
      <c r="AA8" s="51" t="n">
        <f aca="false">IFERROR(IF(25&lt;=Assumptions!$C$26,0,Assumptions!$C$78/(Assumptions!$C$25-Assumptions!$C$26)),0)</f>
        <v>0</v>
      </c>
      <c r="AB8" s="51" t="n">
        <f aca="false">IFERROR(IF(26&lt;=Assumptions!$C$26,0,Assumptions!$C$78/(Assumptions!$C$25-Assumptions!$C$26)),0)</f>
        <v>0</v>
      </c>
      <c r="AC8" s="51" t="n">
        <f aca="false">IFERROR(IF(27&lt;=Assumptions!$C$26,0,Assumptions!$C$78/(Assumptions!$C$25-Assumptions!$C$26)),0)</f>
        <v>0</v>
      </c>
      <c r="AD8" s="51" t="n">
        <f aca="false">IFERROR(IF(28&lt;=Assumptions!$C$26,0,Assumptions!$C$78/(Assumptions!$C$25-Assumptions!$C$26)),0)</f>
        <v>0</v>
      </c>
      <c r="AE8" s="51" t="n">
        <f aca="false">IFERROR(IF(29&lt;=Assumptions!$C$26,0,Assumptions!$C$78/(Assumptions!$C$25-Assumptions!$C$26)),0)</f>
        <v>0</v>
      </c>
      <c r="AF8" s="51" t="n">
        <f aca="false">IFERROR(IF(30&lt;=Assumptions!$C$26,0,Assumptions!$C$78/(Assumptions!$C$25-Assumptions!$C$26)),0)</f>
        <v>0</v>
      </c>
      <c r="AG8" s="51" t="n">
        <f aca="false">IFERROR(IF(31&lt;=Assumptions!$C$26,0,Assumptions!$C$78/(Assumptions!$C$25-Assumptions!$C$26)),0)</f>
        <v>0</v>
      </c>
      <c r="AH8" s="51" t="n">
        <f aca="false">IFERROR(IF(32&lt;=Assumptions!$C$26,0,Assumptions!$C$78/(Assumptions!$C$25-Assumptions!$C$26)),0)</f>
        <v>0</v>
      </c>
      <c r="AI8" s="51" t="n">
        <f aca="false">IFERROR(IF(33&lt;=Assumptions!$C$26,0,Assumptions!$C$78/(Assumptions!$C$25-Assumptions!$C$26)),0)</f>
        <v>0</v>
      </c>
      <c r="AJ8" s="51" t="n">
        <f aca="false">IFERROR(IF(34&lt;=Assumptions!$C$26,0,Assumptions!$C$78/(Assumptions!$C$25-Assumptions!$C$26)),0)</f>
        <v>0</v>
      </c>
      <c r="AK8" s="51" t="n">
        <f aca="false">IFERROR(IF(35&lt;=Assumptions!$C$26,0,Assumptions!$C$78/(Assumptions!$C$25-Assumptions!$C$26)),0)</f>
        <v>0</v>
      </c>
      <c r="AL8" s="51" t="n">
        <f aca="false">IFERROR(IF(36&lt;=Assumptions!$C$26,0,Assumptions!$C$78/(Assumptions!$C$25-Assumptions!$C$26)),0)</f>
        <v>0</v>
      </c>
      <c r="AM8" s="51" t="n">
        <f aca="false">IFERROR(IF(37&lt;=Assumptions!$C$26,0,Assumptions!$C$78/(Assumptions!$C$25-Assumptions!$C$26)),0)</f>
        <v>0</v>
      </c>
      <c r="AN8" s="51" t="n">
        <f aca="false">IFERROR(IF(38&lt;=Assumptions!$C$26,0,Assumptions!$C$78/(Assumptions!$C$25-Assumptions!$C$26)),0)</f>
        <v>0</v>
      </c>
      <c r="AO8" s="51" t="n">
        <f aca="false">IFERROR(IF(39&lt;=Assumptions!$C$26,0,Assumptions!$C$78/(Assumptions!$C$25-Assumptions!$C$26)),0)</f>
        <v>0</v>
      </c>
      <c r="AP8" s="51" t="n">
        <f aca="false">IFERROR(IF(40&lt;=Assumptions!$C$26,0,Assumptions!$C$78/(Assumptions!$C$25-Assumptions!$C$26)),0)</f>
        <v>0</v>
      </c>
      <c r="AQ8" s="51" t="n">
        <f aca="false">IFERROR(IF(41&lt;=Assumptions!$C$26,0,Assumptions!$C$78/(Assumptions!$C$25-Assumptions!$C$26)),0)</f>
        <v>0</v>
      </c>
      <c r="AR8" s="51" t="n">
        <f aca="false">IFERROR(IF(42&lt;=Assumptions!$C$26,0,Assumptions!$C$78/(Assumptions!$C$25-Assumptions!$C$26)),0)</f>
        <v>0</v>
      </c>
      <c r="AS8" s="51" t="n">
        <f aca="false">IFERROR(IF(43&lt;=Assumptions!$C$26,0,Assumptions!$C$78/(Assumptions!$C$25-Assumptions!$C$26)),0)</f>
        <v>0</v>
      </c>
      <c r="AT8" s="51" t="n">
        <f aca="false">IFERROR(IF(44&lt;=Assumptions!$C$26,0,Assumptions!$C$78/(Assumptions!$C$25-Assumptions!$C$26)),0)</f>
        <v>0</v>
      </c>
      <c r="AU8" s="51" t="n">
        <f aca="false">IFERROR(IF(45&lt;=Assumptions!$C$26,0,Assumptions!$C$78/(Assumptions!$C$25-Assumptions!$C$26)),0)</f>
        <v>0</v>
      </c>
      <c r="AV8" s="51" t="n">
        <f aca="false">IFERROR(IF(46&lt;=Assumptions!$C$26,0,Assumptions!$C$78/(Assumptions!$C$25-Assumptions!$C$26)),0)</f>
        <v>0</v>
      </c>
      <c r="AW8" s="51" t="n">
        <f aca="false">IFERROR(IF(47&lt;=Assumptions!$C$26,0,Assumptions!$C$78/(Assumptions!$C$25-Assumptions!$C$26)),0)</f>
        <v>0</v>
      </c>
      <c r="AX8" s="51" t="n">
        <f aca="false">IFERROR(IF(48&lt;=Assumptions!$C$26,0,Assumptions!$C$78/(Assumptions!$C$25-Assumptions!$C$26)),0)</f>
        <v>0</v>
      </c>
      <c r="AY8" s="51" t="n">
        <f aca="false">IFERROR(IF(49&lt;=Assumptions!$C$26,0,Assumptions!$C$78/(Assumptions!$C$25-Assumptions!$C$26)),0)</f>
        <v>0</v>
      </c>
      <c r="AZ8" s="51" t="n">
        <f aca="false">IFERROR(IF(50&lt;=Assumptions!$C$26,0,Assumptions!$C$78/(Assumptions!$C$25-Assumptions!$C$26)),0)</f>
        <v>0</v>
      </c>
      <c r="BA8" s="51" t="n">
        <f aca="false">IFERROR(IF(51&lt;=Assumptions!$C$26,0,Assumptions!$C$78/(Assumptions!$C$25-Assumptions!$C$26)),0)</f>
        <v>0</v>
      </c>
      <c r="BB8" s="51" t="n">
        <f aca="false">IFERROR(IF(52&lt;=Assumptions!$C$26,0,Assumptions!$C$78/(Assumptions!$C$25-Assumptions!$C$26)),0)</f>
        <v>0</v>
      </c>
      <c r="BC8" s="51" t="n">
        <f aca="false">IFERROR(IF(53&lt;=Assumptions!$C$26,0,Assumptions!$C$78/(Assumptions!$C$25-Assumptions!$C$26)),0)</f>
        <v>0</v>
      </c>
      <c r="BD8" s="51" t="n">
        <f aca="false">IFERROR(IF(54&lt;=Assumptions!$C$26,0,Assumptions!$C$78/(Assumptions!$C$25-Assumptions!$C$26)),0)</f>
        <v>0</v>
      </c>
      <c r="BE8" s="51" t="n">
        <f aca="false">IFERROR(IF(55&lt;=Assumptions!$C$26,0,Assumptions!$C$78/(Assumptions!$C$25-Assumptions!$C$26)),0)</f>
        <v>0</v>
      </c>
      <c r="BF8" s="51" t="n">
        <f aca="false">IFERROR(IF(56&lt;=Assumptions!$C$26,0,Assumptions!$C$78/(Assumptions!$C$25-Assumptions!$C$26)),0)</f>
        <v>0</v>
      </c>
      <c r="BG8" s="51" t="n">
        <f aca="false">IFERROR(IF(57&lt;=Assumptions!$C$26,0,Assumptions!$C$78/(Assumptions!$C$25-Assumptions!$C$26)),0)</f>
        <v>0</v>
      </c>
      <c r="BH8" s="51" t="n">
        <f aca="false">IFERROR(IF(58&lt;=Assumptions!$C$26,0,Assumptions!$C$78/(Assumptions!$C$25-Assumptions!$C$26)),0)</f>
        <v>0</v>
      </c>
      <c r="BI8" s="51" t="n">
        <f aca="false">IFERROR(IF(59&lt;=Assumptions!$C$26,0,Assumptions!$C$78/(Assumptions!$C$25-Assumptions!$C$26)),0)</f>
        <v>0</v>
      </c>
      <c r="BJ8" s="51" t="n">
        <f aca="false">IFERROR(IF(60&lt;=Assumptions!$C$26,0,Assumptions!$C$78/(Assumptions!$C$25-Assumptions!$C$26)),0)</f>
        <v>0</v>
      </c>
    </row>
    <row r="9" customFormat="false" ht="15" hidden="false" customHeight="false" outlineLevel="0" collapsed="false">
      <c r="A9" s="6" t="s">
        <v>207</v>
      </c>
      <c r="B9" s="49" t="s">
        <v>88</v>
      </c>
      <c r="C9" s="50" t="n">
        <f aca="false">IFERROR(C7+C8,0)</f>
        <v>0</v>
      </c>
      <c r="D9" s="50" t="n">
        <f aca="false">IFERROR(D7+D8,0)</f>
        <v>0</v>
      </c>
      <c r="E9" s="50" t="n">
        <f aca="false">IFERROR(E7+E8,0)</f>
        <v>0</v>
      </c>
      <c r="F9" s="50" t="n">
        <f aca="false">IFERROR(F7+F8,0)</f>
        <v>0</v>
      </c>
      <c r="G9" s="50" t="n">
        <f aca="false">IFERROR(G7+G8,0)</f>
        <v>0</v>
      </c>
      <c r="H9" s="50" t="n">
        <f aca="false">IFERROR(H7+H8,0)</f>
        <v>0</v>
      </c>
      <c r="I9" s="50" t="n">
        <f aca="false">IFERROR(I7+I8,0)</f>
        <v>0</v>
      </c>
      <c r="J9" s="50" t="n">
        <f aca="false">IFERROR(J7+J8,0)</f>
        <v>0</v>
      </c>
      <c r="K9" s="50" t="n">
        <f aca="false">IFERROR(K7+K8,0)</f>
        <v>0</v>
      </c>
      <c r="L9" s="50" t="n">
        <f aca="false">IFERROR(L7+L8,0)</f>
        <v>0</v>
      </c>
      <c r="M9" s="50" t="n">
        <f aca="false">IFERROR(M7+M8,0)</f>
        <v>0</v>
      </c>
      <c r="N9" s="50" t="n">
        <f aca="false">IFERROR(N7+N8,0)</f>
        <v>0</v>
      </c>
      <c r="O9" s="50" t="n">
        <f aca="false">IFERROR(O7+O8,0)</f>
        <v>0</v>
      </c>
      <c r="P9" s="50" t="n">
        <f aca="false">IFERROR(P7+P8,0)</f>
        <v>0</v>
      </c>
      <c r="Q9" s="50" t="n">
        <f aca="false">IFERROR(Q7+Q8,0)</f>
        <v>0</v>
      </c>
      <c r="R9" s="50" t="n">
        <f aca="false">IFERROR(R7+R8,0)</f>
        <v>0</v>
      </c>
      <c r="S9" s="50" t="n">
        <f aca="false">IFERROR(S7+S8,0)</f>
        <v>0</v>
      </c>
      <c r="T9" s="50" t="n">
        <f aca="false">IFERROR(T7+T8,0)</f>
        <v>0</v>
      </c>
      <c r="U9" s="50" t="n">
        <f aca="false">IFERROR(U7+U8,0)</f>
        <v>0</v>
      </c>
      <c r="V9" s="50" t="n">
        <f aca="false">IFERROR(V7+V8,0)</f>
        <v>0</v>
      </c>
      <c r="W9" s="50" t="n">
        <f aca="false">IFERROR(W7+W8,0)</f>
        <v>0</v>
      </c>
      <c r="X9" s="50" t="n">
        <f aca="false">IFERROR(X7+X8,0)</f>
        <v>0</v>
      </c>
      <c r="Y9" s="50" t="n">
        <f aca="false">IFERROR(Y7+Y8,0)</f>
        <v>0</v>
      </c>
      <c r="Z9" s="50" t="n">
        <f aca="false">IFERROR(Z7+Z8,0)</f>
        <v>0</v>
      </c>
      <c r="AA9" s="50" t="n">
        <f aca="false">IFERROR(AA7+AA8,0)</f>
        <v>0</v>
      </c>
      <c r="AB9" s="50" t="n">
        <f aca="false">IFERROR(AB7+AB8,0)</f>
        <v>0</v>
      </c>
      <c r="AC9" s="50" t="n">
        <f aca="false">IFERROR(AC7+AC8,0)</f>
        <v>0</v>
      </c>
      <c r="AD9" s="50" t="n">
        <f aca="false">IFERROR(AD7+AD8,0)</f>
        <v>0</v>
      </c>
      <c r="AE9" s="50" t="n">
        <f aca="false">IFERROR(AE7+AE8,0)</f>
        <v>0</v>
      </c>
      <c r="AF9" s="50" t="n">
        <f aca="false">IFERROR(AF7+AF8,0)</f>
        <v>0</v>
      </c>
      <c r="AG9" s="50" t="n">
        <f aca="false">IFERROR(AG7+AG8,0)</f>
        <v>0</v>
      </c>
      <c r="AH9" s="50" t="n">
        <f aca="false">IFERROR(AH7+AH8,0)</f>
        <v>0</v>
      </c>
      <c r="AI9" s="50" t="n">
        <f aca="false">IFERROR(AI7+AI8,0)</f>
        <v>0</v>
      </c>
      <c r="AJ9" s="50" t="n">
        <f aca="false">IFERROR(AJ7+AJ8,0)</f>
        <v>0</v>
      </c>
      <c r="AK9" s="50" t="n">
        <f aca="false">IFERROR(AK7+AK8,0)</f>
        <v>0</v>
      </c>
      <c r="AL9" s="50" t="n">
        <f aca="false">IFERROR(AL7+AL8,0)</f>
        <v>0</v>
      </c>
      <c r="AM9" s="50" t="n">
        <f aca="false">IFERROR(AM7+AM8,0)</f>
        <v>0</v>
      </c>
      <c r="AN9" s="50" t="n">
        <f aca="false">IFERROR(AN7+AN8,0)</f>
        <v>0</v>
      </c>
      <c r="AO9" s="50" t="n">
        <f aca="false">IFERROR(AO7+AO8,0)</f>
        <v>0</v>
      </c>
      <c r="AP9" s="50" t="n">
        <f aca="false">IFERROR(AP7+AP8,0)</f>
        <v>0</v>
      </c>
      <c r="AQ9" s="50" t="n">
        <f aca="false">IFERROR(AQ7+AQ8,0)</f>
        <v>0</v>
      </c>
      <c r="AR9" s="50" t="n">
        <f aca="false">IFERROR(AR7+AR8,0)</f>
        <v>0</v>
      </c>
      <c r="AS9" s="50" t="n">
        <f aca="false">IFERROR(AS7+AS8,0)</f>
        <v>0</v>
      </c>
      <c r="AT9" s="50" t="n">
        <f aca="false">IFERROR(AT7+AT8,0)</f>
        <v>0</v>
      </c>
      <c r="AU9" s="50" t="n">
        <f aca="false">IFERROR(AU7+AU8,0)</f>
        <v>0</v>
      </c>
      <c r="AV9" s="50" t="n">
        <f aca="false">IFERROR(AV7+AV8,0)</f>
        <v>0</v>
      </c>
      <c r="AW9" s="50" t="n">
        <f aca="false">IFERROR(AW7+AW8,0)</f>
        <v>0</v>
      </c>
      <c r="AX9" s="50" t="n">
        <f aca="false">IFERROR(AX7+AX8,0)</f>
        <v>0</v>
      </c>
      <c r="AY9" s="50" t="n">
        <f aca="false">IFERROR(AY7+AY8,0)</f>
        <v>0</v>
      </c>
      <c r="AZ9" s="50" t="n">
        <f aca="false">IFERROR(AZ7+AZ8,0)</f>
        <v>0</v>
      </c>
      <c r="BA9" s="50" t="n">
        <f aca="false">IFERROR(BA7+BA8,0)</f>
        <v>0</v>
      </c>
      <c r="BB9" s="50" t="n">
        <f aca="false">IFERROR(BB7+BB8,0)</f>
        <v>0</v>
      </c>
      <c r="BC9" s="50" t="n">
        <f aca="false">IFERROR(BC7+BC8,0)</f>
        <v>0</v>
      </c>
      <c r="BD9" s="50" t="n">
        <f aca="false">IFERROR(BD7+BD8,0)</f>
        <v>0</v>
      </c>
      <c r="BE9" s="50" t="n">
        <f aca="false">IFERROR(BE7+BE8,0)</f>
        <v>0</v>
      </c>
      <c r="BF9" s="50" t="n">
        <f aca="false">IFERROR(BF7+BF8,0)</f>
        <v>0</v>
      </c>
      <c r="BG9" s="50" t="n">
        <f aca="false">IFERROR(BG7+BG8,0)</f>
        <v>0</v>
      </c>
      <c r="BH9" s="50" t="n">
        <f aca="false">IFERROR(BH7+BH8,0)</f>
        <v>0</v>
      </c>
      <c r="BI9" s="50" t="n">
        <f aca="false">IFERROR(BI7+BI8,0)</f>
        <v>0</v>
      </c>
      <c r="BJ9" s="50" t="n">
        <f aca="false">IFERROR(BJ7+BJ8,0)</f>
        <v>0</v>
      </c>
    </row>
    <row r="10" customFormat="false" ht="15" hidden="false" customHeight="false" outlineLevel="0" collapsed="false">
      <c r="A10" s="52" t="s">
        <v>208</v>
      </c>
      <c r="B10" s="53" t="s">
        <v>88</v>
      </c>
      <c r="C10" s="54" t="n">
        <f aca="false">IFERROR(C6-C8,0)</f>
        <v>0</v>
      </c>
      <c r="D10" s="54" t="n">
        <f aca="false">IFERROR(D6-D8,0)</f>
        <v>0</v>
      </c>
      <c r="E10" s="54" t="n">
        <f aca="false">IFERROR(E6-E8,0)</f>
        <v>0</v>
      </c>
      <c r="F10" s="54" t="n">
        <f aca="false">IFERROR(F6-F8,0)</f>
        <v>0</v>
      </c>
      <c r="G10" s="54" t="n">
        <f aca="false">IFERROR(G6-G8,0)</f>
        <v>0</v>
      </c>
      <c r="H10" s="54" t="n">
        <f aca="false">IFERROR(H6-H8,0)</f>
        <v>0</v>
      </c>
      <c r="I10" s="54" t="n">
        <f aca="false">IFERROR(I6-I8,0)</f>
        <v>0</v>
      </c>
      <c r="J10" s="54" t="n">
        <f aca="false">IFERROR(J6-J8,0)</f>
        <v>0</v>
      </c>
      <c r="K10" s="54" t="n">
        <f aca="false">IFERROR(K6-K8,0)</f>
        <v>0</v>
      </c>
      <c r="L10" s="54" t="n">
        <f aca="false">IFERROR(L6-L8,0)</f>
        <v>0</v>
      </c>
      <c r="M10" s="54" t="n">
        <f aca="false">IFERROR(M6-M8,0)</f>
        <v>0</v>
      </c>
      <c r="N10" s="54" t="n">
        <f aca="false">IFERROR(N6-N8,0)</f>
        <v>0</v>
      </c>
      <c r="O10" s="54" t="n">
        <f aca="false">IFERROR(O6-O8,0)</f>
        <v>0</v>
      </c>
      <c r="P10" s="54" t="n">
        <f aca="false">IFERROR(P6-P8,0)</f>
        <v>0</v>
      </c>
      <c r="Q10" s="54" t="n">
        <f aca="false">IFERROR(Q6-Q8,0)</f>
        <v>0</v>
      </c>
      <c r="R10" s="54" t="n">
        <f aca="false">IFERROR(R6-R8,0)</f>
        <v>0</v>
      </c>
      <c r="S10" s="54" t="n">
        <f aca="false">IFERROR(S6-S8,0)</f>
        <v>0</v>
      </c>
      <c r="T10" s="54" t="n">
        <f aca="false">IFERROR(T6-T8,0)</f>
        <v>0</v>
      </c>
      <c r="U10" s="54" t="n">
        <f aca="false">IFERROR(U6-U8,0)</f>
        <v>0</v>
      </c>
      <c r="V10" s="54" t="n">
        <f aca="false">IFERROR(V6-V8,0)</f>
        <v>0</v>
      </c>
      <c r="W10" s="54" t="n">
        <f aca="false">IFERROR(W6-W8,0)</f>
        <v>0</v>
      </c>
      <c r="X10" s="54" t="n">
        <f aca="false">IFERROR(X6-X8,0)</f>
        <v>0</v>
      </c>
      <c r="Y10" s="54" t="n">
        <f aca="false">IFERROR(Y6-Y8,0)</f>
        <v>0</v>
      </c>
      <c r="Z10" s="54" t="n">
        <f aca="false">IFERROR(Z6-Z8,0)</f>
        <v>0</v>
      </c>
      <c r="AA10" s="54" t="n">
        <f aca="false">IFERROR(AA6-AA8,0)</f>
        <v>0</v>
      </c>
      <c r="AB10" s="54" t="n">
        <f aca="false">IFERROR(AB6-AB8,0)</f>
        <v>0</v>
      </c>
      <c r="AC10" s="54" t="n">
        <f aca="false">IFERROR(AC6-AC8,0)</f>
        <v>0</v>
      </c>
      <c r="AD10" s="54" t="n">
        <f aca="false">IFERROR(AD6-AD8,0)</f>
        <v>0</v>
      </c>
      <c r="AE10" s="54" t="n">
        <f aca="false">IFERROR(AE6-AE8,0)</f>
        <v>0</v>
      </c>
      <c r="AF10" s="54" t="n">
        <f aca="false">IFERROR(AF6-AF8,0)</f>
        <v>0</v>
      </c>
      <c r="AG10" s="54" t="n">
        <f aca="false">IFERROR(AG6-AG8,0)</f>
        <v>0</v>
      </c>
      <c r="AH10" s="54" t="n">
        <f aca="false">IFERROR(AH6-AH8,0)</f>
        <v>0</v>
      </c>
      <c r="AI10" s="54" t="n">
        <f aca="false">IFERROR(AI6-AI8,0)</f>
        <v>0</v>
      </c>
      <c r="AJ10" s="54" t="n">
        <f aca="false">IFERROR(AJ6-AJ8,0)</f>
        <v>0</v>
      </c>
      <c r="AK10" s="54" t="n">
        <f aca="false">IFERROR(AK6-AK8,0)</f>
        <v>0</v>
      </c>
      <c r="AL10" s="54" t="n">
        <f aca="false">IFERROR(AL6-AL8,0)</f>
        <v>0</v>
      </c>
      <c r="AM10" s="54" t="n">
        <f aca="false">IFERROR(AM6-AM8,0)</f>
        <v>0</v>
      </c>
      <c r="AN10" s="54" t="n">
        <f aca="false">IFERROR(AN6-AN8,0)</f>
        <v>0</v>
      </c>
      <c r="AO10" s="54" t="n">
        <f aca="false">IFERROR(AO6-AO8,0)</f>
        <v>0</v>
      </c>
      <c r="AP10" s="54" t="n">
        <f aca="false">IFERROR(AP6-AP8,0)</f>
        <v>0</v>
      </c>
      <c r="AQ10" s="54" t="n">
        <f aca="false">IFERROR(AQ6-AQ8,0)</f>
        <v>0</v>
      </c>
      <c r="AR10" s="54" t="n">
        <f aca="false">IFERROR(AR6-AR8,0)</f>
        <v>0</v>
      </c>
      <c r="AS10" s="54" t="n">
        <f aca="false">IFERROR(AS6-AS8,0)</f>
        <v>0</v>
      </c>
      <c r="AT10" s="54" t="n">
        <f aca="false">IFERROR(AT6-AT8,0)</f>
        <v>0</v>
      </c>
      <c r="AU10" s="54" t="n">
        <f aca="false">IFERROR(AU6-AU8,0)</f>
        <v>0</v>
      </c>
      <c r="AV10" s="54" t="n">
        <f aca="false">IFERROR(AV6-AV8,0)</f>
        <v>0</v>
      </c>
      <c r="AW10" s="54" t="n">
        <f aca="false">IFERROR(AW6-AW8,0)</f>
        <v>0</v>
      </c>
      <c r="AX10" s="54" t="n">
        <f aca="false">IFERROR(AX6-AX8,0)</f>
        <v>0</v>
      </c>
      <c r="AY10" s="54" t="n">
        <f aca="false">IFERROR(AY6-AY8,0)</f>
        <v>0</v>
      </c>
      <c r="AZ10" s="54" t="n">
        <f aca="false">IFERROR(AZ6-AZ8,0)</f>
        <v>0</v>
      </c>
      <c r="BA10" s="54" t="n">
        <f aca="false">IFERROR(BA6-BA8,0)</f>
        <v>0</v>
      </c>
      <c r="BB10" s="54" t="n">
        <f aca="false">IFERROR(BB6-BB8,0)</f>
        <v>0</v>
      </c>
      <c r="BC10" s="54" t="n">
        <f aca="false">IFERROR(BC6-BC8,0)</f>
        <v>0</v>
      </c>
      <c r="BD10" s="54" t="n">
        <f aca="false">IFERROR(BD6-BD8,0)</f>
        <v>0</v>
      </c>
      <c r="BE10" s="54" t="n">
        <f aca="false">IFERROR(BE6-BE8,0)</f>
        <v>0</v>
      </c>
      <c r="BF10" s="54" t="n">
        <f aca="false">IFERROR(BF6-BF8,0)</f>
        <v>0</v>
      </c>
      <c r="BG10" s="54" t="n">
        <f aca="false">IFERROR(BG6-BG8,0)</f>
        <v>0</v>
      </c>
      <c r="BH10" s="54" t="n">
        <f aca="false">IFERROR(BH6-BH8,0)</f>
        <v>0</v>
      </c>
      <c r="BI10" s="54" t="n">
        <f aca="false">IFERROR(BI6-BI8,0)</f>
        <v>0</v>
      </c>
      <c r="BJ10" s="54" t="n">
        <f aca="false">IFERROR(BJ6-BJ8,0)</f>
        <v>0</v>
      </c>
    </row>
    <row r="12" customFormat="false" ht="15" hidden="false" customHeight="false" outlineLevel="0" collapsed="false">
      <c r="A12" s="42" t="s">
        <v>209</v>
      </c>
      <c r="B12" s="49" t="s">
        <v>88</v>
      </c>
      <c r="C12" s="55" t="n">
        <f aca="false">IFERROR(MIN(C6*Assumptions!$C$67/12,Assumptions!$C$68/12),0)</f>
        <v>0</v>
      </c>
      <c r="D12" s="55" t="n">
        <f aca="false">IFERROR(MIN(D6*Assumptions!$C$67/12,Assumptions!$C$68/12),0)</f>
        <v>0</v>
      </c>
      <c r="E12" s="55" t="n">
        <f aca="false">IFERROR(MIN(E6*Assumptions!$C$67/12,Assumptions!$C$68/12),0)</f>
        <v>0</v>
      </c>
      <c r="F12" s="55" t="n">
        <f aca="false">IFERROR(MIN(F6*Assumptions!$C$67/12,Assumptions!$C$68/12),0)</f>
        <v>0</v>
      </c>
      <c r="G12" s="55" t="n">
        <f aca="false">IFERROR(MIN(G6*Assumptions!$C$67/12,Assumptions!$C$68/12),0)</f>
        <v>0</v>
      </c>
      <c r="H12" s="55" t="n">
        <f aca="false">IFERROR(MIN(H6*Assumptions!$C$67/12,Assumptions!$C$68/12),0)</f>
        <v>0</v>
      </c>
      <c r="I12" s="55" t="n">
        <f aca="false">IFERROR(MIN(I6*Assumptions!$C$67/12,Assumptions!$C$68/12),0)</f>
        <v>0</v>
      </c>
      <c r="J12" s="55" t="n">
        <f aca="false">IFERROR(MIN(J6*Assumptions!$C$67/12,Assumptions!$C$68/12),0)</f>
        <v>0</v>
      </c>
      <c r="K12" s="55" t="n">
        <f aca="false">IFERROR(MIN(K6*Assumptions!$C$67/12,Assumptions!$C$68/12),0)</f>
        <v>0</v>
      </c>
      <c r="L12" s="55" t="n">
        <f aca="false">IFERROR(MIN(L6*Assumptions!$C$67/12,Assumptions!$C$68/12),0)</f>
        <v>0</v>
      </c>
      <c r="M12" s="55" t="n">
        <f aca="false">IFERROR(MIN(M6*Assumptions!$C$67/12,Assumptions!$C$68/12),0)</f>
        <v>0</v>
      </c>
      <c r="N12" s="55" t="n">
        <f aca="false">IFERROR(MIN(N6*Assumptions!$C$67/12,Assumptions!$C$68/12),0)</f>
        <v>0</v>
      </c>
      <c r="O12" s="55" t="n">
        <f aca="false">IFERROR(MIN(O6*Assumptions!$C$67/12,Assumptions!$C$68/12),0)</f>
        <v>0</v>
      </c>
      <c r="P12" s="55" t="n">
        <f aca="false">IFERROR(MIN(P6*Assumptions!$C$67/12,Assumptions!$C$68/12),0)</f>
        <v>0</v>
      </c>
      <c r="Q12" s="55" t="n">
        <f aca="false">IFERROR(MIN(Q6*Assumptions!$C$67/12,Assumptions!$C$68/12),0)</f>
        <v>0</v>
      </c>
      <c r="R12" s="55" t="n">
        <f aca="false">IFERROR(MIN(R6*Assumptions!$C$67/12,Assumptions!$C$68/12),0)</f>
        <v>0</v>
      </c>
      <c r="S12" s="55" t="n">
        <f aca="false">IFERROR(MIN(S6*Assumptions!$C$67/12,Assumptions!$C$68/12),0)</f>
        <v>0</v>
      </c>
      <c r="T12" s="55" t="n">
        <f aca="false">IFERROR(MIN(T6*Assumptions!$C$67/12,Assumptions!$C$68/12),0)</f>
        <v>0</v>
      </c>
      <c r="U12" s="55" t="n">
        <f aca="false">IFERROR(MIN(U6*Assumptions!$C$67/12,Assumptions!$C$68/12),0)</f>
        <v>0</v>
      </c>
      <c r="V12" s="55" t="n">
        <f aca="false">IFERROR(MIN(V6*Assumptions!$C$67/12,Assumptions!$C$68/12),0)</f>
        <v>0</v>
      </c>
      <c r="W12" s="55" t="n">
        <f aca="false">IFERROR(MIN(W6*Assumptions!$C$67/12,Assumptions!$C$68/12),0)</f>
        <v>0</v>
      </c>
      <c r="X12" s="55" t="n">
        <f aca="false">IFERROR(MIN(X6*Assumptions!$C$67/12,Assumptions!$C$68/12),0)</f>
        <v>0</v>
      </c>
      <c r="Y12" s="55" t="n">
        <f aca="false">IFERROR(MIN(Y6*Assumptions!$C$67/12,Assumptions!$C$68/12),0)</f>
        <v>0</v>
      </c>
      <c r="Z12" s="55" t="n">
        <f aca="false">IFERROR(MIN(Z6*Assumptions!$C$67/12,Assumptions!$C$68/12),0)</f>
        <v>0</v>
      </c>
      <c r="AA12" s="55" t="n">
        <f aca="false">IFERROR(MIN(AA6*Assumptions!$C$67/12,Assumptions!$C$68/12),0)</f>
        <v>0</v>
      </c>
      <c r="AB12" s="55" t="n">
        <f aca="false">IFERROR(MIN(AB6*Assumptions!$C$67/12,Assumptions!$C$68/12),0)</f>
        <v>0</v>
      </c>
      <c r="AC12" s="55" t="n">
        <f aca="false">IFERROR(MIN(AC6*Assumptions!$C$67/12,Assumptions!$C$68/12),0)</f>
        <v>0</v>
      </c>
      <c r="AD12" s="55" t="n">
        <f aca="false">IFERROR(MIN(AD6*Assumptions!$C$67/12,Assumptions!$C$68/12),0)</f>
        <v>0</v>
      </c>
      <c r="AE12" s="55" t="n">
        <f aca="false">IFERROR(MIN(AE6*Assumptions!$C$67/12,Assumptions!$C$68/12),0)</f>
        <v>0</v>
      </c>
      <c r="AF12" s="55" t="n">
        <f aca="false">IFERROR(MIN(AF6*Assumptions!$C$67/12,Assumptions!$C$68/12),0)</f>
        <v>0</v>
      </c>
      <c r="AG12" s="55" t="n">
        <f aca="false">IFERROR(MIN(AG6*Assumptions!$C$67/12,Assumptions!$C$68/12),0)</f>
        <v>0</v>
      </c>
      <c r="AH12" s="55" t="n">
        <f aca="false">IFERROR(MIN(AH6*Assumptions!$C$67/12,Assumptions!$C$68/12),0)</f>
        <v>0</v>
      </c>
      <c r="AI12" s="55" t="n">
        <f aca="false">IFERROR(MIN(AI6*Assumptions!$C$67/12,Assumptions!$C$68/12),0)</f>
        <v>0</v>
      </c>
      <c r="AJ12" s="55" t="n">
        <f aca="false">IFERROR(MIN(AJ6*Assumptions!$C$67/12,Assumptions!$C$68/12),0)</f>
        <v>0</v>
      </c>
      <c r="AK12" s="55" t="n">
        <f aca="false">IFERROR(MIN(AK6*Assumptions!$C$67/12,Assumptions!$C$68/12),0)</f>
        <v>0</v>
      </c>
      <c r="AL12" s="55" t="n">
        <f aca="false">IFERROR(MIN(AL6*Assumptions!$C$67/12,Assumptions!$C$68/12),0)</f>
        <v>0</v>
      </c>
      <c r="AM12" s="55" t="n">
        <f aca="false">IFERROR(MIN(AM6*Assumptions!$C$67/12,Assumptions!$C$68/12),0)</f>
        <v>0</v>
      </c>
      <c r="AN12" s="55" t="n">
        <f aca="false">IFERROR(MIN(AN6*Assumptions!$C$67/12,Assumptions!$C$68/12),0)</f>
        <v>0</v>
      </c>
      <c r="AO12" s="55" t="n">
        <f aca="false">IFERROR(MIN(AO6*Assumptions!$C$67/12,Assumptions!$C$68/12),0)</f>
        <v>0</v>
      </c>
      <c r="AP12" s="55" t="n">
        <f aca="false">IFERROR(MIN(AP6*Assumptions!$C$67/12,Assumptions!$C$68/12),0)</f>
        <v>0</v>
      </c>
      <c r="AQ12" s="55" t="n">
        <f aca="false">IFERROR(MIN(AQ6*Assumptions!$C$67/12,Assumptions!$C$68/12),0)</f>
        <v>0</v>
      </c>
      <c r="AR12" s="55" t="n">
        <f aca="false">IFERROR(MIN(AR6*Assumptions!$C$67/12,Assumptions!$C$68/12),0)</f>
        <v>0</v>
      </c>
      <c r="AS12" s="55" t="n">
        <f aca="false">IFERROR(MIN(AS6*Assumptions!$C$67/12,Assumptions!$C$68/12),0)</f>
        <v>0</v>
      </c>
      <c r="AT12" s="55" t="n">
        <f aca="false">IFERROR(MIN(AT6*Assumptions!$C$67/12,Assumptions!$C$68/12),0)</f>
        <v>0</v>
      </c>
      <c r="AU12" s="55" t="n">
        <f aca="false">IFERROR(MIN(AU6*Assumptions!$C$67/12,Assumptions!$C$68/12),0)</f>
        <v>0</v>
      </c>
      <c r="AV12" s="55" t="n">
        <f aca="false">IFERROR(MIN(AV6*Assumptions!$C$67/12,Assumptions!$C$68/12),0)</f>
        <v>0</v>
      </c>
      <c r="AW12" s="55" t="n">
        <f aca="false">IFERROR(MIN(AW6*Assumptions!$C$67/12,Assumptions!$C$68/12),0)</f>
        <v>0</v>
      </c>
      <c r="AX12" s="55" t="n">
        <f aca="false">IFERROR(MIN(AX6*Assumptions!$C$67/12,Assumptions!$C$68/12),0)</f>
        <v>0</v>
      </c>
      <c r="AY12" s="55" t="n">
        <f aca="false">IFERROR(MIN(AY6*Assumptions!$C$67/12,Assumptions!$C$68/12),0)</f>
        <v>0</v>
      </c>
      <c r="AZ12" s="55" t="n">
        <f aca="false">IFERROR(MIN(AZ6*Assumptions!$C$67/12,Assumptions!$C$68/12),0)</f>
        <v>0</v>
      </c>
      <c r="BA12" s="55" t="n">
        <f aca="false">IFERROR(MIN(BA6*Assumptions!$C$67/12,Assumptions!$C$68/12),0)</f>
        <v>0</v>
      </c>
      <c r="BB12" s="55" t="n">
        <f aca="false">IFERROR(MIN(BB6*Assumptions!$C$67/12,Assumptions!$C$68/12),0)</f>
        <v>0</v>
      </c>
      <c r="BC12" s="55" t="n">
        <f aca="false">IFERROR(MIN(BC6*Assumptions!$C$67/12,Assumptions!$C$68/12),0)</f>
        <v>0</v>
      </c>
      <c r="BD12" s="55" t="n">
        <f aca="false">IFERROR(MIN(BD6*Assumptions!$C$67/12,Assumptions!$C$68/12),0)</f>
        <v>0</v>
      </c>
      <c r="BE12" s="55" t="n">
        <f aca="false">IFERROR(MIN(BE6*Assumptions!$C$67/12,Assumptions!$C$68/12),0)</f>
        <v>0</v>
      </c>
      <c r="BF12" s="55" t="n">
        <f aca="false">IFERROR(MIN(BF6*Assumptions!$C$67/12,Assumptions!$C$68/12),0)</f>
        <v>0</v>
      </c>
      <c r="BG12" s="55" t="n">
        <f aca="false">IFERROR(MIN(BG6*Assumptions!$C$67/12,Assumptions!$C$68/12),0)</f>
        <v>0</v>
      </c>
      <c r="BH12" s="55" t="n">
        <f aca="false">IFERROR(MIN(BH6*Assumptions!$C$67/12,Assumptions!$C$68/12),0)</f>
        <v>0</v>
      </c>
      <c r="BI12" s="55" t="n">
        <f aca="false">IFERROR(MIN(BI6*Assumptions!$C$67/12,Assumptions!$C$68/12),0)</f>
        <v>0</v>
      </c>
      <c r="BJ12" s="55" t="n">
        <f aca="false">IFERROR(MIN(BJ6*Assumptions!$C$67/12,Assumptions!$C$68/12),0)</f>
        <v>0</v>
      </c>
    </row>
    <row r="13" customFormat="false" ht="15" hidden="false" customHeight="false" outlineLevel="0" collapsed="false">
      <c r="A13" s="6" t="s">
        <v>210</v>
      </c>
      <c r="B13" s="49" t="s">
        <v>88</v>
      </c>
      <c r="C13" s="50" t="n">
        <f aca="false">IFERROR(C7-C12,0)</f>
        <v>0</v>
      </c>
      <c r="D13" s="50" t="n">
        <f aca="false">IFERROR(D7-D12,0)</f>
        <v>0</v>
      </c>
      <c r="E13" s="50" t="n">
        <f aca="false">IFERROR(E7-E12,0)</f>
        <v>0</v>
      </c>
      <c r="F13" s="50" t="n">
        <f aca="false">IFERROR(F7-F12,0)</f>
        <v>0</v>
      </c>
      <c r="G13" s="50" t="n">
        <f aca="false">IFERROR(G7-G12,0)</f>
        <v>0</v>
      </c>
      <c r="H13" s="50" t="n">
        <f aca="false">IFERROR(H7-H12,0)</f>
        <v>0</v>
      </c>
      <c r="I13" s="50" t="n">
        <f aca="false">IFERROR(I7-I12,0)</f>
        <v>0</v>
      </c>
      <c r="J13" s="50" t="n">
        <f aca="false">IFERROR(J7-J12,0)</f>
        <v>0</v>
      </c>
      <c r="K13" s="50" t="n">
        <f aca="false">IFERROR(K7-K12,0)</f>
        <v>0</v>
      </c>
      <c r="L13" s="50" t="n">
        <f aca="false">IFERROR(L7-L12,0)</f>
        <v>0</v>
      </c>
      <c r="M13" s="50" t="n">
        <f aca="false">IFERROR(M7-M12,0)</f>
        <v>0</v>
      </c>
      <c r="N13" s="50" t="n">
        <f aca="false">IFERROR(N7-N12,0)</f>
        <v>0</v>
      </c>
      <c r="O13" s="50" t="n">
        <f aca="false">IFERROR(O7-O12,0)</f>
        <v>0</v>
      </c>
      <c r="P13" s="50" t="n">
        <f aca="false">IFERROR(P7-P12,0)</f>
        <v>0</v>
      </c>
      <c r="Q13" s="50" t="n">
        <f aca="false">IFERROR(Q7-Q12,0)</f>
        <v>0</v>
      </c>
      <c r="R13" s="50" t="n">
        <f aca="false">IFERROR(R7-R12,0)</f>
        <v>0</v>
      </c>
      <c r="S13" s="50" t="n">
        <f aca="false">IFERROR(S7-S12,0)</f>
        <v>0</v>
      </c>
      <c r="T13" s="50" t="n">
        <f aca="false">IFERROR(T7-T12,0)</f>
        <v>0</v>
      </c>
      <c r="U13" s="50" t="n">
        <f aca="false">IFERROR(U7-U12,0)</f>
        <v>0</v>
      </c>
      <c r="V13" s="50" t="n">
        <f aca="false">IFERROR(V7-V12,0)</f>
        <v>0</v>
      </c>
      <c r="W13" s="50" t="n">
        <f aca="false">IFERROR(W7-W12,0)</f>
        <v>0</v>
      </c>
      <c r="X13" s="50" t="n">
        <f aca="false">IFERROR(X7-X12,0)</f>
        <v>0</v>
      </c>
      <c r="Y13" s="50" t="n">
        <f aca="false">IFERROR(Y7-Y12,0)</f>
        <v>0</v>
      </c>
      <c r="Z13" s="50" t="n">
        <f aca="false">IFERROR(Z7-Z12,0)</f>
        <v>0</v>
      </c>
      <c r="AA13" s="50" t="n">
        <f aca="false">IFERROR(AA7-AA12,0)</f>
        <v>0</v>
      </c>
      <c r="AB13" s="50" t="n">
        <f aca="false">IFERROR(AB7-AB12,0)</f>
        <v>0</v>
      </c>
      <c r="AC13" s="50" t="n">
        <f aca="false">IFERROR(AC7-AC12,0)</f>
        <v>0</v>
      </c>
      <c r="AD13" s="50" t="n">
        <f aca="false">IFERROR(AD7-AD12,0)</f>
        <v>0</v>
      </c>
      <c r="AE13" s="50" t="n">
        <f aca="false">IFERROR(AE7-AE12,0)</f>
        <v>0</v>
      </c>
      <c r="AF13" s="50" t="n">
        <f aca="false">IFERROR(AF7-AF12,0)</f>
        <v>0</v>
      </c>
      <c r="AG13" s="50" t="n">
        <f aca="false">IFERROR(AG7-AG12,0)</f>
        <v>0</v>
      </c>
      <c r="AH13" s="50" t="n">
        <f aca="false">IFERROR(AH7-AH12,0)</f>
        <v>0</v>
      </c>
      <c r="AI13" s="50" t="n">
        <f aca="false">IFERROR(AI7-AI12,0)</f>
        <v>0</v>
      </c>
      <c r="AJ13" s="50" t="n">
        <f aca="false">IFERROR(AJ7-AJ12,0)</f>
        <v>0</v>
      </c>
      <c r="AK13" s="50" t="n">
        <f aca="false">IFERROR(AK7-AK12,0)</f>
        <v>0</v>
      </c>
      <c r="AL13" s="50" t="n">
        <f aca="false">IFERROR(AL7-AL12,0)</f>
        <v>0</v>
      </c>
      <c r="AM13" s="50" t="n">
        <f aca="false">IFERROR(AM7-AM12,0)</f>
        <v>0</v>
      </c>
      <c r="AN13" s="50" t="n">
        <f aca="false">IFERROR(AN7-AN12,0)</f>
        <v>0</v>
      </c>
      <c r="AO13" s="50" t="n">
        <f aca="false">IFERROR(AO7-AO12,0)</f>
        <v>0</v>
      </c>
      <c r="AP13" s="50" t="n">
        <f aca="false">IFERROR(AP7-AP12,0)</f>
        <v>0</v>
      </c>
      <c r="AQ13" s="50" t="n">
        <f aca="false">IFERROR(AQ7-AQ12,0)</f>
        <v>0</v>
      </c>
      <c r="AR13" s="50" t="n">
        <f aca="false">IFERROR(AR7-AR12,0)</f>
        <v>0</v>
      </c>
      <c r="AS13" s="50" t="n">
        <f aca="false">IFERROR(AS7-AS12,0)</f>
        <v>0</v>
      </c>
      <c r="AT13" s="50" t="n">
        <f aca="false">IFERROR(AT7-AT12,0)</f>
        <v>0</v>
      </c>
      <c r="AU13" s="50" t="n">
        <f aca="false">IFERROR(AU7-AU12,0)</f>
        <v>0</v>
      </c>
      <c r="AV13" s="50" t="n">
        <f aca="false">IFERROR(AV7-AV12,0)</f>
        <v>0</v>
      </c>
      <c r="AW13" s="50" t="n">
        <f aca="false">IFERROR(AW7-AW12,0)</f>
        <v>0</v>
      </c>
      <c r="AX13" s="50" t="n">
        <f aca="false">IFERROR(AX7-AX12,0)</f>
        <v>0</v>
      </c>
      <c r="AY13" s="50" t="n">
        <f aca="false">IFERROR(AY7-AY12,0)</f>
        <v>0</v>
      </c>
      <c r="AZ13" s="50" t="n">
        <f aca="false">IFERROR(AZ7-AZ12,0)</f>
        <v>0</v>
      </c>
      <c r="BA13" s="50" t="n">
        <f aca="false">IFERROR(BA7-BA12,0)</f>
        <v>0</v>
      </c>
      <c r="BB13" s="50" t="n">
        <f aca="false">IFERROR(BB7-BB12,0)</f>
        <v>0</v>
      </c>
      <c r="BC13" s="50" t="n">
        <f aca="false">IFERROR(BC7-BC12,0)</f>
        <v>0</v>
      </c>
      <c r="BD13" s="50" t="n">
        <f aca="false">IFERROR(BD7-BD12,0)</f>
        <v>0</v>
      </c>
      <c r="BE13" s="50" t="n">
        <f aca="false">IFERROR(BE7-BE12,0)</f>
        <v>0</v>
      </c>
      <c r="BF13" s="50" t="n">
        <f aca="false">IFERROR(BF7-BF12,0)</f>
        <v>0</v>
      </c>
      <c r="BG13" s="50" t="n">
        <f aca="false">IFERROR(BG7-BG12,0)</f>
        <v>0</v>
      </c>
      <c r="BH13" s="50" t="n">
        <f aca="false">IFERROR(BH7-BH12,0)</f>
        <v>0</v>
      </c>
      <c r="BI13" s="50" t="n">
        <f aca="false">IFERROR(BI7-BI12,0)</f>
        <v>0</v>
      </c>
      <c r="BJ13" s="50" t="n">
        <f aca="false">IFERROR(BJ7-BJ12,0)</f>
        <v>0</v>
      </c>
    </row>
  </sheetData>
  <mergeCells count="1">
    <mergeCell ref="A1:B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2" min="2" style="0" width="11"/>
  </cols>
  <sheetData>
    <row r="1" customFormat="false" ht="24" hidden="false" customHeight="true" outlineLevel="0" collapsed="false">
      <c r="A1" s="32" t="s">
        <v>211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</row>
    <row r="2" customFormat="false" ht="15" hidden="false" customHeight="false" outlineLevel="0" collapsed="false">
      <c r="A2" s="37" t="s">
        <v>212</v>
      </c>
    </row>
    <row r="3" customFormat="false" ht="15" hidden="false" customHeight="false" outlineLevel="0" collapsed="false">
      <c r="A3" s="45" t="s">
        <v>197</v>
      </c>
      <c r="C3" s="46" t="n">
        <v>1</v>
      </c>
      <c r="D3" s="46" t="n">
        <v>2</v>
      </c>
      <c r="E3" s="46" t="n">
        <v>3</v>
      </c>
      <c r="F3" s="46" t="n">
        <v>4</v>
      </c>
      <c r="G3" s="46" t="n">
        <v>5</v>
      </c>
      <c r="H3" s="46" t="n">
        <v>6</v>
      </c>
      <c r="I3" s="46" t="n">
        <v>7</v>
      </c>
      <c r="J3" s="46" t="n">
        <v>8</v>
      </c>
      <c r="K3" s="46" t="n">
        <v>9</v>
      </c>
      <c r="L3" s="46" t="n">
        <v>10</v>
      </c>
      <c r="M3" s="46" t="n">
        <v>11</v>
      </c>
      <c r="N3" s="46" t="n">
        <v>12</v>
      </c>
      <c r="O3" s="46" t="n">
        <v>13</v>
      </c>
      <c r="P3" s="46" t="n">
        <v>14</v>
      </c>
      <c r="Q3" s="46" t="n">
        <v>15</v>
      </c>
      <c r="R3" s="46" t="n">
        <v>16</v>
      </c>
      <c r="S3" s="46" t="n">
        <v>17</v>
      </c>
      <c r="T3" s="46" t="n">
        <v>18</v>
      </c>
      <c r="U3" s="46" t="n">
        <v>19</v>
      </c>
      <c r="V3" s="46" t="n">
        <v>20</v>
      </c>
      <c r="W3" s="46" t="n">
        <v>21</v>
      </c>
      <c r="X3" s="46" t="n">
        <v>22</v>
      </c>
      <c r="Y3" s="46" t="n">
        <v>23</v>
      </c>
      <c r="Z3" s="46" t="n">
        <v>24</v>
      </c>
      <c r="AA3" s="46" t="n">
        <v>25</v>
      </c>
      <c r="AB3" s="46" t="n">
        <v>26</v>
      </c>
      <c r="AC3" s="46" t="n">
        <v>27</v>
      </c>
      <c r="AD3" s="46" t="n">
        <v>28</v>
      </c>
      <c r="AE3" s="46" t="n">
        <v>29</v>
      </c>
      <c r="AF3" s="46" t="n">
        <v>30</v>
      </c>
      <c r="AG3" s="46" t="n">
        <v>31</v>
      </c>
      <c r="AH3" s="46" t="n">
        <v>32</v>
      </c>
      <c r="AI3" s="46" t="n">
        <v>33</v>
      </c>
      <c r="AJ3" s="46" t="n">
        <v>34</v>
      </c>
      <c r="AK3" s="46" t="n">
        <v>35</v>
      </c>
      <c r="AL3" s="46" t="n">
        <v>36</v>
      </c>
      <c r="AM3" s="46" t="n">
        <v>37</v>
      </c>
      <c r="AN3" s="46" t="n">
        <v>38</v>
      </c>
      <c r="AO3" s="46" t="n">
        <v>39</v>
      </c>
      <c r="AP3" s="46" t="n">
        <v>40</v>
      </c>
      <c r="AQ3" s="46" t="n">
        <v>41</v>
      </c>
      <c r="AR3" s="46" t="n">
        <v>42</v>
      </c>
      <c r="AS3" s="46" t="n">
        <v>43</v>
      </c>
      <c r="AT3" s="46" t="n">
        <v>44</v>
      </c>
      <c r="AU3" s="46" t="n">
        <v>45</v>
      </c>
      <c r="AV3" s="46" t="n">
        <v>46</v>
      </c>
      <c r="AW3" s="46" t="n">
        <v>47</v>
      </c>
      <c r="AX3" s="46" t="n">
        <v>48</v>
      </c>
      <c r="AY3" s="46" t="n">
        <v>49</v>
      </c>
      <c r="AZ3" s="46" t="n">
        <v>50</v>
      </c>
      <c r="BA3" s="46" t="n">
        <v>51</v>
      </c>
      <c r="BB3" s="46" t="n">
        <v>52</v>
      </c>
      <c r="BC3" s="46" t="n">
        <v>53</v>
      </c>
      <c r="BD3" s="46" t="n">
        <v>54</v>
      </c>
      <c r="BE3" s="46" t="n">
        <v>55</v>
      </c>
      <c r="BF3" s="46" t="n">
        <v>56</v>
      </c>
      <c r="BG3" s="46" t="n">
        <v>57</v>
      </c>
      <c r="BH3" s="46" t="n">
        <v>58</v>
      </c>
      <c r="BI3" s="46" t="n">
        <v>59</v>
      </c>
      <c r="BJ3" s="46" t="n">
        <v>60</v>
      </c>
    </row>
    <row r="4" customFormat="false" ht="15" hidden="false" customHeight="false" outlineLevel="0" collapsed="false">
      <c r="A4" s="45" t="s">
        <v>198</v>
      </c>
      <c r="C4" s="47" t="s">
        <v>199</v>
      </c>
      <c r="D4" s="47" t="s">
        <v>199</v>
      </c>
      <c r="E4" s="47" t="s">
        <v>199</v>
      </c>
      <c r="F4" s="47" t="s">
        <v>199</v>
      </c>
      <c r="G4" s="47" t="s">
        <v>199</v>
      </c>
      <c r="H4" s="47" t="s">
        <v>199</v>
      </c>
      <c r="I4" s="47" t="s">
        <v>199</v>
      </c>
      <c r="J4" s="47" t="s">
        <v>199</v>
      </c>
      <c r="K4" s="47" t="s">
        <v>199</v>
      </c>
      <c r="L4" s="47" t="s">
        <v>199</v>
      </c>
      <c r="M4" s="47" t="s">
        <v>199</v>
      </c>
      <c r="N4" s="47" t="s">
        <v>199</v>
      </c>
      <c r="O4" s="48" t="s">
        <v>200</v>
      </c>
      <c r="P4" s="48" t="s">
        <v>200</v>
      </c>
      <c r="Q4" s="48" t="s">
        <v>200</v>
      </c>
      <c r="R4" s="48" t="s">
        <v>200</v>
      </c>
      <c r="S4" s="48" t="s">
        <v>200</v>
      </c>
      <c r="T4" s="48" t="s">
        <v>200</v>
      </c>
      <c r="U4" s="48" t="s">
        <v>200</v>
      </c>
      <c r="V4" s="48" t="s">
        <v>200</v>
      </c>
      <c r="W4" s="48" t="s">
        <v>200</v>
      </c>
      <c r="X4" s="48" t="s">
        <v>200</v>
      </c>
      <c r="Y4" s="48" t="s">
        <v>200</v>
      </c>
      <c r="Z4" s="48" t="s">
        <v>200</v>
      </c>
      <c r="AA4" s="47" t="s">
        <v>201</v>
      </c>
      <c r="AB4" s="47" t="s">
        <v>201</v>
      </c>
      <c r="AC4" s="47" t="s">
        <v>201</v>
      </c>
      <c r="AD4" s="47" t="s">
        <v>201</v>
      </c>
      <c r="AE4" s="47" t="s">
        <v>201</v>
      </c>
      <c r="AF4" s="47" t="s">
        <v>201</v>
      </c>
      <c r="AG4" s="47" t="s">
        <v>201</v>
      </c>
      <c r="AH4" s="47" t="s">
        <v>201</v>
      </c>
      <c r="AI4" s="47" t="s">
        <v>201</v>
      </c>
      <c r="AJ4" s="47" t="s">
        <v>201</v>
      </c>
      <c r="AK4" s="47" t="s">
        <v>201</v>
      </c>
      <c r="AL4" s="47" t="s">
        <v>201</v>
      </c>
      <c r="AM4" s="48" t="s">
        <v>202</v>
      </c>
      <c r="AN4" s="48" t="s">
        <v>202</v>
      </c>
      <c r="AO4" s="48" t="s">
        <v>202</v>
      </c>
      <c r="AP4" s="48" t="s">
        <v>202</v>
      </c>
      <c r="AQ4" s="48" t="s">
        <v>202</v>
      </c>
      <c r="AR4" s="48" t="s">
        <v>202</v>
      </c>
      <c r="AS4" s="48" t="s">
        <v>202</v>
      </c>
      <c r="AT4" s="48" t="s">
        <v>202</v>
      </c>
      <c r="AU4" s="48" t="s">
        <v>202</v>
      </c>
      <c r="AV4" s="48" t="s">
        <v>202</v>
      </c>
      <c r="AW4" s="48" t="s">
        <v>202</v>
      </c>
      <c r="AX4" s="48" t="s">
        <v>202</v>
      </c>
      <c r="AY4" s="47" t="s">
        <v>203</v>
      </c>
      <c r="AZ4" s="47" t="s">
        <v>203</v>
      </c>
      <c r="BA4" s="47" t="s">
        <v>203</v>
      </c>
      <c r="BB4" s="47" t="s">
        <v>203</v>
      </c>
      <c r="BC4" s="47" t="s">
        <v>203</v>
      </c>
      <c r="BD4" s="47" t="s">
        <v>203</v>
      </c>
      <c r="BE4" s="47" t="s">
        <v>203</v>
      </c>
      <c r="BF4" s="47" t="s">
        <v>203</v>
      </c>
      <c r="BG4" s="47" t="s">
        <v>203</v>
      </c>
      <c r="BH4" s="47" t="s">
        <v>203</v>
      </c>
      <c r="BI4" s="47" t="s">
        <v>203</v>
      </c>
      <c r="BJ4" s="47" t="s">
        <v>203</v>
      </c>
    </row>
    <row r="6" customFormat="false" ht="15" hidden="false" customHeight="false" outlineLevel="0" collapsed="false">
      <c r="A6" s="42" t="s">
        <v>213</v>
      </c>
      <c r="B6" s="49" t="s">
        <v>88</v>
      </c>
      <c r="C6" s="51" t="n">
        <f aca="false">IFERROR(Assumptions!$C$15*Assumptions!$C$61/12,0)</f>
        <v>0</v>
      </c>
      <c r="D6" s="51" t="n">
        <f aca="false">IFERROR(Assumptions!$C$15*Assumptions!$C$61/12,0)</f>
        <v>0</v>
      </c>
      <c r="E6" s="51" t="n">
        <f aca="false">IFERROR(Assumptions!$C$15*Assumptions!$C$61/12,0)</f>
        <v>0</v>
      </c>
      <c r="F6" s="51" t="n">
        <f aca="false">IFERROR(Assumptions!$C$15*Assumptions!$C$61/12,0)</f>
        <v>0</v>
      </c>
      <c r="G6" s="51" t="n">
        <f aca="false">IFERROR(Assumptions!$C$15*Assumptions!$C$61/12,0)</f>
        <v>0</v>
      </c>
      <c r="H6" s="51" t="n">
        <f aca="false">IFERROR(Assumptions!$C$15*Assumptions!$C$61/12,0)</f>
        <v>0</v>
      </c>
      <c r="I6" s="51" t="n">
        <f aca="false">IFERROR(Assumptions!$C$15*Assumptions!$C$61/12,0)</f>
        <v>0</v>
      </c>
      <c r="J6" s="51" t="n">
        <f aca="false">IFERROR(Assumptions!$C$15*Assumptions!$C$61/12,0)</f>
        <v>0</v>
      </c>
      <c r="K6" s="51" t="n">
        <f aca="false">IFERROR(Assumptions!$C$15*Assumptions!$C$61/12,0)</f>
        <v>0</v>
      </c>
      <c r="L6" s="51" t="n">
        <f aca="false">IFERROR(Assumptions!$C$15*Assumptions!$C$61/12,0)</f>
        <v>0</v>
      </c>
      <c r="M6" s="51" t="n">
        <f aca="false">IFERROR(Assumptions!$C$15*Assumptions!$C$61/12,0)</f>
        <v>0</v>
      </c>
      <c r="N6" s="51" t="n">
        <f aca="false">IFERROR(Assumptions!$C$15*Assumptions!$C$61/12,0)</f>
        <v>0</v>
      </c>
      <c r="O6" s="51" t="n">
        <f aca="false">IFERROR(Assumptions!$C$15*Assumptions!$C$61/12,0)</f>
        <v>0</v>
      </c>
      <c r="P6" s="51" t="n">
        <f aca="false">IFERROR(Assumptions!$C$15*Assumptions!$C$61/12,0)</f>
        <v>0</v>
      </c>
      <c r="Q6" s="51" t="n">
        <f aca="false">IFERROR(Assumptions!$C$15*Assumptions!$C$61/12,0)</f>
        <v>0</v>
      </c>
      <c r="R6" s="51" t="n">
        <f aca="false">IFERROR(Assumptions!$C$15*Assumptions!$C$61/12,0)</f>
        <v>0</v>
      </c>
      <c r="S6" s="51" t="n">
        <f aca="false">IFERROR(Assumptions!$C$15*Assumptions!$C$61/12,0)</f>
        <v>0</v>
      </c>
      <c r="T6" s="51" t="n">
        <f aca="false">IFERROR(Assumptions!$C$15*Assumptions!$C$61/12,0)</f>
        <v>0</v>
      </c>
      <c r="U6" s="51" t="n">
        <f aca="false">IFERROR(Assumptions!$C$15*Assumptions!$C$61/12,0)</f>
        <v>0</v>
      </c>
      <c r="V6" s="51" t="n">
        <f aca="false">IFERROR(Assumptions!$C$15*Assumptions!$C$61/12,0)</f>
        <v>0</v>
      </c>
      <c r="W6" s="51" t="n">
        <f aca="false">IFERROR(Assumptions!$C$15*Assumptions!$C$61/12,0)</f>
        <v>0</v>
      </c>
      <c r="X6" s="51" t="n">
        <f aca="false">IFERROR(Assumptions!$C$15*Assumptions!$C$61/12,0)</f>
        <v>0</v>
      </c>
      <c r="Y6" s="51" t="n">
        <f aca="false">IFERROR(Assumptions!$C$15*Assumptions!$C$61/12,0)</f>
        <v>0</v>
      </c>
      <c r="Z6" s="51" t="n">
        <f aca="false">IFERROR(Assumptions!$C$15*Assumptions!$C$61/12,0)</f>
        <v>0</v>
      </c>
      <c r="AA6" s="51" t="n">
        <f aca="false">IFERROR(Assumptions!$C$15*Assumptions!$C$61/12,0)</f>
        <v>0</v>
      </c>
      <c r="AB6" s="51" t="n">
        <f aca="false">IFERROR(Assumptions!$C$15*Assumptions!$C$61/12,0)</f>
        <v>0</v>
      </c>
      <c r="AC6" s="51" t="n">
        <f aca="false">IFERROR(Assumptions!$C$15*Assumptions!$C$61/12,0)</f>
        <v>0</v>
      </c>
      <c r="AD6" s="51" t="n">
        <f aca="false">IFERROR(Assumptions!$C$15*Assumptions!$C$61/12,0)</f>
        <v>0</v>
      </c>
      <c r="AE6" s="51" t="n">
        <f aca="false">IFERROR(Assumptions!$C$15*Assumptions!$C$61/12,0)</f>
        <v>0</v>
      </c>
      <c r="AF6" s="51" t="n">
        <f aca="false">IFERROR(Assumptions!$C$15*Assumptions!$C$61/12,0)</f>
        <v>0</v>
      </c>
      <c r="AG6" s="51" t="n">
        <f aca="false">IFERROR(Assumptions!$C$15*Assumptions!$C$61/12,0)</f>
        <v>0</v>
      </c>
      <c r="AH6" s="51" t="n">
        <f aca="false">IFERROR(Assumptions!$C$15*Assumptions!$C$61/12,0)</f>
        <v>0</v>
      </c>
      <c r="AI6" s="51" t="n">
        <f aca="false">IFERROR(Assumptions!$C$15*Assumptions!$C$61/12,0)</f>
        <v>0</v>
      </c>
      <c r="AJ6" s="51" t="n">
        <f aca="false">IFERROR(Assumptions!$C$15*Assumptions!$C$61/12,0)</f>
        <v>0</v>
      </c>
      <c r="AK6" s="51" t="n">
        <f aca="false">IFERROR(Assumptions!$C$15*Assumptions!$C$61/12,0)</f>
        <v>0</v>
      </c>
      <c r="AL6" s="51" t="n">
        <f aca="false">IFERROR(Assumptions!$C$15*Assumptions!$C$61/12,0)</f>
        <v>0</v>
      </c>
      <c r="AM6" s="51" t="n">
        <f aca="false">IFERROR(Assumptions!$C$15*Assumptions!$C$61/12,0)</f>
        <v>0</v>
      </c>
      <c r="AN6" s="51" t="n">
        <f aca="false">IFERROR(Assumptions!$C$15*Assumptions!$C$61/12,0)</f>
        <v>0</v>
      </c>
      <c r="AO6" s="51" t="n">
        <f aca="false">IFERROR(Assumptions!$C$15*Assumptions!$C$61/12,0)</f>
        <v>0</v>
      </c>
      <c r="AP6" s="51" t="n">
        <f aca="false">IFERROR(Assumptions!$C$15*Assumptions!$C$61/12,0)</f>
        <v>0</v>
      </c>
      <c r="AQ6" s="51" t="n">
        <f aca="false">IFERROR(Assumptions!$C$15*Assumptions!$C$61/12,0)</f>
        <v>0</v>
      </c>
      <c r="AR6" s="51" t="n">
        <f aca="false">IFERROR(Assumptions!$C$15*Assumptions!$C$61/12,0)</f>
        <v>0</v>
      </c>
      <c r="AS6" s="51" t="n">
        <f aca="false">IFERROR(Assumptions!$C$15*Assumptions!$C$61/12,0)</f>
        <v>0</v>
      </c>
      <c r="AT6" s="51" t="n">
        <f aca="false">IFERROR(Assumptions!$C$15*Assumptions!$C$61/12,0)</f>
        <v>0</v>
      </c>
      <c r="AU6" s="51" t="n">
        <f aca="false">IFERROR(Assumptions!$C$15*Assumptions!$C$61/12,0)</f>
        <v>0</v>
      </c>
      <c r="AV6" s="51" t="n">
        <f aca="false">IFERROR(Assumptions!$C$15*Assumptions!$C$61/12,0)</f>
        <v>0</v>
      </c>
      <c r="AW6" s="51" t="n">
        <f aca="false">IFERROR(Assumptions!$C$15*Assumptions!$C$61/12,0)</f>
        <v>0</v>
      </c>
      <c r="AX6" s="51" t="n">
        <f aca="false">IFERROR(Assumptions!$C$15*Assumptions!$C$61/12,0)</f>
        <v>0</v>
      </c>
      <c r="AY6" s="51" t="n">
        <f aca="false">IFERROR(Assumptions!$C$15*Assumptions!$C$61/12,0)</f>
        <v>0</v>
      </c>
      <c r="AZ6" s="51" t="n">
        <f aca="false">IFERROR(Assumptions!$C$15*Assumptions!$C$61/12,0)</f>
        <v>0</v>
      </c>
      <c r="BA6" s="51" t="n">
        <f aca="false">IFERROR(Assumptions!$C$15*Assumptions!$C$61/12,0)</f>
        <v>0</v>
      </c>
      <c r="BB6" s="51" t="n">
        <f aca="false">IFERROR(Assumptions!$C$15*Assumptions!$C$61/12,0)</f>
        <v>0</v>
      </c>
      <c r="BC6" s="51" t="n">
        <f aca="false">IFERROR(Assumptions!$C$15*Assumptions!$C$61/12,0)</f>
        <v>0</v>
      </c>
      <c r="BD6" s="51" t="n">
        <f aca="false">IFERROR(Assumptions!$C$15*Assumptions!$C$61/12,0)</f>
        <v>0</v>
      </c>
      <c r="BE6" s="51" t="n">
        <f aca="false">IFERROR(Assumptions!$C$15*Assumptions!$C$61/12,0)</f>
        <v>0</v>
      </c>
      <c r="BF6" s="51" t="n">
        <f aca="false">IFERROR(Assumptions!$C$15*Assumptions!$C$61/12,0)</f>
        <v>0</v>
      </c>
      <c r="BG6" s="51" t="n">
        <f aca="false">IFERROR(Assumptions!$C$15*Assumptions!$C$61/12,0)</f>
        <v>0</v>
      </c>
      <c r="BH6" s="51" t="n">
        <f aca="false">IFERROR(Assumptions!$C$15*Assumptions!$C$61/12,0)</f>
        <v>0</v>
      </c>
      <c r="BI6" s="51" t="n">
        <f aca="false">IFERROR(Assumptions!$C$15*Assumptions!$C$61/12,0)</f>
        <v>0</v>
      </c>
      <c r="BJ6" s="51" t="n">
        <f aca="false">IFERROR(Assumptions!$C$15*Assumptions!$C$61/12,0)</f>
        <v>0</v>
      </c>
    </row>
    <row r="7" customFormat="false" ht="15" hidden="false" customHeight="false" outlineLevel="0" collapsed="false">
      <c r="A7" s="42" t="s">
        <v>175</v>
      </c>
      <c r="B7" s="49" t="s">
        <v>88</v>
      </c>
      <c r="C7" s="51" t="n">
        <f aca="false">IFERROR(Assumptions!$C$16*Assumptions!$C$62/12,0)</f>
        <v>0</v>
      </c>
      <c r="D7" s="51" t="n">
        <f aca="false">IFERROR(Assumptions!$C$16*Assumptions!$C$62/12,0)</f>
        <v>0</v>
      </c>
      <c r="E7" s="51" t="n">
        <f aca="false">IFERROR(Assumptions!$C$16*Assumptions!$C$62/12,0)</f>
        <v>0</v>
      </c>
      <c r="F7" s="51" t="n">
        <f aca="false">IFERROR(Assumptions!$C$16*Assumptions!$C$62/12,0)</f>
        <v>0</v>
      </c>
      <c r="G7" s="51" t="n">
        <f aca="false">IFERROR(Assumptions!$C$16*Assumptions!$C$62/12,0)</f>
        <v>0</v>
      </c>
      <c r="H7" s="51" t="n">
        <f aca="false">IFERROR(Assumptions!$C$16*Assumptions!$C$62/12,0)</f>
        <v>0</v>
      </c>
      <c r="I7" s="51" t="n">
        <f aca="false">IFERROR(Assumptions!$C$16*Assumptions!$C$62/12,0)</f>
        <v>0</v>
      </c>
      <c r="J7" s="51" t="n">
        <f aca="false">IFERROR(Assumptions!$C$16*Assumptions!$C$62/12,0)</f>
        <v>0</v>
      </c>
      <c r="K7" s="51" t="n">
        <f aca="false">IFERROR(Assumptions!$C$16*Assumptions!$C$62/12,0)</f>
        <v>0</v>
      </c>
      <c r="L7" s="51" t="n">
        <f aca="false">IFERROR(Assumptions!$C$16*Assumptions!$C$62/12,0)</f>
        <v>0</v>
      </c>
      <c r="M7" s="51" t="n">
        <f aca="false">IFERROR(Assumptions!$C$16*Assumptions!$C$62/12,0)</f>
        <v>0</v>
      </c>
      <c r="N7" s="51" t="n">
        <f aca="false">IFERROR(Assumptions!$C$16*Assumptions!$C$62/12,0)</f>
        <v>0</v>
      </c>
      <c r="O7" s="51" t="n">
        <f aca="false">IFERROR(Assumptions!$C$16*Assumptions!$C$62/12,0)</f>
        <v>0</v>
      </c>
      <c r="P7" s="51" t="n">
        <f aca="false">IFERROR(Assumptions!$C$16*Assumptions!$C$62/12,0)</f>
        <v>0</v>
      </c>
      <c r="Q7" s="51" t="n">
        <f aca="false">IFERROR(Assumptions!$C$16*Assumptions!$C$62/12,0)</f>
        <v>0</v>
      </c>
      <c r="R7" s="51" t="n">
        <f aca="false">IFERROR(Assumptions!$C$16*Assumptions!$C$62/12,0)</f>
        <v>0</v>
      </c>
      <c r="S7" s="51" t="n">
        <f aca="false">IFERROR(Assumptions!$C$16*Assumptions!$C$62/12,0)</f>
        <v>0</v>
      </c>
      <c r="T7" s="51" t="n">
        <f aca="false">IFERROR(Assumptions!$C$16*Assumptions!$C$62/12,0)</f>
        <v>0</v>
      </c>
      <c r="U7" s="51" t="n">
        <f aca="false">IFERROR(Assumptions!$C$16*Assumptions!$C$62/12,0)</f>
        <v>0</v>
      </c>
      <c r="V7" s="51" t="n">
        <f aca="false">IFERROR(Assumptions!$C$16*Assumptions!$C$62/12,0)</f>
        <v>0</v>
      </c>
      <c r="W7" s="51" t="n">
        <f aca="false">IFERROR(Assumptions!$C$16*Assumptions!$C$62/12,0)</f>
        <v>0</v>
      </c>
      <c r="X7" s="51" t="n">
        <f aca="false">IFERROR(Assumptions!$C$16*Assumptions!$C$62/12,0)</f>
        <v>0</v>
      </c>
      <c r="Y7" s="51" t="n">
        <f aca="false">IFERROR(Assumptions!$C$16*Assumptions!$C$62/12,0)</f>
        <v>0</v>
      </c>
      <c r="Z7" s="51" t="n">
        <f aca="false">IFERROR(Assumptions!$C$16*Assumptions!$C$62/12,0)</f>
        <v>0</v>
      </c>
      <c r="AA7" s="51" t="n">
        <f aca="false">IFERROR(Assumptions!$C$16*Assumptions!$C$62/12,0)</f>
        <v>0</v>
      </c>
      <c r="AB7" s="51" t="n">
        <f aca="false">IFERROR(Assumptions!$C$16*Assumptions!$C$62/12,0)</f>
        <v>0</v>
      </c>
      <c r="AC7" s="51" t="n">
        <f aca="false">IFERROR(Assumptions!$C$16*Assumptions!$C$62/12,0)</f>
        <v>0</v>
      </c>
      <c r="AD7" s="51" t="n">
        <f aca="false">IFERROR(Assumptions!$C$16*Assumptions!$C$62/12,0)</f>
        <v>0</v>
      </c>
      <c r="AE7" s="51" t="n">
        <f aca="false">IFERROR(Assumptions!$C$16*Assumptions!$C$62/12,0)</f>
        <v>0</v>
      </c>
      <c r="AF7" s="51" t="n">
        <f aca="false">IFERROR(Assumptions!$C$16*Assumptions!$C$62/12,0)</f>
        <v>0</v>
      </c>
      <c r="AG7" s="51" t="n">
        <f aca="false">IFERROR(Assumptions!$C$16*Assumptions!$C$62/12,0)</f>
        <v>0</v>
      </c>
      <c r="AH7" s="51" t="n">
        <f aca="false">IFERROR(Assumptions!$C$16*Assumptions!$C$62/12,0)</f>
        <v>0</v>
      </c>
      <c r="AI7" s="51" t="n">
        <f aca="false">IFERROR(Assumptions!$C$16*Assumptions!$C$62/12,0)</f>
        <v>0</v>
      </c>
      <c r="AJ7" s="51" t="n">
        <f aca="false">IFERROR(Assumptions!$C$16*Assumptions!$C$62/12,0)</f>
        <v>0</v>
      </c>
      <c r="AK7" s="51" t="n">
        <f aca="false">IFERROR(Assumptions!$C$16*Assumptions!$C$62/12,0)</f>
        <v>0</v>
      </c>
      <c r="AL7" s="51" t="n">
        <f aca="false">IFERROR(Assumptions!$C$16*Assumptions!$C$62/12,0)</f>
        <v>0</v>
      </c>
      <c r="AM7" s="51" t="n">
        <f aca="false">IFERROR(Assumptions!$C$16*Assumptions!$C$62/12,0)</f>
        <v>0</v>
      </c>
      <c r="AN7" s="51" t="n">
        <f aca="false">IFERROR(Assumptions!$C$16*Assumptions!$C$62/12,0)</f>
        <v>0</v>
      </c>
      <c r="AO7" s="51" t="n">
        <f aca="false">IFERROR(Assumptions!$C$16*Assumptions!$C$62/12,0)</f>
        <v>0</v>
      </c>
      <c r="AP7" s="51" t="n">
        <f aca="false">IFERROR(Assumptions!$C$16*Assumptions!$C$62/12,0)</f>
        <v>0</v>
      </c>
      <c r="AQ7" s="51" t="n">
        <f aca="false">IFERROR(Assumptions!$C$16*Assumptions!$C$62/12,0)</f>
        <v>0</v>
      </c>
      <c r="AR7" s="51" t="n">
        <f aca="false">IFERROR(Assumptions!$C$16*Assumptions!$C$62/12,0)</f>
        <v>0</v>
      </c>
      <c r="AS7" s="51" t="n">
        <f aca="false">IFERROR(Assumptions!$C$16*Assumptions!$C$62/12,0)</f>
        <v>0</v>
      </c>
      <c r="AT7" s="51" t="n">
        <f aca="false">IFERROR(Assumptions!$C$16*Assumptions!$C$62/12,0)</f>
        <v>0</v>
      </c>
      <c r="AU7" s="51" t="n">
        <f aca="false">IFERROR(Assumptions!$C$16*Assumptions!$C$62/12,0)</f>
        <v>0</v>
      </c>
      <c r="AV7" s="51" t="n">
        <f aca="false">IFERROR(Assumptions!$C$16*Assumptions!$C$62/12,0)</f>
        <v>0</v>
      </c>
      <c r="AW7" s="51" t="n">
        <f aca="false">IFERROR(Assumptions!$C$16*Assumptions!$C$62/12,0)</f>
        <v>0</v>
      </c>
      <c r="AX7" s="51" t="n">
        <f aca="false">IFERROR(Assumptions!$C$16*Assumptions!$C$62/12,0)</f>
        <v>0</v>
      </c>
      <c r="AY7" s="51" t="n">
        <f aca="false">IFERROR(Assumptions!$C$16*Assumptions!$C$62/12,0)</f>
        <v>0</v>
      </c>
      <c r="AZ7" s="51" t="n">
        <f aca="false">IFERROR(Assumptions!$C$16*Assumptions!$C$62/12,0)</f>
        <v>0</v>
      </c>
      <c r="BA7" s="51" t="n">
        <f aca="false">IFERROR(Assumptions!$C$16*Assumptions!$C$62/12,0)</f>
        <v>0</v>
      </c>
      <c r="BB7" s="51" t="n">
        <f aca="false">IFERROR(Assumptions!$C$16*Assumptions!$C$62/12,0)</f>
        <v>0</v>
      </c>
      <c r="BC7" s="51" t="n">
        <f aca="false">IFERROR(Assumptions!$C$16*Assumptions!$C$62/12,0)</f>
        <v>0</v>
      </c>
      <c r="BD7" s="51" t="n">
        <f aca="false">IFERROR(Assumptions!$C$16*Assumptions!$C$62/12,0)</f>
        <v>0</v>
      </c>
      <c r="BE7" s="51" t="n">
        <f aca="false">IFERROR(Assumptions!$C$16*Assumptions!$C$62/12,0)</f>
        <v>0</v>
      </c>
      <c r="BF7" s="51" t="n">
        <f aca="false">IFERROR(Assumptions!$C$16*Assumptions!$C$62/12,0)</f>
        <v>0</v>
      </c>
      <c r="BG7" s="51" t="n">
        <f aca="false">IFERROR(Assumptions!$C$16*Assumptions!$C$62/12,0)</f>
        <v>0</v>
      </c>
      <c r="BH7" s="51" t="n">
        <f aca="false">IFERROR(Assumptions!$C$16*Assumptions!$C$62/12,0)</f>
        <v>0</v>
      </c>
      <c r="BI7" s="51" t="n">
        <f aca="false">IFERROR(Assumptions!$C$16*Assumptions!$C$62/12,0)</f>
        <v>0</v>
      </c>
      <c r="BJ7" s="51" t="n">
        <f aca="false">IFERROR(Assumptions!$C$16*Assumptions!$C$62/12,0)</f>
        <v>0</v>
      </c>
    </row>
    <row r="8" customFormat="false" ht="15" hidden="false" customHeight="false" outlineLevel="0" collapsed="false">
      <c r="A8" s="42" t="s">
        <v>214</v>
      </c>
      <c r="B8" s="49" t="s">
        <v>88</v>
      </c>
      <c r="C8" s="51" t="n">
        <f aca="false">IFERROR((Assumptions!$C$17+Assumptions!$C$18)*Assumptions!$C$63/12,0)</f>
        <v>0</v>
      </c>
      <c r="D8" s="51" t="n">
        <f aca="false">IFERROR((Assumptions!$C$17+Assumptions!$C$18)*Assumptions!$C$63/12,0)</f>
        <v>0</v>
      </c>
      <c r="E8" s="51" t="n">
        <f aca="false">IFERROR((Assumptions!$C$17+Assumptions!$C$18)*Assumptions!$C$63/12,0)</f>
        <v>0</v>
      </c>
      <c r="F8" s="51" t="n">
        <f aca="false">IFERROR((Assumptions!$C$17+Assumptions!$C$18)*Assumptions!$C$63/12,0)</f>
        <v>0</v>
      </c>
      <c r="G8" s="51" t="n">
        <f aca="false">IFERROR((Assumptions!$C$17+Assumptions!$C$18)*Assumptions!$C$63/12,0)</f>
        <v>0</v>
      </c>
      <c r="H8" s="51" t="n">
        <f aca="false">IFERROR((Assumptions!$C$17+Assumptions!$C$18)*Assumptions!$C$63/12,0)</f>
        <v>0</v>
      </c>
      <c r="I8" s="51" t="n">
        <f aca="false">IFERROR((Assumptions!$C$17+Assumptions!$C$18)*Assumptions!$C$63/12,0)</f>
        <v>0</v>
      </c>
      <c r="J8" s="51" t="n">
        <f aca="false">IFERROR((Assumptions!$C$17+Assumptions!$C$18)*Assumptions!$C$63/12,0)</f>
        <v>0</v>
      </c>
      <c r="K8" s="51" t="n">
        <f aca="false">IFERROR((Assumptions!$C$17+Assumptions!$C$18)*Assumptions!$C$63/12,0)</f>
        <v>0</v>
      </c>
      <c r="L8" s="51" t="n">
        <f aca="false">IFERROR((Assumptions!$C$17+Assumptions!$C$18)*Assumptions!$C$63/12,0)</f>
        <v>0</v>
      </c>
      <c r="M8" s="51" t="n">
        <f aca="false">IFERROR((Assumptions!$C$17+Assumptions!$C$18)*Assumptions!$C$63/12,0)</f>
        <v>0</v>
      </c>
      <c r="N8" s="51" t="n">
        <f aca="false">IFERROR((Assumptions!$C$17+Assumptions!$C$18)*Assumptions!$C$63/12,0)</f>
        <v>0</v>
      </c>
      <c r="O8" s="51" t="n">
        <f aca="false">IFERROR((Assumptions!$C$17+Assumptions!$C$18)*Assumptions!$C$63/12,0)</f>
        <v>0</v>
      </c>
      <c r="P8" s="51" t="n">
        <f aca="false">IFERROR((Assumptions!$C$17+Assumptions!$C$18)*Assumptions!$C$63/12,0)</f>
        <v>0</v>
      </c>
      <c r="Q8" s="51" t="n">
        <f aca="false">IFERROR((Assumptions!$C$17+Assumptions!$C$18)*Assumptions!$C$63/12,0)</f>
        <v>0</v>
      </c>
      <c r="R8" s="51" t="n">
        <f aca="false">IFERROR((Assumptions!$C$17+Assumptions!$C$18)*Assumptions!$C$63/12,0)</f>
        <v>0</v>
      </c>
      <c r="S8" s="51" t="n">
        <f aca="false">IFERROR((Assumptions!$C$17+Assumptions!$C$18)*Assumptions!$C$63/12,0)</f>
        <v>0</v>
      </c>
      <c r="T8" s="51" t="n">
        <f aca="false">IFERROR((Assumptions!$C$17+Assumptions!$C$18)*Assumptions!$C$63/12,0)</f>
        <v>0</v>
      </c>
      <c r="U8" s="51" t="n">
        <f aca="false">IFERROR((Assumptions!$C$17+Assumptions!$C$18)*Assumptions!$C$63/12,0)</f>
        <v>0</v>
      </c>
      <c r="V8" s="51" t="n">
        <f aca="false">IFERROR((Assumptions!$C$17+Assumptions!$C$18)*Assumptions!$C$63/12,0)</f>
        <v>0</v>
      </c>
      <c r="W8" s="51" t="n">
        <f aca="false">IFERROR((Assumptions!$C$17+Assumptions!$C$18)*Assumptions!$C$63/12,0)</f>
        <v>0</v>
      </c>
      <c r="X8" s="51" t="n">
        <f aca="false">IFERROR((Assumptions!$C$17+Assumptions!$C$18)*Assumptions!$C$63/12,0)</f>
        <v>0</v>
      </c>
      <c r="Y8" s="51" t="n">
        <f aca="false">IFERROR((Assumptions!$C$17+Assumptions!$C$18)*Assumptions!$C$63/12,0)</f>
        <v>0</v>
      </c>
      <c r="Z8" s="51" t="n">
        <f aca="false">IFERROR((Assumptions!$C$17+Assumptions!$C$18)*Assumptions!$C$63/12,0)</f>
        <v>0</v>
      </c>
      <c r="AA8" s="51" t="n">
        <f aca="false">IFERROR((Assumptions!$C$17+Assumptions!$C$18)*Assumptions!$C$63/12,0)</f>
        <v>0</v>
      </c>
      <c r="AB8" s="51" t="n">
        <f aca="false">IFERROR((Assumptions!$C$17+Assumptions!$C$18)*Assumptions!$C$63/12,0)</f>
        <v>0</v>
      </c>
      <c r="AC8" s="51" t="n">
        <f aca="false">IFERROR((Assumptions!$C$17+Assumptions!$C$18)*Assumptions!$C$63/12,0)</f>
        <v>0</v>
      </c>
      <c r="AD8" s="51" t="n">
        <f aca="false">IFERROR((Assumptions!$C$17+Assumptions!$C$18)*Assumptions!$C$63/12,0)</f>
        <v>0</v>
      </c>
      <c r="AE8" s="51" t="n">
        <f aca="false">IFERROR((Assumptions!$C$17+Assumptions!$C$18)*Assumptions!$C$63/12,0)</f>
        <v>0</v>
      </c>
      <c r="AF8" s="51" t="n">
        <f aca="false">IFERROR((Assumptions!$C$17+Assumptions!$C$18)*Assumptions!$C$63/12,0)</f>
        <v>0</v>
      </c>
      <c r="AG8" s="51" t="n">
        <f aca="false">IFERROR((Assumptions!$C$17+Assumptions!$C$18)*Assumptions!$C$63/12,0)</f>
        <v>0</v>
      </c>
      <c r="AH8" s="51" t="n">
        <f aca="false">IFERROR((Assumptions!$C$17+Assumptions!$C$18)*Assumptions!$C$63/12,0)</f>
        <v>0</v>
      </c>
      <c r="AI8" s="51" t="n">
        <f aca="false">IFERROR((Assumptions!$C$17+Assumptions!$C$18)*Assumptions!$C$63/12,0)</f>
        <v>0</v>
      </c>
      <c r="AJ8" s="51" t="n">
        <f aca="false">IFERROR((Assumptions!$C$17+Assumptions!$C$18)*Assumptions!$C$63/12,0)</f>
        <v>0</v>
      </c>
      <c r="AK8" s="51" t="n">
        <f aca="false">IFERROR((Assumptions!$C$17+Assumptions!$C$18)*Assumptions!$C$63/12,0)</f>
        <v>0</v>
      </c>
      <c r="AL8" s="51" t="n">
        <f aca="false">IFERROR((Assumptions!$C$17+Assumptions!$C$18)*Assumptions!$C$63/12,0)</f>
        <v>0</v>
      </c>
      <c r="AM8" s="51" t="n">
        <f aca="false">IFERROR((Assumptions!$C$17+Assumptions!$C$18)*Assumptions!$C$63/12,0)</f>
        <v>0</v>
      </c>
      <c r="AN8" s="51" t="n">
        <f aca="false">IFERROR((Assumptions!$C$17+Assumptions!$C$18)*Assumptions!$C$63/12,0)</f>
        <v>0</v>
      </c>
      <c r="AO8" s="51" t="n">
        <f aca="false">IFERROR((Assumptions!$C$17+Assumptions!$C$18)*Assumptions!$C$63/12,0)</f>
        <v>0</v>
      </c>
      <c r="AP8" s="51" t="n">
        <f aca="false">IFERROR((Assumptions!$C$17+Assumptions!$C$18)*Assumptions!$C$63/12,0)</f>
        <v>0</v>
      </c>
      <c r="AQ8" s="51" t="n">
        <f aca="false">IFERROR((Assumptions!$C$17+Assumptions!$C$18)*Assumptions!$C$63/12,0)</f>
        <v>0</v>
      </c>
      <c r="AR8" s="51" t="n">
        <f aca="false">IFERROR((Assumptions!$C$17+Assumptions!$C$18)*Assumptions!$C$63/12,0)</f>
        <v>0</v>
      </c>
      <c r="AS8" s="51" t="n">
        <f aca="false">IFERROR((Assumptions!$C$17+Assumptions!$C$18)*Assumptions!$C$63/12,0)</f>
        <v>0</v>
      </c>
      <c r="AT8" s="51" t="n">
        <f aca="false">IFERROR((Assumptions!$C$17+Assumptions!$C$18)*Assumptions!$C$63/12,0)</f>
        <v>0</v>
      </c>
      <c r="AU8" s="51" t="n">
        <f aca="false">IFERROR((Assumptions!$C$17+Assumptions!$C$18)*Assumptions!$C$63/12,0)</f>
        <v>0</v>
      </c>
      <c r="AV8" s="51" t="n">
        <f aca="false">IFERROR((Assumptions!$C$17+Assumptions!$C$18)*Assumptions!$C$63/12,0)</f>
        <v>0</v>
      </c>
      <c r="AW8" s="51" t="n">
        <f aca="false">IFERROR((Assumptions!$C$17+Assumptions!$C$18)*Assumptions!$C$63/12,0)</f>
        <v>0</v>
      </c>
      <c r="AX8" s="51" t="n">
        <f aca="false">IFERROR((Assumptions!$C$17+Assumptions!$C$18)*Assumptions!$C$63/12,0)</f>
        <v>0</v>
      </c>
      <c r="AY8" s="51" t="n">
        <f aca="false">IFERROR((Assumptions!$C$17+Assumptions!$C$18)*Assumptions!$C$63/12,0)</f>
        <v>0</v>
      </c>
      <c r="AZ8" s="51" t="n">
        <f aca="false">IFERROR((Assumptions!$C$17+Assumptions!$C$18)*Assumptions!$C$63/12,0)</f>
        <v>0</v>
      </c>
      <c r="BA8" s="51" t="n">
        <f aca="false">IFERROR((Assumptions!$C$17+Assumptions!$C$18)*Assumptions!$C$63/12,0)</f>
        <v>0</v>
      </c>
      <c r="BB8" s="51" t="n">
        <f aca="false">IFERROR((Assumptions!$C$17+Assumptions!$C$18)*Assumptions!$C$63/12,0)</f>
        <v>0</v>
      </c>
      <c r="BC8" s="51" t="n">
        <f aca="false">IFERROR((Assumptions!$C$17+Assumptions!$C$18)*Assumptions!$C$63/12,0)</f>
        <v>0</v>
      </c>
      <c r="BD8" s="51" t="n">
        <f aca="false">IFERROR((Assumptions!$C$17+Assumptions!$C$18)*Assumptions!$C$63/12,0)</f>
        <v>0</v>
      </c>
      <c r="BE8" s="51" t="n">
        <f aca="false">IFERROR((Assumptions!$C$17+Assumptions!$C$18)*Assumptions!$C$63/12,0)</f>
        <v>0</v>
      </c>
      <c r="BF8" s="51" t="n">
        <f aca="false">IFERROR((Assumptions!$C$17+Assumptions!$C$18)*Assumptions!$C$63/12,0)</f>
        <v>0</v>
      </c>
      <c r="BG8" s="51" t="n">
        <f aca="false">IFERROR((Assumptions!$C$17+Assumptions!$C$18)*Assumptions!$C$63/12,0)</f>
        <v>0</v>
      </c>
      <c r="BH8" s="51" t="n">
        <f aca="false">IFERROR((Assumptions!$C$17+Assumptions!$C$18)*Assumptions!$C$63/12,0)</f>
        <v>0</v>
      </c>
      <c r="BI8" s="51" t="n">
        <f aca="false">IFERROR((Assumptions!$C$17+Assumptions!$C$18)*Assumptions!$C$63/12,0)</f>
        <v>0</v>
      </c>
      <c r="BJ8" s="51" t="n">
        <f aca="false">IFERROR((Assumptions!$C$17+Assumptions!$C$18)*Assumptions!$C$63/12,0)</f>
        <v>0</v>
      </c>
    </row>
    <row r="9" customFormat="false" ht="15" hidden="false" customHeight="false" outlineLevel="0" collapsed="false">
      <c r="A9" s="52" t="s">
        <v>215</v>
      </c>
      <c r="B9" s="53" t="s">
        <v>88</v>
      </c>
      <c r="C9" s="54" t="n">
        <f aca="false">IFERROR(SUM(C6:C8),0)</f>
        <v>0</v>
      </c>
      <c r="D9" s="54" t="n">
        <f aca="false">IFERROR(SUM(D6:D8),0)</f>
        <v>0</v>
      </c>
      <c r="E9" s="54" t="n">
        <f aca="false">IFERROR(SUM(E6:E8),0)</f>
        <v>0</v>
      </c>
      <c r="F9" s="54" t="n">
        <f aca="false">IFERROR(SUM(F6:F8),0)</f>
        <v>0</v>
      </c>
      <c r="G9" s="54" t="n">
        <f aca="false">IFERROR(SUM(G6:G8),0)</f>
        <v>0</v>
      </c>
      <c r="H9" s="54" t="n">
        <f aca="false">IFERROR(SUM(H6:H8),0)</f>
        <v>0</v>
      </c>
      <c r="I9" s="54" t="n">
        <f aca="false">IFERROR(SUM(I6:I8),0)</f>
        <v>0</v>
      </c>
      <c r="J9" s="54" t="n">
        <f aca="false">IFERROR(SUM(J6:J8),0)</f>
        <v>0</v>
      </c>
      <c r="K9" s="54" t="n">
        <f aca="false">IFERROR(SUM(K6:K8),0)</f>
        <v>0</v>
      </c>
      <c r="L9" s="54" t="n">
        <f aca="false">IFERROR(SUM(L6:L8),0)</f>
        <v>0</v>
      </c>
      <c r="M9" s="54" t="n">
        <f aca="false">IFERROR(SUM(M6:M8),0)</f>
        <v>0</v>
      </c>
      <c r="N9" s="54" t="n">
        <f aca="false">IFERROR(SUM(N6:N8),0)</f>
        <v>0</v>
      </c>
      <c r="O9" s="54" t="n">
        <f aca="false">IFERROR(SUM(O6:O8),0)</f>
        <v>0</v>
      </c>
      <c r="P9" s="54" t="n">
        <f aca="false">IFERROR(SUM(P6:P8),0)</f>
        <v>0</v>
      </c>
      <c r="Q9" s="54" t="n">
        <f aca="false">IFERROR(SUM(Q6:Q8),0)</f>
        <v>0</v>
      </c>
      <c r="R9" s="54" t="n">
        <f aca="false">IFERROR(SUM(R6:R8),0)</f>
        <v>0</v>
      </c>
      <c r="S9" s="54" t="n">
        <f aca="false">IFERROR(SUM(S6:S8),0)</f>
        <v>0</v>
      </c>
      <c r="T9" s="54" t="n">
        <f aca="false">IFERROR(SUM(T6:T8),0)</f>
        <v>0</v>
      </c>
      <c r="U9" s="54" t="n">
        <f aca="false">IFERROR(SUM(U6:U8),0)</f>
        <v>0</v>
      </c>
      <c r="V9" s="54" t="n">
        <f aca="false">IFERROR(SUM(V6:V8),0)</f>
        <v>0</v>
      </c>
      <c r="W9" s="54" t="n">
        <f aca="false">IFERROR(SUM(W6:W8),0)</f>
        <v>0</v>
      </c>
      <c r="X9" s="54" t="n">
        <f aca="false">IFERROR(SUM(X6:X8),0)</f>
        <v>0</v>
      </c>
      <c r="Y9" s="54" t="n">
        <f aca="false">IFERROR(SUM(Y6:Y8),0)</f>
        <v>0</v>
      </c>
      <c r="Z9" s="54" t="n">
        <f aca="false">IFERROR(SUM(Z6:Z8),0)</f>
        <v>0</v>
      </c>
      <c r="AA9" s="54" t="n">
        <f aca="false">IFERROR(SUM(AA6:AA8),0)</f>
        <v>0</v>
      </c>
      <c r="AB9" s="54" t="n">
        <f aca="false">IFERROR(SUM(AB6:AB8),0)</f>
        <v>0</v>
      </c>
      <c r="AC9" s="54" t="n">
        <f aca="false">IFERROR(SUM(AC6:AC8),0)</f>
        <v>0</v>
      </c>
      <c r="AD9" s="54" t="n">
        <f aca="false">IFERROR(SUM(AD6:AD8),0)</f>
        <v>0</v>
      </c>
      <c r="AE9" s="54" t="n">
        <f aca="false">IFERROR(SUM(AE6:AE8),0)</f>
        <v>0</v>
      </c>
      <c r="AF9" s="54" t="n">
        <f aca="false">IFERROR(SUM(AF6:AF8),0)</f>
        <v>0</v>
      </c>
      <c r="AG9" s="54" t="n">
        <f aca="false">IFERROR(SUM(AG6:AG8),0)</f>
        <v>0</v>
      </c>
      <c r="AH9" s="54" t="n">
        <f aca="false">IFERROR(SUM(AH6:AH8),0)</f>
        <v>0</v>
      </c>
      <c r="AI9" s="54" t="n">
        <f aca="false">IFERROR(SUM(AI6:AI8),0)</f>
        <v>0</v>
      </c>
      <c r="AJ9" s="54" t="n">
        <f aca="false">IFERROR(SUM(AJ6:AJ8),0)</f>
        <v>0</v>
      </c>
      <c r="AK9" s="54" t="n">
        <f aca="false">IFERROR(SUM(AK6:AK8),0)</f>
        <v>0</v>
      </c>
      <c r="AL9" s="54" t="n">
        <f aca="false">IFERROR(SUM(AL6:AL8),0)</f>
        <v>0</v>
      </c>
      <c r="AM9" s="54" t="n">
        <f aca="false">IFERROR(SUM(AM6:AM8),0)</f>
        <v>0</v>
      </c>
      <c r="AN9" s="54" t="n">
        <f aca="false">IFERROR(SUM(AN6:AN8),0)</f>
        <v>0</v>
      </c>
      <c r="AO9" s="54" t="n">
        <f aca="false">IFERROR(SUM(AO6:AO8),0)</f>
        <v>0</v>
      </c>
      <c r="AP9" s="54" t="n">
        <f aca="false">IFERROR(SUM(AP6:AP8),0)</f>
        <v>0</v>
      </c>
      <c r="AQ9" s="54" t="n">
        <f aca="false">IFERROR(SUM(AQ6:AQ8),0)</f>
        <v>0</v>
      </c>
      <c r="AR9" s="54" t="n">
        <f aca="false">IFERROR(SUM(AR6:AR8),0)</f>
        <v>0</v>
      </c>
      <c r="AS9" s="54" t="n">
        <f aca="false">IFERROR(SUM(AS6:AS8),0)</f>
        <v>0</v>
      </c>
      <c r="AT9" s="54" t="n">
        <f aca="false">IFERROR(SUM(AT6:AT8),0)</f>
        <v>0</v>
      </c>
      <c r="AU9" s="54" t="n">
        <f aca="false">IFERROR(SUM(AU6:AU8),0)</f>
        <v>0</v>
      </c>
      <c r="AV9" s="54" t="n">
        <f aca="false">IFERROR(SUM(AV6:AV8),0)</f>
        <v>0</v>
      </c>
      <c r="AW9" s="54" t="n">
        <f aca="false">IFERROR(SUM(AW6:AW8),0)</f>
        <v>0</v>
      </c>
      <c r="AX9" s="54" t="n">
        <f aca="false">IFERROR(SUM(AX6:AX8),0)</f>
        <v>0</v>
      </c>
      <c r="AY9" s="54" t="n">
        <f aca="false">IFERROR(SUM(AY6:AY8),0)</f>
        <v>0</v>
      </c>
      <c r="AZ9" s="54" t="n">
        <f aca="false">IFERROR(SUM(AZ6:AZ8),0)</f>
        <v>0</v>
      </c>
      <c r="BA9" s="54" t="n">
        <f aca="false">IFERROR(SUM(BA6:BA8),0)</f>
        <v>0</v>
      </c>
      <c r="BB9" s="54" t="n">
        <f aca="false">IFERROR(SUM(BB6:BB8),0)</f>
        <v>0</v>
      </c>
      <c r="BC9" s="54" t="n">
        <f aca="false">IFERROR(SUM(BC6:BC8),0)</f>
        <v>0</v>
      </c>
      <c r="BD9" s="54" t="n">
        <f aca="false">IFERROR(SUM(BD6:BD8),0)</f>
        <v>0</v>
      </c>
      <c r="BE9" s="54" t="n">
        <f aca="false">IFERROR(SUM(BE6:BE8),0)</f>
        <v>0</v>
      </c>
      <c r="BF9" s="54" t="n">
        <f aca="false">IFERROR(SUM(BF6:BF8),0)</f>
        <v>0</v>
      </c>
      <c r="BG9" s="54" t="n">
        <f aca="false">IFERROR(SUM(BG6:BG8),0)</f>
        <v>0</v>
      </c>
      <c r="BH9" s="54" t="n">
        <f aca="false">IFERROR(SUM(BH6:BH8),0)</f>
        <v>0</v>
      </c>
      <c r="BI9" s="54" t="n">
        <f aca="false">IFERROR(SUM(BI6:BI8),0)</f>
        <v>0</v>
      </c>
      <c r="BJ9" s="54" t="n">
        <f aca="false">IFERROR(SUM(BJ6:BJ8),0)</f>
        <v>0</v>
      </c>
    </row>
  </sheetData>
  <mergeCells count="1">
    <mergeCell ref="A1:B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2" min="2" style="0" width="11"/>
  </cols>
  <sheetData>
    <row r="1" customFormat="false" ht="24" hidden="false" customHeight="true" outlineLevel="0" collapsed="false">
      <c r="A1" s="32" t="s">
        <v>216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</row>
    <row r="2" customFormat="false" ht="15" hidden="false" customHeight="false" outlineLevel="0" collapsed="false">
      <c r="A2" s="37" t="s">
        <v>217</v>
      </c>
    </row>
    <row r="3" customFormat="false" ht="15" hidden="false" customHeight="false" outlineLevel="0" collapsed="false">
      <c r="A3" s="45" t="s">
        <v>197</v>
      </c>
      <c r="C3" s="46" t="n">
        <v>1</v>
      </c>
      <c r="D3" s="46" t="n">
        <v>2</v>
      </c>
      <c r="E3" s="46" t="n">
        <v>3</v>
      </c>
      <c r="F3" s="46" t="n">
        <v>4</v>
      </c>
      <c r="G3" s="46" t="n">
        <v>5</v>
      </c>
      <c r="H3" s="46" t="n">
        <v>6</v>
      </c>
      <c r="I3" s="46" t="n">
        <v>7</v>
      </c>
      <c r="J3" s="46" t="n">
        <v>8</v>
      </c>
      <c r="K3" s="46" t="n">
        <v>9</v>
      </c>
      <c r="L3" s="46" t="n">
        <v>10</v>
      </c>
      <c r="M3" s="46" t="n">
        <v>11</v>
      </c>
      <c r="N3" s="46" t="n">
        <v>12</v>
      </c>
      <c r="O3" s="46" t="n">
        <v>13</v>
      </c>
      <c r="P3" s="46" t="n">
        <v>14</v>
      </c>
      <c r="Q3" s="46" t="n">
        <v>15</v>
      </c>
      <c r="R3" s="46" t="n">
        <v>16</v>
      </c>
      <c r="S3" s="46" t="n">
        <v>17</v>
      </c>
      <c r="T3" s="46" t="n">
        <v>18</v>
      </c>
      <c r="U3" s="46" t="n">
        <v>19</v>
      </c>
      <c r="V3" s="46" t="n">
        <v>20</v>
      </c>
      <c r="W3" s="46" t="n">
        <v>21</v>
      </c>
      <c r="X3" s="46" t="n">
        <v>22</v>
      </c>
      <c r="Y3" s="46" t="n">
        <v>23</v>
      </c>
      <c r="Z3" s="46" t="n">
        <v>24</v>
      </c>
      <c r="AA3" s="46" t="n">
        <v>25</v>
      </c>
      <c r="AB3" s="46" t="n">
        <v>26</v>
      </c>
      <c r="AC3" s="46" t="n">
        <v>27</v>
      </c>
      <c r="AD3" s="46" t="n">
        <v>28</v>
      </c>
      <c r="AE3" s="46" t="n">
        <v>29</v>
      </c>
      <c r="AF3" s="46" t="n">
        <v>30</v>
      </c>
      <c r="AG3" s="46" t="n">
        <v>31</v>
      </c>
      <c r="AH3" s="46" t="n">
        <v>32</v>
      </c>
      <c r="AI3" s="46" t="n">
        <v>33</v>
      </c>
      <c r="AJ3" s="46" t="n">
        <v>34</v>
      </c>
      <c r="AK3" s="46" t="n">
        <v>35</v>
      </c>
      <c r="AL3" s="46" t="n">
        <v>36</v>
      </c>
      <c r="AM3" s="46" t="n">
        <v>37</v>
      </c>
      <c r="AN3" s="46" t="n">
        <v>38</v>
      </c>
      <c r="AO3" s="46" t="n">
        <v>39</v>
      </c>
      <c r="AP3" s="46" t="n">
        <v>40</v>
      </c>
      <c r="AQ3" s="46" t="n">
        <v>41</v>
      </c>
      <c r="AR3" s="46" t="n">
        <v>42</v>
      </c>
      <c r="AS3" s="46" t="n">
        <v>43</v>
      </c>
      <c r="AT3" s="46" t="n">
        <v>44</v>
      </c>
      <c r="AU3" s="46" t="n">
        <v>45</v>
      </c>
      <c r="AV3" s="46" t="n">
        <v>46</v>
      </c>
      <c r="AW3" s="46" t="n">
        <v>47</v>
      </c>
      <c r="AX3" s="46" t="n">
        <v>48</v>
      </c>
      <c r="AY3" s="46" t="n">
        <v>49</v>
      </c>
      <c r="AZ3" s="46" t="n">
        <v>50</v>
      </c>
      <c r="BA3" s="46" t="n">
        <v>51</v>
      </c>
      <c r="BB3" s="46" t="n">
        <v>52</v>
      </c>
      <c r="BC3" s="46" t="n">
        <v>53</v>
      </c>
      <c r="BD3" s="46" t="n">
        <v>54</v>
      </c>
      <c r="BE3" s="46" t="n">
        <v>55</v>
      </c>
      <c r="BF3" s="46" t="n">
        <v>56</v>
      </c>
      <c r="BG3" s="46" t="n">
        <v>57</v>
      </c>
      <c r="BH3" s="46" t="n">
        <v>58</v>
      </c>
      <c r="BI3" s="46" t="n">
        <v>59</v>
      </c>
      <c r="BJ3" s="46" t="n">
        <v>60</v>
      </c>
    </row>
    <row r="4" customFormat="false" ht="15" hidden="false" customHeight="false" outlineLevel="0" collapsed="false">
      <c r="A4" s="45" t="s">
        <v>198</v>
      </c>
      <c r="C4" s="47" t="s">
        <v>199</v>
      </c>
      <c r="D4" s="47" t="s">
        <v>199</v>
      </c>
      <c r="E4" s="47" t="s">
        <v>199</v>
      </c>
      <c r="F4" s="47" t="s">
        <v>199</v>
      </c>
      <c r="G4" s="47" t="s">
        <v>199</v>
      </c>
      <c r="H4" s="47" t="s">
        <v>199</v>
      </c>
      <c r="I4" s="47" t="s">
        <v>199</v>
      </c>
      <c r="J4" s="47" t="s">
        <v>199</v>
      </c>
      <c r="K4" s="47" t="s">
        <v>199</v>
      </c>
      <c r="L4" s="47" t="s">
        <v>199</v>
      </c>
      <c r="M4" s="47" t="s">
        <v>199</v>
      </c>
      <c r="N4" s="47" t="s">
        <v>199</v>
      </c>
      <c r="O4" s="48" t="s">
        <v>200</v>
      </c>
      <c r="P4" s="48" t="s">
        <v>200</v>
      </c>
      <c r="Q4" s="48" t="s">
        <v>200</v>
      </c>
      <c r="R4" s="48" t="s">
        <v>200</v>
      </c>
      <c r="S4" s="48" t="s">
        <v>200</v>
      </c>
      <c r="T4" s="48" t="s">
        <v>200</v>
      </c>
      <c r="U4" s="48" t="s">
        <v>200</v>
      </c>
      <c r="V4" s="48" t="s">
        <v>200</v>
      </c>
      <c r="W4" s="48" t="s">
        <v>200</v>
      </c>
      <c r="X4" s="48" t="s">
        <v>200</v>
      </c>
      <c r="Y4" s="48" t="s">
        <v>200</v>
      </c>
      <c r="Z4" s="48" t="s">
        <v>200</v>
      </c>
      <c r="AA4" s="47" t="s">
        <v>201</v>
      </c>
      <c r="AB4" s="47" t="s">
        <v>201</v>
      </c>
      <c r="AC4" s="47" t="s">
        <v>201</v>
      </c>
      <c r="AD4" s="47" t="s">
        <v>201</v>
      </c>
      <c r="AE4" s="47" t="s">
        <v>201</v>
      </c>
      <c r="AF4" s="47" t="s">
        <v>201</v>
      </c>
      <c r="AG4" s="47" t="s">
        <v>201</v>
      </c>
      <c r="AH4" s="47" t="s">
        <v>201</v>
      </c>
      <c r="AI4" s="47" t="s">
        <v>201</v>
      </c>
      <c r="AJ4" s="47" t="s">
        <v>201</v>
      </c>
      <c r="AK4" s="47" t="s">
        <v>201</v>
      </c>
      <c r="AL4" s="47" t="s">
        <v>201</v>
      </c>
      <c r="AM4" s="48" t="s">
        <v>202</v>
      </c>
      <c r="AN4" s="48" t="s">
        <v>202</v>
      </c>
      <c r="AO4" s="48" t="s">
        <v>202</v>
      </c>
      <c r="AP4" s="48" t="s">
        <v>202</v>
      </c>
      <c r="AQ4" s="48" t="s">
        <v>202</v>
      </c>
      <c r="AR4" s="48" t="s">
        <v>202</v>
      </c>
      <c r="AS4" s="48" t="s">
        <v>202</v>
      </c>
      <c r="AT4" s="48" t="s">
        <v>202</v>
      </c>
      <c r="AU4" s="48" t="s">
        <v>202</v>
      </c>
      <c r="AV4" s="48" t="s">
        <v>202</v>
      </c>
      <c r="AW4" s="48" t="s">
        <v>202</v>
      </c>
      <c r="AX4" s="48" t="s">
        <v>202</v>
      </c>
      <c r="AY4" s="47" t="s">
        <v>203</v>
      </c>
      <c r="AZ4" s="47" t="s">
        <v>203</v>
      </c>
      <c r="BA4" s="47" t="s">
        <v>203</v>
      </c>
      <c r="BB4" s="47" t="s">
        <v>203</v>
      </c>
      <c r="BC4" s="47" t="s">
        <v>203</v>
      </c>
      <c r="BD4" s="47" t="s">
        <v>203</v>
      </c>
      <c r="BE4" s="47" t="s">
        <v>203</v>
      </c>
      <c r="BF4" s="47" t="s">
        <v>203</v>
      </c>
      <c r="BG4" s="47" t="s">
        <v>203</v>
      </c>
      <c r="BH4" s="47" t="s">
        <v>203</v>
      </c>
      <c r="BI4" s="47" t="s">
        <v>203</v>
      </c>
      <c r="BJ4" s="47" t="s">
        <v>203</v>
      </c>
    </row>
    <row r="6" customFormat="false" ht="15" hidden="false" customHeight="false" outlineLevel="0" collapsed="false">
      <c r="A6" s="6" t="s">
        <v>218</v>
      </c>
      <c r="B6" s="49" t="s">
        <v>133</v>
      </c>
      <c r="C6" s="56" t="n">
        <f aca="false">IFERROR(Assumptions!$C$49,0)</f>
        <v>0</v>
      </c>
      <c r="D6" s="56" t="n">
        <f aca="false">IFERROR(Assumptions!$C$49,0)</f>
        <v>0</v>
      </c>
      <c r="E6" s="56" t="n">
        <f aca="false">IFERROR(Assumptions!$C$49,0)</f>
        <v>0</v>
      </c>
      <c r="F6" s="56" t="n">
        <f aca="false">IFERROR(Assumptions!$C$49,0)</f>
        <v>0</v>
      </c>
      <c r="G6" s="56" t="n">
        <f aca="false">IFERROR(Assumptions!$C$49,0)</f>
        <v>0</v>
      </c>
      <c r="H6" s="56" t="n">
        <f aca="false">IFERROR(Assumptions!$C$49,0)</f>
        <v>0</v>
      </c>
      <c r="I6" s="56" t="n">
        <f aca="false">IFERROR(Assumptions!$C$49,0)</f>
        <v>0</v>
      </c>
      <c r="J6" s="56" t="n">
        <f aca="false">IFERROR(Assumptions!$C$49,0)</f>
        <v>0</v>
      </c>
      <c r="K6" s="56" t="n">
        <f aca="false">IFERROR(Assumptions!$C$49,0)</f>
        <v>0</v>
      </c>
      <c r="L6" s="56" t="n">
        <f aca="false">IFERROR(Assumptions!$C$49,0)</f>
        <v>0</v>
      </c>
      <c r="M6" s="56" t="n">
        <f aca="false">IFERROR(Assumptions!$C$49,0)</f>
        <v>0</v>
      </c>
      <c r="N6" s="56" t="n">
        <f aca="false">IFERROR(Assumptions!$C$49,0)</f>
        <v>0</v>
      </c>
      <c r="O6" s="56" t="n">
        <f aca="false">IFERROR(Assumptions!$C$50,0)</f>
        <v>0</v>
      </c>
      <c r="P6" s="56" t="n">
        <f aca="false">IFERROR(Assumptions!$C$50,0)</f>
        <v>0</v>
      </c>
      <c r="Q6" s="56" t="n">
        <f aca="false">IFERROR(Assumptions!$C$50,0)</f>
        <v>0</v>
      </c>
      <c r="R6" s="56" t="n">
        <f aca="false">IFERROR(Assumptions!$C$50,0)</f>
        <v>0</v>
      </c>
      <c r="S6" s="56" t="n">
        <f aca="false">IFERROR(Assumptions!$C$50,0)</f>
        <v>0</v>
      </c>
      <c r="T6" s="56" t="n">
        <f aca="false">IFERROR(Assumptions!$C$50,0)</f>
        <v>0</v>
      </c>
      <c r="U6" s="56" t="n">
        <f aca="false">IFERROR(Assumptions!$C$50,0)</f>
        <v>0</v>
      </c>
      <c r="V6" s="56" t="n">
        <f aca="false">IFERROR(Assumptions!$C$50,0)</f>
        <v>0</v>
      </c>
      <c r="W6" s="56" t="n">
        <f aca="false">IFERROR(Assumptions!$C$50,0)</f>
        <v>0</v>
      </c>
      <c r="X6" s="56" t="n">
        <f aca="false">IFERROR(Assumptions!$C$50,0)</f>
        <v>0</v>
      </c>
      <c r="Y6" s="56" t="n">
        <f aca="false">IFERROR(Assumptions!$C$50,0)</f>
        <v>0</v>
      </c>
      <c r="Z6" s="56" t="n">
        <f aca="false">IFERROR(Assumptions!$C$50,0)</f>
        <v>0</v>
      </c>
      <c r="AA6" s="56" t="n">
        <f aca="false">IFERROR(Assumptions!$C$51,0)</f>
        <v>0</v>
      </c>
      <c r="AB6" s="56" t="n">
        <f aca="false">IFERROR(Assumptions!$C$51,0)</f>
        <v>0</v>
      </c>
      <c r="AC6" s="56" t="n">
        <f aca="false">IFERROR(Assumptions!$C$51,0)</f>
        <v>0</v>
      </c>
      <c r="AD6" s="56" t="n">
        <f aca="false">IFERROR(Assumptions!$C$51,0)</f>
        <v>0</v>
      </c>
      <c r="AE6" s="56" t="n">
        <f aca="false">IFERROR(Assumptions!$C$51,0)</f>
        <v>0</v>
      </c>
      <c r="AF6" s="56" t="n">
        <f aca="false">IFERROR(Assumptions!$C$51,0)</f>
        <v>0</v>
      </c>
      <c r="AG6" s="56" t="n">
        <f aca="false">IFERROR(Assumptions!$C$51,0)</f>
        <v>0</v>
      </c>
      <c r="AH6" s="56" t="n">
        <f aca="false">IFERROR(Assumptions!$C$51,0)</f>
        <v>0</v>
      </c>
      <c r="AI6" s="56" t="n">
        <f aca="false">IFERROR(Assumptions!$C$51,0)</f>
        <v>0</v>
      </c>
      <c r="AJ6" s="56" t="n">
        <f aca="false">IFERROR(Assumptions!$C$51,0)</f>
        <v>0</v>
      </c>
      <c r="AK6" s="56" t="n">
        <f aca="false">IFERROR(Assumptions!$C$51,0)</f>
        <v>0</v>
      </c>
      <c r="AL6" s="56" t="n">
        <f aca="false">IFERROR(Assumptions!$C$51,0)</f>
        <v>0</v>
      </c>
      <c r="AM6" s="56" t="n">
        <f aca="false">IFERROR(Assumptions!$C$52,0)</f>
        <v>0</v>
      </c>
      <c r="AN6" s="56" t="n">
        <f aca="false">IFERROR(Assumptions!$C$52,0)</f>
        <v>0</v>
      </c>
      <c r="AO6" s="56" t="n">
        <f aca="false">IFERROR(Assumptions!$C$52,0)</f>
        <v>0</v>
      </c>
      <c r="AP6" s="56" t="n">
        <f aca="false">IFERROR(Assumptions!$C$52,0)</f>
        <v>0</v>
      </c>
      <c r="AQ6" s="56" t="n">
        <f aca="false">IFERROR(Assumptions!$C$52,0)</f>
        <v>0</v>
      </c>
      <c r="AR6" s="56" t="n">
        <f aca="false">IFERROR(Assumptions!$C$52,0)</f>
        <v>0</v>
      </c>
      <c r="AS6" s="56" t="n">
        <f aca="false">IFERROR(Assumptions!$C$52,0)</f>
        <v>0</v>
      </c>
      <c r="AT6" s="56" t="n">
        <f aca="false">IFERROR(Assumptions!$C$52,0)</f>
        <v>0</v>
      </c>
      <c r="AU6" s="56" t="n">
        <f aca="false">IFERROR(Assumptions!$C$52,0)</f>
        <v>0</v>
      </c>
      <c r="AV6" s="56" t="n">
        <f aca="false">IFERROR(Assumptions!$C$52,0)</f>
        <v>0</v>
      </c>
      <c r="AW6" s="56" t="n">
        <f aca="false">IFERROR(Assumptions!$C$52,0)</f>
        <v>0</v>
      </c>
      <c r="AX6" s="56" t="n">
        <f aca="false">IFERROR(Assumptions!$C$52,0)</f>
        <v>0</v>
      </c>
      <c r="AY6" s="56" t="n">
        <f aca="false">IFERROR(Assumptions!$C$53,0)</f>
        <v>0</v>
      </c>
      <c r="AZ6" s="56" t="n">
        <f aca="false">IFERROR(Assumptions!$C$53,0)</f>
        <v>0</v>
      </c>
      <c r="BA6" s="56" t="n">
        <f aca="false">IFERROR(Assumptions!$C$53,0)</f>
        <v>0</v>
      </c>
      <c r="BB6" s="56" t="n">
        <f aca="false">IFERROR(Assumptions!$C$53,0)</f>
        <v>0</v>
      </c>
      <c r="BC6" s="56" t="n">
        <f aca="false">IFERROR(Assumptions!$C$53,0)</f>
        <v>0</v>
      </c>
      <c r="BD6" s="56" t="n">
        <f aca="false">IFERROR(Assumptions!$C$53,0)</f>
        <v>0</v>
      </c>
      <c r="BE6" s="56" t="n">
        <f aca="false">IFERROR(Assumptions!$C$53,0)</f>
        <v>0</v>
      </c>
      <c r="BF6" s="56" t="n">
        <f aca="false">IFERROR(Assumptions!$C$53,0)</f>
        <v>0</v>
      </c>
      <c r="BG6" s="56" t="n">
        <f aca="false">IFERROR(Assumptions!$C$53,0)</f>
        <v>0</v>
      </c>
      <c r="BH6" s="56" t="n">
        <f aca="false">IFERROR(Assumptions!$C$53,0)</f>
        <v>0</v>
      </c>
      <c r="BI6" s="56" t="n">
        <f aca="false">IFERROR(Assumptions!$C$53,0)</f>
        <v>0</v>
      </c>
      <c r="BJ6" s="56" t="n">
        <f aca="false">IFERROR(Assumptions!$C$53,0)</f>
        <v>0</v>
      </c>
    </row>
    <row r="7" customFormat="false" ht="15" hidden="false" customHeight="false" outlineLevel="0" collapsed="false">
      <c r="A7" s="42" t="s">
        <v>219</v>
      </c>
      <c r="B7" s="49" t="s">
        <v>133</v>
      </c>
      <c r="C7" s="57" t="n">
        <f aca="false">IFERROR(C6*Assumptions!$C$55,0)</f>
        <v>0</v>
      </c>
      <c r="D7" s="57" t="n">
        <f aca="false">IFERROR(D6*Assumptions!$C$55,0)</f>
        <v>0</v>
      </c>
      <c r="E7" s="57" t="n">
        <f aca="false">IFERROR(E6*Assumptions!$C$55,0)</f>
        <v>0</v>
      </c>
      <c r="F7" s="57" t="n">
        <f aca="false">IFERROR(F6*Assumptions!$C$55,0)</f>
        <v>0</v>
      </c>
      <c r="G7" s="57" t="n">
        <f aca="false">IFERROR(G6*Assumptions!$C$55,0)</f>
        <v>0</v>
      </c>
      <c r="H7" s="57" t="n">
        <f aca="false">IFERROR(H6*Assumptions!$C$55,0)</f>
        <v>0</v>
      </c>
      <c r="I7" s="57" t="n">
        <f aca="false">IFERROR(I6*Assumptions!$C$55,0)</f>
        <v>0</v>
      </c>
      <c r="J7" s="57" t="n">
        <f aca="false">IFERROR(J6*Assumptions!$C$55,0)</f>
        <v>0</v>
      </c>
      <c r="K7" s="57" t="n">
        <f aca="false">IFERROR(K6*Assumptions!$C$55,0)</f>
        <v>0</v>
      </c>
      <c r="L7" s="57" t="n">
        <f aca="false">IFERROR(L6*Assumptions!$C$55,0)</f>
        <v>0</v>
      </c>
      <c r="M7" s="57" t="n">
        <f aca="false">IFERROR(M6*Assumptions!$C$55,0)</f>
        <v>0</v>
      </c>
      <c r="N7" s="57" t="n">
        <f aca="false">IFERROR(N6*Assumptions!$C$55,0)</f>
        <v>0</v>
      </c>
      <c r="O7" s="57" t="n">
        <f aca="false">IFERROR(O6*Assumptions!$C$55,0)</f>
        <v>0</v>
      </c>
      <c r="P7" s="57" t="n">
        <f aca="false">IFERROR(P6*Assumptions!$C$55,0)</f>
        <v>0</v>
      </c>
      <c r="Q7" s="57" t="n">
        <f aca="false">IFERROR(Q6*Assumptions!$C$55,0)</f>
        <v>0</v>
      </c>
      <c r="R7" s="57" t="n">
        <f aca="false">IFERROR(R6*Assumptions!$C$55,0)</f>
        <v>0</v>
      </c>
      <c r="S7" s="57" t="n">
        <f aca="false">IFERROR(S6*Assumptions!$C$55,0)</f>
        <v>0</v>
      </c>
      <c r="T7" s="57" t="n">
        <f aca="false">IFERROR(T6*Assumptions!$C$55,0)</f>
        <v>0</v>
      </c>
      <c r="U7" s="57" t="n">
        <f aca="false">IFERROR(U6*Assumptions!$C$55,0)</f>
        <v>0</v>
      </c>
      <c r="V7" s="57" t="n">
        <f aca="false">IFERROR(V6*Assumptions!$C$55,0)</f>
        <v>0</v>
      </c>
      <c r="W7" s="57" t="n">
        <f aca="false">IFERROR(W6*Assumptions!$C$55,0)</f>
        <v>0</v>
      </c>
      <c r="X7" s="57" t="n">
        <f aca="false">IFERROR(X6*Assumptions!$C$55,0)</f>
        <v>0</v>
      </c>
      <c r="Y7" s="57" t="n">
        <f aca="false">IFERROR(Y6*Assumptions!$C$55,0)</f>
        <v>0</v>
      </c>
      <c r="Z7" s="57" t="n">
        <f aca="false">IFERROR(Z6*Assumptions!$C$55,0)</f>
        <v>0</v>
      </c>
      <c r="AA7" s="57" t="n">
        <f aca="false">IFERROR(AA6*Assumptions!$C$55,0)</f>
        <v>0</v>
      </c>
      <c r="AB7" s="57" t="n">
        <f aca="false">IFERROR(AB6*Assumptions!$C$55,0)</f>
        <v>0</v>
      </c>
      <c r="AC7" s="57" t="n">
        <f aca="false">IFERROR(AC6*Assumptions!$C$55,0)</f>
        <v>0</v>
      </c>
      <c r="AD7" s="57" t="n">
        <f aca="false">IFERROR(AD6*Assumptions!$C$55,0)</f>
        <v>0</v>
      </c>
      <c r="AE7" s="57" t="n">
        <f aca="false">IFERROR(AE6*Assumptions!$C$55,0)</f>
        <v>0</v>
      </c>
      <c r="AF7" s="57" t="n">
        <f aca="false">IFERROR(AF6*Assumptions!$C$55,0)</f>
        <v>0</v>
      </c>
      <c r="AG7" s="57" t="n">
        <f aca="false">IFERROR(AG6*Assumptions!$C$55,0)</f>
        <v>0</v>
      </c>
      <c r="AH7" s="57" t="n">
        <f aca="false">IFERROR(AH6*Assumptions!$C$55,0)</f>
        <v>0</v>
      </c>
      <c r="AI7" s="57" t="n">
        <f aca="false">IFERROR(AI6*Assumptions!$C$55,0)</f>
        <v>0</v>
      </c>
      <c r="AJ7" s="57" t="n">
        <f aca="false">IFERROR(AJ6*Assumptions!$C$55,0)</f>
        <v>0</v>
      </c>
      <c r="AK7" s="57" t="n">
        <f aca="false">IFERROR(AK6*Assumptions!$C$55,0)</f>
        <v>0</v>
      </c>
      <c r="AL7" s="57" t="n">
        <f aca="false">IFERROR(AL6*Assumptions!$C$55,0)</f>
        <v>0</v>
      </c>
      <c r="AM7" s="57" t="n">
        <f aca="false">IFERROR(AM6*Assumptions!$C$55,0)</f>
        <v>0</v>
      </c>
      <c r="AN7" s="57" t="n">
        <f aca="false">IFERROR(AN6*Assumptions!$C$55,0)</f>
        <v>0</v>
      </c>
      <c r="AO7" s="57" t="n">
        <f aca="false">IFERROR(AO6*Assumptions!$C$55,0)</f>
        <v>0</v>
      </c>
      <c r="AP7" s="57" t="n">
        <f aca="false">IFERROR(AP6*Assumptions!$C$55,0)</f>
        <v>0</v>
      </c>
      <c r="AQ7" s="57" t="n">
        <f aca="false">IFERROR(AQ6*Assumptions!$C$55,0)</f>
        <v>0</v>
      </c>
      <c r="AR7" s="57" t="n">
        <f aca="false">IFERROR(AR6*Assumptions!$C$55,0)</f>
        <v>0</v>
      </c>
      <c r="AS7" s="57" t="n">
        <f aca="false">IFERROR(AS6*Assumptions!$C$55,0)</f>
        <v>0</v>
      </c>
      <c r="AT7" s="57" t="n">
        <f aca="false">IFERROR(AT6*Assumptions!$C$55,0)</f>
        <v>0</v>
      </c>
      <c r="AU7" s="57" t="n">
        <f aca="false">IFERROR(AU6*Assumptions!$C$55,0)</f>
        <v>0</v>
      </c>
      <c r="AV7" s="57" t="n">
        <f aca="false">IFERROR(AV6*Assumptions!$C$55,0)</f>
        <v>0</v>
      </c>
      <c r="AW7" s="57" t="n">
        <f aca="false">IFERROR(AW6*Assumptions!$C$55,0)</f>
        <v>0</v>
      </c>
      <c r="AX7" s="57" t="n">
        <f aca="false">IFERROR(AX6*Assumptions!$C$55,0)</f>
        <v>0</v>
      </c>
      <c r="AY7" s="57" t="n">
        <f aca="false">IFERROR(AY6*Assumptions!$C$55,0)</f>
        <v>0</v>
      </c>
      <c r="AZ7" s="57" t="n">
        <f aca="false">IFERROR(AZ6*Assumptions!$C$55,0)</f>
        <v>0</v>
      </c>
      <c r="BA7" s="57" t="n">
        <f aca="false">IFERROR(BA6*Assumptions!$C$55,0)</f>
        <v>0</v>
      </c>
      <c r="BB7" s="57" t="n">
        <f aca="false">IFERROR(BB6*Assumptions!$C$55,0)</f>
        <v>0</v>
      </c>
      <c r="BC7" s="57" t="n">
        <f aca="false">IFERROR(BC6*Assumptions!$C$55,0)</f>
        <v>0</v>
      </c>
      <c r="BD7" s="57" t="n">
        <f aca="false">IFERROR(BD6*Assumptions!$C$55,0)</f>
        <v>0</v>
      </c>
      <c r="BE7" s="57" t="n">
        <f aca="false">IFERROR(BE6*Assumptions!$C$55,0)</f>
        <v>0</v>
      </c>
      <c r="BF7" s="57" t="n">
        <f aca="false">IFERROR(BF6*Assumptions!$C$55,0)</f>
        <v>0</v>
      </c>
      <c r="BG7" s="57" t="n">
        <f aca="false">IFERROR(BG6*Assumptions!$C$55,0)</f>
        <v>0</v>
      </c>
      <c r="BH7" s="57" t="n">
        <f aca="false">IFERROR(BH6*Assumptions!$C$55,0)</f>
        <v>0</v>
      </c>
      <c r="BI7" s="57" t="n">
        <f aca="false">IFERROR(BI6*Assumptions!$C$55,0)</f>
        <v>0</v>
      </c>
      <c r="BJ7" s="57" t="n">
        <f aca="false">IFERROR(BJ6*Assumptions!$C$55,0)</f>
        <v>0</v>
      </c>
    </row>
    <row r="8" customFormat="false" ht="15" hidden="false" customHeight="false" outlineLevel="0" collapsed="false">
      <c r="A8" s="42" t="s">
        <v>220</v>
      </c>
      <c r="B8" s="49" t="s">
        <v>221</v>
      </c>
      <c r="C8" s="58" t="n">
        <f aca="false">IFERROR(Assumptions!$C$54*(1+Assumptions!$C$10)^(1-1),0)</f>
        <v>0</v>
      </c>
      <c r="D8" s="58" t="n">
        <f aca="false">IFERROR(Assumptions!$C$54*(1+Assumptions!$C$10)^(1-1),0)</f>
        <v>0</v>
      </c>
      <c r="E8" s="58" t="n">
        <f aca="false">IFERROR(Assumptions!$C$54*(1+Assumptions!$C$10)^(1-1),0)</f>
        <v>0</v>
      </c>
      <c r="F8" s="58" t="n">
        <f aca="false">IFERROR(Assumptions!$C$54*(1+Assumptions!$C$10)^(1-1),0)</f>
        <v>0</v>
      </c>
      <c r="G8" s="58" t="n">
        <f aca="false">IFERROR(Assumptions!$C$54*(1+Assumptions!$C$10)^(1-1),0)</f>
        <v>0</v>
      </c>
      <c r="H8" s="58" t="n">
        <f aca="false">IFERROR(Assumptions!$C$54*(1+Assumptions!$C$10)^(1-1),0)</f>
        <v>0</v>
      </c>
      <c r="I8" s="58" t="n">
        <f aca="false">IFERROR(Assumptions!$C$54*(1+Assumptions!$C$10)^(1-1),0)</f>
        <v>0</v>
      </c>
      <c r="J8" s="58" t="n">
        <f aca="false">IFERROR(Assumptions!$C$54*(1+Assumptions!$C$10)^(1-1),0)</f>
        <v>0</v>
      </c>
      <c r="K8" s="58" t="n">
        <f aca="false">IFERROR(Assumptions!$C$54*(1+Assumptions!$C$10)^(1-1),0)</f>
        <v>0</v>
      </c>
      <c r="L8" s="58" t="n">
        <f aca="false">IFERROR(Assumptions!$C$54*(1+Assumptions!$C$10)^(1-1),0)</f>
        <v>0</v>
      </c>
      <c r="M8" s="58" t="n">
        <f aca="false">IFERROR(Assumptions!$C$54*(1+Assumptions!$C$10)^(1-1),0)</f>
        <v>0</v>
      </c>
      <c r="N8" s="58" t="n">
        <f aca="false">IFERROR(Assumptions!$C$54*(1+Assumptions!$C$10)^(1-1),0)</f>
        <v>0</v>
      </c>
      <c r="O8" s="58" t="n">
        <f aca="false">IFERROR(Assumptions!$C$54*(1+Assumptions!$C$10)^(2-1),0)</f>
        <v>0</v>
      </c>
      <c r="P8" s="58" t="n">
        <f aca="false">IFERROR(Assumptions!$C$54*(1+Assumptions!$C$10)^(2-1),0)</f>
        <v>0</v>
      </c>
      <c r="Q8" s="58" t="n">
        <f aca="false">IFERROR(Assumptions!$C$54*(1+Assumptions!$C$10)^(2-1),0)</f>
        <v>0</v>
      </c>
      <c r="R8" s="58" t="n">
        <f aca="false">IFERROR(Assumptions!$C$54*(1+Assumptions!$C$10)^(2-1),0)</f>
        <v>0</v>
      </c>
      <c r="S8" s="58" t="n">
        <f aca="false">IFERROR(Assumptions!$C$54*(1+Assumptions!$C$10)^(2-1),0)</f>
        <v>0</v>
      </c>
      <c r="T8" s="58" t="n">
        <f aca="false">IFERROR(Assumptions!$C$54*(1+Assumptions!$C$10)^(2-1),0)</f>
        <v>0</v>
      </c>
      <c r="U8" s="58" t="n">
        <f aca="false">IFERROR(Assumptions!$C$54*(1+Assumptions!$C$10)^(2-1),0)</f>
        <v>0</v>
      </c>
      <c r="V8" s="58" t="n">
        <f aca="false">IFERROR(Assumptions!$C$54*(1+Assumptions!$C$10)^(2-1),0)</f>
        <v>0</v>
      </c>
      <c r="W8" s="58" t="n">
        <f aca="false">IFERROR(Assumptions!$C$54*(1+Assumptions!$C$10)^(2-1),0)</f>
        <v>0</v>
      </c>
      <c r="X8" s="58" t="n">
        <f aca="false">IFERROR(Assumptions!$C$54*(1+Assumptions!$C$10)^(2-1),0)</f>
        <v>0</v>
      </c>
      <c r="Y8" s="58" t="n">
        <f aca="false">IFERROR(Assumptions!$C$54*(1+Assumptions!$C$10)^(2-1),0)</f>
        <v>0</v>
      </c>
      <c r="Z8" s="58" t="n">
        <f aca="false">IFERROR(Assumptions!$C$54*(1+Assumptions!$C$10)^(2-1),0)</f>
        <v>0</v>
      </c>
      <c r="AA8" s="58" t="n">
        <f aca="false">IFERROR(Assumptions!$C$54*(1+Assumptions!$C$10)^(3-1),0)</f>
        <v>0</v>
      </c>
      <c r="AB8" s="58" t="n">
        <f aca="false">IFERROR(Assumptions!$C$54*(1+Assumptions!$C$10)^(3-1),0)</f>
        <v>0</v>
      </c>
      <c r="AC8" s="58" t="n">
        <f aca="false">IFERROR(Assumptions!$C$54*(1+Assumptions!$C$10)^(3-1),0)</f>
        <v>0</v>
      </c>
      <c r="AD8" s="58" t="n">
        <f aca="false">IFERROR(Assumptions!$C$54*(1+Assumptions!$C$10)^(3-1),0)</f>
        <v>0</v>
      </c>
      <c r="AE8" s="58" t="n">
        <f aca="false">IFERROR(Assumptions!$C$54*(1+Assumptions!$C$10)^(3-1),0)</f>
        <v>0</v>
      </c>
      <c r="AF8" s="58" t="n">
        <f aca="false">IFERROR(Assumptions!$C$54*(1+Assumptions!$C$10)^(3-1),0)</f>
        <v>0</v>
      </c>
      <c r="AG8" s="58" t="n">
        <f aca="false">IFERROR(Assumptions!$C$54*(1+Assumptions!$C$10)^(3-1),0)</f>
        <v>0</v>
      </c>
      <c r="AH8" s="58" t="n">
        <f aca="false">IFERROR(Assumptions!$C$54*(1+Assumptions!$C$10)^(3-1),0)</f>
        <v>0</v>
      </c>
      <c r="AI8" s="58" t="n">
        <f aca="false">IFERROR(Assumptions!$C$54*(1+Assumptions!$C$10)^(3-1),0)</f>
        <v>0</v>
      </c>
      <c r="AJ8" s="58" t="n">
        <f aca="false">IFERROR(Assumptions!$C$54*(1+Assumptions!$C$10)^(3-1),0)</f>
        <v>0</v>
      </c>
      <c r="AK8" s="58" t="n">
        <f aca="false">IFERROR(Assumptions!$C$54*(1+Assumptions!$C$10)^(3-1),0)</f>
        <v>0</v>
      </c>
      <c r="AL8" s="58" t="n">
        <f aca="false">IFERROR(Assumptions!$C$54*(1+Assumptions!$C$10)^(3-1),0)</f>
        <v>0</v>
      </c>
      <c r="AM8" s="58" t="n">
        <f aca="false">IFERROR(Assumptions!$C$54*(1+Assumptions!$C$10)^(4-1),0)</f>
        <v>0</v>
      </c>
      <c r="AN8" s="58" t="n">
        <f aca="false">IFERROR(Assumptions!$C$54*(1+Assumptions!$C$10)^(4-1),0)</f>
        <v>0</v>
      </c>
      <c r="AO8" s="58" t="n">
        <f aca="false">IFERROR(Assumptions!$C$54*(1+Assumptions!$C$10)^(4-1),0)</f>
        <v>0</v>
      </c>
      <c r="AP8" s="58" t="n">
        <f aca="false">IFERROR(Assumptions!$C$54*(1+Assumptions!$C$10)^(4-1),0)</f>
        <v>0</v>
      </c>
      <c r="AQ8" s="58" t="n">
        <f aca="false">IFERROR(Assumptions!$C$54*(1+Assumptions!$C$10)^(4-1),0)</f>
        <v>0</v>
      </c>
      <c r="AR8" s="58" t="n">
        <f aca="false">IFERROR(Assumptions!$C$54*(1+Assumptions!$C$10)^(4-1),0)</f>
        <v>0</v>
      </c>
      <c r="AS8" s="58" t="n">
        <f aca="false">IFERROR(Assumptions!$C$54*(1+Assumptions!$C$10)^(4-1),0)</f>
        <v>0</v>
      </c>
      <c r="AT8" s="58" t="n">
        <f aca="false">IFERROR(Assumptions!$C$54*(1+Assumptions!$C$10)^(4-1),0)</f>
        <v>0</v>
      </c>
      <c r="AU8" s="58" t="n">
        <f aca="false">IFERROR(Assumptions!$C$54*(1+Assumptions!$C$10)^(4-1),0)</f>
        <v>0</v>
      </c>
      <c r="AV8" s="58" t="n">
        <f aca="false">IFERROR(Assumptions!$C$54*(1+Assumptions!$C$10)^(4-1),0)</f>
        <v>0</v>
      </c>
      <c r="AW8" s="58" t="n">
        <f aca="false">IFERROR(Assumptions!$C$54*(1+Assumptions!$C$10)^(4-1),0)</f>
        <v>0</v>
      </c>
      <c r="AX8" s="58" t="n">
        <f aca="false">IFERROR(Assumptions!$C$54*(1+Assumptions!$C$10)^(4-1),0)</f>
        <v>0</v>
      </c>
      <c r="AY8" s="58" t="n">
        <f aca="false">IFERROR(Assumptions!$C$54*(1+Assumptions!$C$10)^(5-1),0)</f>
        <v>0</v>
      </c>
      <c r="AZ8" s="58" t="n">
        <f aca="false">IFERROR(Assumptions!$C$54*(1+Assumptions!$C$10)^(5-1),0)</f>
        <v>0</v>
      </c>
      <c r="BA8" s="58" t="n">
        <f aca="false">IFERROR(Assumptions!$C$54*(1+Assumptions!$C$10)^(5-1),0)</f>
        <v>0</v>
      </c>
      <c r="BB8" s="58" t="n">
        <f aca="false">IFERROR(Assumptions!$C$54*(1+Assumptions!$C$10)^(5-1),0)</f>
        <v>0</v>
      </c>
      <c r="BC8" s="58" t="n">
        <f aca="false">IFERROR(Assumptions!$C$54*(1+Assumptions!$C$10)^(5-1),0)</f>
        <v>0</v>
      </c>
      <c r="BD8" s="58" t="n">
        <f aca="false">IFERROR(Assumptions!$C$54*(1+Assumptions!$C$10)^(5-1),0)</f>
        <v>0</v>
      </c>
      <c r="BE8" s="58" t="n">
        <f aca="false">IFERROR(Assumptions!$C$54*(1+Assumptions!$C$10)^(5-1),0)</f>
        <v>0</v>
      </c>
      <c r="BF8" s="58" t="n">
        <f aca="false">IFERROR(Assumptions!$C$54*(1+Assumptions!$C$10)^(5-1),0)</f>
        <v>0</v>
      </c>
      <c r="BG8" s="58" t="n">
        <f aca="false">IFERROR(Assumptions!$C$54*(1+Assumptions!$C$10)^(5-1),0)</f>
        <v>0</v>
      </c>
      <c r="BH8" s="58" t="n">
        <f aca="false">IFERROR(Assumptions!$C$54*(1+Assumptions!$C$10)^(5-1),0)</f>
        <v>0</v>
      </c>
      <c r="BI8" s="58" t="n">
        <f aca="false">IFERROR(Assumptions!$C$54*(1+Assumptions!$C$10)^(5-1),0)</f>
        <v>0</v>
      </c>
      <c r="BJ8" s="58" t="n">
        <f aca="false">IFERROR(Assumptions!$C$54*(1+Assumptions!$C$10)^(5-1),0)</f>
        <v>0</v>
      </c>
    </row>
    <row r="9" customFormat="false" ht="15" hidden="false" customHeight="false" outlineLevel="0" collapsed="false">
      <c r="A9" s="52" t="s">
        <v>222</v>
      </c>
      <c r="B9" s="53" t="s">
        <v>88</v>
      </c>
      <c r="C9" s="54" t="n">
        <f aca="false">IFERROR(C6*C8/100000,0)</f>
        <v>0</v>
      </c>
      <c r="D9" s="54" t="n">
        <f aca="false">IFERROR(D6*D8/100000,0)</f>
        <v>0</v>
      </c>
      <c r="E9" s="54" t="n">
        <f aca="false">IFERROR(E6*E8/100000,0)</f>
        <v>0</v>
      </c>
      <c r="F9" s="54" t="n">
        <f aca="false">IFERROR(F6*F8/100000,0)</f>
        <v>0</v>
      </c>
      <c r="G9" s="54" t="n">
        <f aca="false">IFERROR(G6*G8/100000,0)</f>
        <v>0</v>
      </c>
      <c r="H9" s="54" t="n">
        <f aca="false">IFERROR(H6*H8/100000,0)</f>
        <v>0</v>
      </c>
      <c r="I9" s="54" t="n">
        <f aca="false">IFERROR(I6*I8/100000,0)</f>
        <v>0</v>
      </c>
      <c r="J9" s="54" t="n">
        <f aca="false">IFERROR(J6*J8/100000,0)</f>
        <v>0</v>
      </c>
      <c r="K9" s="54" t="n">
        <f aca="false">IFERROR(K6*K8/100000,0)</f>
        <v>0</v>
      </c>
      <c r="L9" s="54" t="n">
        <f aca="false">IFERROR(L6*L8/100000,0)</f>
        <v>0</v>
      </c>
      <c r="M9" s="54" t="n">
        <f aca="false">IFERROR(M6*M8/100000,0)</f>
        <v>0</v>
      </c>
      <c r="N9" s="54" t="n">
        <f aca="false">IFERROR(N6*N8/100000,0)</f>
        <v>0</v>
      </c>
      <c r="O9" s="54" t="n">
        <f aca="false">IFERROR(O6*O8/100000,0)</f>
        <v>0</v>
      </c>
      <c r="P9" s="54" t="n">
        <f aca="false">IFERROR(P6*P8/100000,0)</f>
        <v>0</v>
      </c>
      <c r="Q9" s="54" t="n">
        <f aca="false">IFERROR(Q6*Q8/100000,0)</f>
        <v>0</v>
      </c>
      <c r="R9" s="54" t="n">
        <f aca="false">IFERROR(R6*R8/100000,0)</f>
        <v>0</v>
      </c>
      <c r="S9" s="54" t="n">
        <f aca="false">IFERROR(S6*S8/100000,0)</f>
        <v>0</v>
      </c>
      <c r="T9" s="54" t="n">
        <f aca="false">IFERROR(T6*T8/100000,0)</f>
        <v>0</v>
      </c>
      <c r="U9" s="54" t="n">
        <f aca="false">IFERROR(U6*U8/100000,0)</f>
        <v>0</v>
      </c>
      <c r="V9" s="54" t="n">
        <f aca="false">IFERROR(V6*V8/100000,0)</f>
        <v>0</v>
      </c>
      <c r="W9" s="54" t="n">
        <f aca="false">IFERROR(W6*W8/100000,0)</f>
        <v>0</v>
      </c>
      <c r="X9" s="54" t="n">
        <f aca="false">IFERROR(X6*X8/100000,0)</f>
        <v>0</v>
      </c>
      <c r="Y9" s="54" t="n">
        <f aca="false">IFERROR(Y6*Y8/100000,0)</f>
        <v>0</v>
      </c>
      <c r="Z9" s="54" t="n">
        <f aca="false">IFERROR(Z6*Z8/100000,0)</f>
        <v>0</v>
      </c>
      <c r="AA9" s="54" t="n">
        <f aca="false">IFERROR(AA6*AA8/100000,0)</f>
        <v>0</v>
      </c>
      <c r="AB9" s="54" t="n">
        <f aca="false">IFERROR(AB6*AB8/100000,0)</f>
        <v>0</v>
      </c>
      <c r="AC9" s="54" t="n">
        <f aca="false">IFERROR(AC6*AC8/100000,0)</f>
        <v>0</v>
      </c>
      <c r="AD9" s="54" t="n">
        <f aca="false">IFERROR(AD6*AD8/100000,0)</f>
        <v>0</v>
      </c>
      <c r="AE9" s="54" t="n">
        <f aca="false">IFERROR(AE6*AE8/100000,0)</f>
        <v>0</v>
      </c>
      <c r="AF9" s="54" t="n">
        <f aca="false">IFERROR(AF6*AF8/100000,0)</f>
        <v>0</v>
      </c>
      <c r="AG9" s="54" t="n">
        <f aca="false">IFERROR(AG6*AG8/100000,0)</f>
        <v>0</v>
      </c>
      <c r="AH9" s="54" t="n">
        <f aca="false">IFERROR(AH6*AH8/100000,0)</f>
        <v>0</v>
      </c>
      <c r="AI9" s="54" t="n">
        <f aca="false">IFERROR(AI6*AI8/100000,0)</f>
        <v>0</v>
      </c>
      <c r="AJ9" s="54" t="n">
        <f aca="false">IFERROR(AJ6*AJ8/100000,0)</f>
        <v>0</v>
      </c>
      <c r="AK9" s="54" t="n">
        <f aca="false">IFERROR(AK6*AK8/100000,0)</f>
        <v>0</v>
      </c>
      <c r="AL9" s="54" t="n">
        <f aca="false">IFERROR(AL6*AL8/100000,0)</f>
        <v>0</v>
      </c>
      <c r="AM9" s="54" t="n">
        <f aca="false">IFERROR(AM6*AM8/100000,0)</f>
        <v>0</v>
      </c>
      <c r="AN9" s="54" t="n">
        <f aca="false">IFERROR(AN6*AN8/100000,0)</f>
        <v>0</v>
      </c>
      <c r="AO9" s="54" t="n">
        <f aca="false">IFERROR(AO6*AO8/100000,0)</f>
        <v>0</v>
      </c>
      <c r="AP9" s="54" t="n">
        <f aca="false">IFERROR(AP6*AP8/100000,0)</f>
        <v>0</v>
      </c>
      <c r="AQ9" s="54" t="n">
        <f aca="false">IFERROR(AQ6*AQ8/100000,0)</f>
        <v>0</v>
      </c>
      <c r="AR9" s="54" t="n">
        <f aca="false">IFERROR(AR6*AR8/100000,0)</f>
        <v>0</v>
      </c>
      <c r="AS9" s="54" t="n">
        <f aca="false">IFERROR(AS6*AS8/100000,0)</f>
        <v>0</v>
      </c>
      <c r="AT9" s="54" t="n">
        <f aca="false">IFERROR(AT6*AT8/100000,0)</f>
        <v>0</v>
      </c>
      <c r="AU9" s="54" t="n">
        <f aca="false">IFERROR(AU6*AU8/100000,0)</f>
        <v>0</v>
      </c>
      <c r="AV9" s="54" t="n">
        <f aca="false">IFERROR(AV6*AV8/100000,0)</f>
        <v>0</v>
      </c>
      <c r="AW9" s="54" t="n">
        <f aca="false">IFERROR(AW6*AW8/100000,0)</f>
        <v>0</v>
      </c>
      <c r="AX9" s="54" t="n">
        <f aca="false">IFERROR(AX6*AX8/100000,0)</f>
        <v>0</v>
      </c>
      <c r="AY9" s="54" t="n">
        <f aca="false">IFERROR(AY6*AY8/100000,0)</f>
        <v>0</v>
      </c>
      <c r="AZ9" s="54" t="n">
        <f aca="false">IFERROR(AZ6*AZ8/100000,0)</f>
        <v>0</v>
      </c>
      <c r="BA9" s="54" t="n">
        <f aca="false">IFERROR(BA6*BA8/100000,0)</f>
        <v>0</v>
      </c>
      <c r="BB9" s="54" t="n">
        <f aca="false">IFERROR(BB6*BB8/100000,0)</f>
        <v>0</v>
      </c>
      <c r="BC9" s="54" t="n">
        <f aca="false">IFERROR(BC6*BC8/100000,0)</f>
        <v>0</v>
      </c>
      <c r="BD9" s="54" t="n">
        <f aca="false">IFERROR(BD6*BD8/100000,0)</f>
        <v>0</v>
      </c>
      <c r="BE9" s="54" t="n">
        <f aca="false">IFERROR(BE6*BE8/100000,0)</f>
        <v>0</v>
      </c>
      <c r="BF9" s="54" t="n">
        <f aca="false">IFERROR(BF6*BF8/100000,0)</f>
        <v>0</v>
      </c>
      <c r="BG9" s="54" t="n">
        <f aca="false">IFERROR(BG6*BG8/100000,0)</f>
        <v>0</v>
      </c>
      <c r="BH9" s="54" t="n">
        <f aca="false">IFERROR(BH6*BH8/100000,0)</f>
        <v>0</v>
      </c>
      <c r="BI9" s="54" t="n">
        <f aca="false">IFERROR(BI6*BI8/100000,0)</f>
        <v>0</v>
      </c>
      <c r="BJ9" s="54" t="n">
        <f aca="false">IFERROR(BJ6*BJ8/100000,0)</f>
        <v>0</v>
      </c>
    </row>
  </sheetData>
  <mergeCells count="1">
    <mergeCell ref="A1:B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2" min="2" style="0" width="11"/>
  </cols>
  <sheetData>
    <row r="1" customFormat="false" ht="24" hidden="false" customHeight="true" outlineLevel="0" collapsed="false">
      <c r="A1" s="32" t="s">
        <v>223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</row>
    <row r="2" customFormat="false" ht="15" hidden="false" customHeight="false" outlineLevel="0" collapsed="false">
      <c r="A2" s="37" t="s">
        <v>224</v>
      </c>
    </row>
    <row r="3" customFormat="false" ht="15" hidden="false" customHeight="false" outlineLevel="0" collapsed="false">
      <c r="A3" s="45" t="s">
        <v>197</v>
      </c>
      <c r="C3" s="46" t="n">
        <v>1</v>
      </c>
      <c r="D3" s="46" t="n">
        <v>2</v>
      </c>
      <c r="E3" s="46" t="n">
        <v>3</v>
      </c>
      <c r="F3" s="46" t="n">
        <v>4</v>
      </c>
      <c r="G3" s="46" t="n">
        <v>5</v>
      </c>
      <c r="H3" s="46" t="n">
        <v>6</v>
      </c>
      <c r="I3" s="46" t="n">
        <v>7</v>
      </c>
      <c r="J3" s="46" t="n">
        <v>8</v>
      </c>
      <c r="K3" s="46" t="n">
        <v>9</v>
      </c>
      <c r="L3" s="46" t="n">
        <v>10</v>
      </c>
      <c r="M3" s="46" t="n">
        <v>11</v>
      </c>
      <c r="N3" s="46" t="n">
        <v>12</v>
      </c>
      <c r="O3" s="46" t="n">
        <v>13</v>
      </c>
      <c r="P3" s="46" t="n">
        <v>14</v>
      </c>
      <c r="Q3" s="46" t="n">
        <v>15</v>
      </c>
      <c r="R3" s="46" t="n">
        <v>16</v>
      </c>
      <c r="S3" s="46" t="n">
        <v>17</v>
      </c>
      <c r="T3" s="46" t="n">
        <v>18</v>
      </c>
      <c r="U3" s="46" t="n">
        <v>19</v>
      </c>
      <c r="V3" s="46" t="n">
        <v>20</v>
      </c>
      <c r="W3" s="46" t="n">
        <v>21</v>
      </c>
      <c r="X3" s="46" t="n">
        <v>22</v>
      </c>
      <c r="Y3" s="46" t="n">
        <v>23</v>
      </c>
      <c r="Z3" s="46" t="n">
        <v>24</v>
      </c>
      <c r="AA3" s="46" t="n">
        <v>25</v>
      </c>
      <c r="AB3" s="46" t="n">
        <v>26</v>
      </c>
      <c r="AC3" s="46" t="n">
        <v>27</v>
      </c>
      <c r="AD3" s="46" t="n">
        <v>28</v>
      </c>
      <c r="AE3" s="46" t="n">
        <v>29</v>
      </c>
      <c r="AF3" s="46" t="n">
        <v>30</v>
      </c>
      <c r="AG3" s="46" t="n">
        <v>31</v>
      </c>
      <c r="AH3" s="46" t="n">
        <v>32</v>
      </c>
      <c r="AI3" s="46" t="n">
        <v>33</v>
      </c>
      <c r="AJ3" s="46" t="n">
        <v>34</v>
      </c>
      <c r="AK3" s="46" t="n">
        <v>35</v>
      </c>
      <c r="AL3" s="46" t="n">
        <v>36</v>
      </c>
      <c r="AM3" s="46" t="n">
        <v>37</v>
      </c>
      <c r="AN3" s="46" t="n">
        <v>38</v>
      </c>
      <c r="AO3" s="46" t="n">
        <v>39</v>
      </c>
      <c r="AP3" s="46" t="n">
        <v>40</v>
      </c>
      <c r="AQ3" s="46" t="n">
        <v>41</v>
      </c>
      <c r="AR3" s="46" t="n">
        <v>42</v>
      </c>
      <c r="AS3" s="46" t="n">
        <v>43</v>
      </c>
      <c r="AT3" s="46" t="n">
        <v>44</v>
      </c>
      <c r="AU3" s="46" t="n">
        <v>45</v>
      </c>
      <c r="AV3" s="46" t="n">
        <v>46</v>
      </c>
      <c r="AW3" s="46" t="n">
        <v>47</v>
      </c>
      <c r="AX3" s="46" t="n">
        <v>48</v>
      </c>
      <c r="AY3" s="46" t="n">
        <v>49</v>
      </c>
      <c r="AZ3" s="46" t="n">
        <v>50</v>
      </c>
      <c r="BA3" s="46" t="n">
        <v>51</v>
      </c>
      <c r="BB3" s="46" t="n">
        <v>52</v>
      </c>
      <c r="BC3" s="46" t="n">
        <v>53</v>
      </c>
      <c r="BD3" s="46" t="n">
        <v>54</v>
      </c>
      <c r="BE3" s="46" t="n">
        <v>55</v>
      </c>
      <c r="BF3" s="46" t="n">
        <v>56</v>
      </c>
      <c r="BG3" s="46" t="n">
        <v>57</v>
      </c>
      <c r="BH3" s="46" t="n">
        <v>58</v>
      </c>
      <c r="BI3" s="46" t="n">
        <v>59</v>
      </c>
      <c r="BJ3" s="46" t="n">
        <v>60</v>
      </c>
    </row>
    <row r="4" customFormat="false" ht="15" hidden="false" customHeight="false" outlineLevel="0" collapsed="false">
      <c r="A4" s="45" t="s">
        <v>198</v>
      </c>
      <c r="C4" s="47" t="s">
        <v>199</v>
      </c>
      <c r="D4" s="47" t="s">
        <v>199</v>
      </c>
      <c r="E4" s="47" t="s">
        <v>199</v>
      </c>
      <c r="F4" s="47" t="s">
        <v>199</v>
      </c>
      <c r="G4" s="47" t="s">
        <v>199</v>
      </c>
      <c r="H4" s="47" t="s">
        <v>199</v>
      </c>
      <c r="I4" s="47" t="s">
        <v>199</v>
      </c>
      <c r="J4" s="47" t="s">
        <v>199</v>
      </c>
      <c r="K4" s="47" t="s">
        <v>199</v>
      </c>
      <c r="L4" s="47" t="s">
        <v>199</v>
      </c>
      <c r="M4" s="47" t="s">
        <v>199</v>
      </c>
      <c r="N4" s="47" t="s">
        <v>199</v>
      </c>
      <c r="O4" s="48" t="s">
        <v>200</v>
      </c>
      <c r="P4" s="48" t="s">
        <v>200</v>
      </c>
      <c r="Q4" s="48" t="s">
        <v>200</v>
      </c>
      <c r="R4" s="48" t="s">
        <v>200</v>
      </c>
      <c r="S4" s="48" t="s">
        <v>200</v>
      </c>
      <c r="T4" s="48" t="s">
        <v>200</v>
      </c>
      <c r="U4" s="48" t="s">
        <v>200</v>
      </c>
      <c r="V4" s="48" t="s">
        <v>200</v>
      </c>
      <c r="W4" s="48" t="s">
        <v>200</v>
      </c>
      <c r="X4" s="48" t="s">
        <v>200</v>
      </c>
      <c r="Y4" s="48" t="s">
        <v>200</v>
      </c>
      <c r="Z4" s="48" t="s">
        <v>200</v>
      </c>
      <c r="AA4" s="47" t="s">
        <v>201</v>
      </c>
      <c r="AB4" s="47" t="s">
        <v>201</v>
      </c>
      <c r="AC4" s="47" t="s">
        <v>201</v>
      </c>
      <c r="AD4" s="47" t="s">
        <v>201</v>
      </c>
      <c r="AE4" s="47" t="s">
        <v>201</v>
      </c>
      <c r="AF4" s="47" t="s">
        <v>201</v>
      </c>
      <c r="AG4" s="47" t="s">
        <v>201</v>
      </c>
      <c r="AH4" s="47" t="s">
        <v>201</v>
      </c>
      <c r="AI4" s="47" t="s">
        <v>201</v>
      </c>
      <c r="AJ4" s="47" t="s">
        <v>201</v>
      </c>
      <c r="AK4" s="47" t="s">
        <v>201</v>
      </c>
      <c r="AL4" s="47" t="s">
        <v>201</v>
      </c>
      <c r="AM4" s="48" t="s">
        <v>202</v>
      </c>
      <c r="AN4" s="48" t="s">
        <v>202</v>
      </c>
      <c r="AO4" s="48" t="s">
        <v>202</v>
      </c>
      <c r="AP4" s="48" t="s">
        <v>202</v>
      </c>
      <c r="AQ4" s="48" t="s">
        <v>202</v>
      </c>
      <c r="AR4" s="48" t="s">
        <v>202</v>
      </c>
      <c r="AS4" s="48" t="s">
        <v>202</v>
      </c>
      <c r="AT4" s="48" t="s">
        <v>202</v>
      </c>
      <c r="AU4" s="48" t="s">
        <v>202</v>
      </c>
      <c r="AV4" s="48" t="s">
        <v>202</v>
      </c>
      <c r="AW4" s="48" t="s">
        <v>202</v>
      </c>
      <c r="AX4" s="48" t="s">
        <v>202</v>
      </c>
      <c r="AY4" s="47" t="s">
        <v>203</v>
      </c>
      <c r="AZ4" s="47" t="s">
        <v>203</v>
      </c>
      <c r="BA4" s="47" t="s">
        <v>203</v>
      </c>
      <c r="BB4" s="47" t="s">
        <v>203</v>
      </c>
      <c r="BC4" s="47" t="s">
        <v>203</v>
      </c>
      <c r="BD4" s="47" t="s">
        <v>203</v>
      </c>
      <c r="BE4" s="47" t="s">
        <v>203</v>
      </c>
      <c r="BF4" s="47" t="s">
        <v>203</v>
      </c>
      <c r="BG4" s="47" t="s">
        <v>203</v>
      </c>
      <c r="BH4" s="47" t="s">
        <v>203</v>
      </c>
      <c r="BI4" s="47" t="s">
        <v>203</v>
      </c>
      <c r="BJ4" s="47" t="s">
        <v>203</v>
      </c>
    </row>
    <row r="6" customFormat="false" ht="15" hidden="false" customHeight="false" outlineLevel="0" collapsed="false">
      <c r="A6" s="59" t="s">
        <v>225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</row>
    <row r="7" customFormat="false" ht="15" hidden="false" customHeight="false" outlineLevel="0" collapsed="false">
      <c r="A7" s="42" t="s">
        <v>226</v>
      </c>
      <c r="B7" s="49" t="s">
        <v>227</v>
      </c>
      <c r="C7" s="57" t="n">
        <f aca="false">IFERROR(Assumptions!$C$30,0)</f>
        <v>0</v>
      </c>
      <c r="D7" s="57" t="n">
        <f aca="false">IFERROR(Assumptions!$C$30,0)</f>
        <v>0</v>
      </c>
      <c r="E7" s="57" t="n">
        <f aca="false">IFERROR(Assumptions!$C$30,0)</f>
        <v>0</v>
      </c>
      <c r="F7" s="57" t="n">
        <f aca="false">IFERROR(Assumptions!$C$30,0)</f>
        <v>0</v>
      </c>
      <c r="G7" s="57" t="n">
        <f aca="false">IFERROR(Assumptions!$C$30,0)</f>
        <v>0</v>
      </c>
      <c r="H7" s="57" t="n">
        <f aca="false">IFERROR(Assumptions!$C$30,0)</f>
        <v>0</v>
      </c>
      <c r="I7" s="57" t="n">
        <f aca="false">IFERROR(Assumptions!$C$30,0)</f>
        <v>0</v>
      </c>
      <c r="J7" s="57" t="n">
        <f aca="false">IFERROR(Assumptions!$C$30,0)</f>
        <v>0</v>
      </c>
      <c r="K7" s="57" t="n">
        <f aca="false">IFERROR(Assumptions!$C$30,0)</f>
        <v>0</v>
      </c>
      <c r="L7" s="57" t="n">
        <f aca="false">IFERROR(Assumptions!$C$30,0)</f>
        <v>0</v>
      </c>
      <c r="M7" s="57" t="n">
        <f aca="false">IFERROR(Assumptions!$C$30,0)</f>
        <v>0</v>
      </c>
      <c r="N7" s="57" t="n">
        <f aca="false">IFERROR(Assumptions!$C$30,0)</f>
        <v>0</v>
      </c>
      <c r="O7" s="57" t="n">
        <f aca="false">IFERROR(Assumptions!$C$30,0)</f>
        <v>0</v>
      </c>
      <c r="P7" s="57" t="n">
        <f aca="false">IFERROR(Assumptions!$C$30,0)</f>
        <v>0</v>
      </c>
      <c r="Q7" s="57" t="n">
        <f aca="false">IFERROR(Assumptions!$C$30,0)</f>
        <v>0</v>
      </c>
      <c r="R7" s="57" t="n">
        <f aca="false">IFERROR(Assumptions!$C$30,0)</f>
        <v>0</v>
      </c>
      <c r="S7" s="57" t="n">
        <f aca="false">IFERROR(Assumptions!$C$30,0)</f>
        <v>0</v>
      </c>
      <c r="T7" s="57" t="n">
        <f aca="false">IFERROR(Assumptions!$C$30,0)</f>
        <v>0</v>
      </c>
      <c r="U7" s="57" t="n">
        <f aca="false">IFERROR(Assumptions!$C$30,0)</f>
        <v>0</v>
      </c>
      <c r="V7" s="57" t="n">
        <f aca="false">IFERROR(Assumptions!$C$30,0)</f>
        <v>0</v>
      </c>
      <c r="W7" s="57" t="n">
        <f aca="false">IFERROR(Assumptions!$C$30,0)</f>
        <v>0</v>
      </c>
      <c r="X7" s="57" t="n">
        <f aca="false">IFERROR(Assumptions!$C$30,0)</f>
        <v>0</v>
      </c>
      <c r="Y7" s="57" t="n">
        <f aca="false">IFERROR(Assumptions!$C$30,0)</f>
        <v>0</v>
      </c>
      <c r="Z7" s="57" t="n">
        <f aca="false">IFERROR(Assumptions!$C$30,0)</f>
        <v>0</v>
      </c>
      <c r="AA7" s="57" t="n">
        <f aca="false">IFERROR(Assumptions!$C$30,0)</f>
        <v>0</v>
      </c>
      <c r="AB7" s="57" t="n">
        <f aca="false">IFERROR(Assumptions!$C$30,0)</f>
        <v>0</v>
      </c>
      <c r="AC7" s="57" t="n">
        <f aca="false">IFERROR(Assumptions!$C$30,0)</f>
        <v>0</v>
      </c>
      <c r="AD7" s="57" t="n">
        <f aca="false">IFERROR(Assumptions!$C$30,0)</f>
        <v>0</v>
      </c>
      <c r="AE7" s="57" t="n">
        <f aca="false">IFERROR(Assumptions!$C$30,0)</f>
        <v>0</v>
      </c>
      <c r="AF7" s="57" t="n">
        <f aca="false">IFERROR(Assumptions!$C$30,0)</f>
        <v>0</v>
      </c>
      <c r="AG7" s="57" t="n">
        <f aca="false">IFERROR(Assumptions!$C$30,0)</f>
        <v>0</v>
      </c>
      <c r="AH7" s="57" t="n">
        <f aca="false">IFERROR(Assumptions!$C$30,0)</f>
        <v>0</v>
      </c>
      <c r="AI7" s="57" t="n">
        <f aca="false">IFERROR(Assumptions!$C$30,0)</f>
        <v>0</v>
      </c>
      <c r="AJ7" s="57" t="n">
        <f aca="false">IFERROR(Assumptions!$C$30,0)</f>
        <v>0</v>
      </c>
      <c r="AK7" s="57" t="n">
        <f aca="false">IFERROR(Assumptions!$C$30,0)</f>
        <v>0</v>
      </c>
      <c r="AL7" s="57" t="n">
        <f aca="false">IFERROR(Assumptions!$C$30,0)</f>
        <v>0</v>
      </c>
      <c r="AM7" s="57" t="n">
        <f aca="false">IFERROR(Assumptions!$C$30,0)</f>
        <v>0</v>
      </c>
      <c r="AN7" s="57" t="n">
        <f aca="false">IFERROR(Assumptions!$C$30,0)</f>
        <v>0</v>
      </c>
      <c r="AO7" s="57" t="n">
        <f aca="false">IFERROR(Assumptions!$C$30,0)</f>
        <v>0</v>
      </c>
      <c r="AP7" s="57" t="n">
        <f aca="false">IFERROR(Assumptions!$C$30,0)</f>
        <v>0</v>
      </c>
      <c r="AQ7" s="57" t="n">
        <f aca="false">IFERROR(Assumptions!$C$30,0)</f>
        <v>0</v>
      </c>
      <c r="AR7" s="57" t="n">
        <f aca="false">IFERROR(Assumptions!$C$30,0)</f>
        <v>0</v>
      </c>
      <c r="AS7" s="57" t="n">
        <f aca="false">IFERROR(Assumptions!$C$30,0)</f>
        <v>0</v>
      </c>
      <c r="AT7" s="57" t="n">
        <f aca="false">IFERROR(Assumptions!$C$30,0)</f>
        <v>0</v>
      </c>
      <c r="AU7" s="57" t="n">
        <f aca="false">IFERROR(Assumptions!$C$30,0)</f>
        <v>0</v>
      </c>
      <c r="AV7" s="57" t="n">
        <f aca="false">IFERROR(Assumptions!$C$30,0)</f>
        <v>0</v>
      </c>
      <c r="AW7" s="57" t="n">
        <f aca="false">IFERROR(Assumptions!$C$30,0)</f>
        <v>0</v>
      </c>
      <c r="AX7" s="57" t="n">
        <f aca="false">IFERROR(Assumptions!$C$30,0)</f>
        <v>0</v>
      </c>
      <c r="AY7" s="57" t="n">
        <f aca="false">IFERROR(Assumptions!$C$30,0)</f>
        <v>0</v>
      </c>
      <c r="AZ7" s="57" t="n">
        <f aca="false">IFERROR(Assumptions!$C$30,0)</f>
        <v>0</v>
      </c>
      <c r="BA7" s="57" t="n">
        <f aca="false">IFERROR(Assumptions!$C$30,0)</f>
        <v>0</v>
      </c>
      <c r="BB7" s="57" t="n">
        <f aca="false">IFERROR(Assumptions!$C$30,0)</f>
        <v>0</v>
      </c>
      <c r="BC7" s="57" t="n">
        <f aca="false">IFERROR(Assumptions!$C$30,0)</f>
        <v>0</v>
      </c>
      <c r="BD7" s="57" t="n">
        <f aca="false">IFERROR(Assumptions!$C$30,0)</f>
        <v>0</v>
      </c>
      <c r="BE7" s="57" t="n">
        <f aca="false">IFERROR(Assumptions!$C$30,0)</f>
        <v>0</v>
      </c>
      <c r="BF7" s="57" t="n">
        <f aca="false">IFERROR(Assumptions!$C$30,0)</f>
        <v>0</v>
      </c>
      <c r="BG7" s="57" t="n">
        <f aca="false">IFERROR(Assumptions!$C$30,0)</f>
        <v>0</v>
      </c>
      <c r="BH7" s="57" t="n">
        <f aca="false">IFERROR(Assumptions!$C$30,0)</f>
        <v>0</v>
      </c>
      <c r="BI7" s="57" t="n">
        <f aca="false">IFERROR(Assumptions!$C$30,0)</f>
        <v>0</v>
      </c>
      <c r="BJ7" s="57" t="n">
        <f aca="false">IFERROR(Assumptions!$C$30,0)</f>
        <v>0</v>
      </c>
    </row>
    <row r="8" customFormat="false" ht="15" hidden="false" customHeight="false" outlineLevel="0" collapsed="false">
      <c r="A8" s="42" t="s">
        <v>228</v>
      </c>
      <c r="B8" s="49" t="s">
        <v>73</v>
      </c>
      <c r="C8" s="61" t="n">
        <f aca="false">IFERROR(Assumptions!$C$31,0)</f>
        <v>0</v>
      </c>
      <c r="D8" s="61" t="n">
        <f aca="false">IFERROR(Assumptions!$C$31,0)</f>
        <v>0</v>
      </c>
      <c r="E8" s="61" t="n">
        <f aca="false">IFERROR(Assumptions!$C$31,0)</f>
        <v>0</v>
      </c>
      <c r="F8" s="61" t="n">
        <f aca="false">IFERROR(Assumptions!$C$31,0)</f>
        <v>0</v>
      </c>
      <c r="G8" s="61" t="n">
        <f aca="false">IFERROR(Assumptions!$C$31,0)</f>
        <v>0</v>
      </c>
      <c r="H8" s="61" t="n">
        <f aca="false">IFERROR(Assumptions!$C$31,0)</f>
        <v>0</v>
      </c>
      <c r="I8" s="61" t="n">
        <f aca="false">IFERROR(Assumptions!$C$31,0)</f>
        <v>0</v>
      </c>
      <c r="J8" s="61" t="n">
        <f aca="false">IFERROR(Assumptions!$C$31,0)</f>
        <v>0</v>
      </c>
      <c r="K8" s="61" t="n">
        <f aca="false">IFERROR(Assumptions!$C$31,0)</f>
        <v>0</v>
      </c>
      <c r="L8" s="61" t="n">
        <f aca="false">IFERROR(Assumptions!$C$31,0)</f>
        <v>0</v>
      </c>
      <c r="M8" s="61" t="n">
        <f aca="false">IFERROR(Assumptions!$C$31,0)</f>
        <v>0</v>
      </c>
      <c r="N8" s="61" t="n">
        <f aca="false">IFERROR(Assumptions!$C$31,0)</f>
        <v>0</v>
      </c>
      <c r="O8" s="61" t="n">
        <f aca="false">IFERROR(Assumptions!$C$32,0)</f>
        <v>0</v>
      </c>
      <c r="P8" s="61" t="n">
        <f aca="false">IFERROR(Assumptions!$C$32,0)</f>
        <v>0</v>
      </c>
      <c r="Q8" s="61" t="n">
        <f aca="false">IFERROR(Assumptions!$C$32,0)</f>
        <v>0</v>
      </c>
      <c r="R8" s="61" t="n">
        <f aca="false">IFERROR(Assumptions!$C$32,0)</f>
        <v>0</v>
      </c>
      <c r="S8" s="61" t="n">
        <f aca="false">IFERROR(Assumptions!$C$32,0)</f>
        <v>0</v>
      </c>
      <c r="T8" s="61" t="n">
        <f aca="false">IFERROR(Assumptions!$C$32,0)</f>
        <v>0</v>
      </c>
      <c r="U8" s="61" t="n">
        <f aca="false">IFERROR(Assumptions!$C$32,0)</f>
        <v>0</v>
      </c>
      <c r="V8" s="61" t="n">
        <f aca="false">IFERROR(Assumptions!$C$32,0)</f>
        <v>0</v>
      </c>
      <c r="W8" s="61" t="n">
        <f aca="false">IFERROR(Assumptions!$C$32,0)</f>
        <v>0</v>
      </c>
      <c r="X8" s="61" t="n">
        <f aca="false">IFERROR(Assumptions!$C$32,0)</f>
        <v>0</v>
      </c>
      <c r="Y8" s="61" t="n">
        <f aca="false">IFERROR(Assumptions!$C$32,0)</f>
        <v>0</v>
      </c>
      <c r="Z8" s="61" t="n">
        <f aca="false">IFERROR(Assumptions!$C$32,0)</f>
        <v>0</v>
      </c>
      <c r="AA8" s="61" t="n">
        <f aca="false">IFERROR(Assumptions!$C$33,0)</f>
        <v>0</v>
      </c>
      <c r="AB8" s="61" t="n">
        <f aca="false">IFERROR(Assumptions!$C$33,0)</f>
        <v>0</v>
      </c>
      <c r="AC8" s="61" t="n">
        <f aca="false">IFERROR(Assumptions!$C$33,0)</f>
        <v>0</v>
      </c>
      <c r="AD8" s="61" t="n">
        <f aca="false">IFERROR(Assumptions!$C$33,0)</f>
        <v>0</v>
      </c>
      <c r="AE8" s="61" t="n">
        <f aca="false">IFERROR(Assumptions!$C$33,0)</f>
        <v>0</v>
      </c>
      <c r="AF8" s="61" t="n">
        <f aca="false">IFERROR(Assumptions!$C$33,0)</f>
        <v>0</v>
      </c>
      <c r="AG8" s="61" t="n">
        <f aca="false">IFERROR(Assumptions!$C$33,0)</f>
        <v>0</v>
      </c>
      <c r="AH8" s="61" t="n">
        <f aca="false">IFERROR(Assumptions!$C$33,0)</f>
        <v>0</v>
      </c>
      <c r="AI8" s="61" t="n">
        <f aca="false">IFERROR(Assumptions!$C$33,0)</f>
        <v>0</v>
      </c>
      <c r="AJ8" s="61" t="n">
        <f aca="false">IFERROR(Assumptions!$C$33,0)</f>
        <v>0</v>
      </c>
      <c r="AK8" s="61" t="n">
        <f aca="false">IFERROR(Assumptions!$C$33,0)</f>
        <v>0</v>
      </c>
      <c r="AL8" s="61" t="n">
        <f aca="false">IFERROR(Assumptions!$C$33,0)</f>
        <v>0</v>
      </c>
      <c r="AM8" s="61" t="n">
        <f aca="false">IFERROR(Assumptions!$C$34,0)</f>
        <v>0</v>
      </c>
      <c r="AN8" s="61" t="n">
        <f aca="false">IFERROR(Assumptions!$C$34,0)</f>
        <v>0</v>
      </c>
      <c r="AO8" s="61" t="n">
        <f aca="false">IFERROR(Assumptions!$C$34,0)</f>
        <v>0</v>
      </c>
      <c r="AP8" s="61" t="n">
        <f aca="false">IFERROR(Assumptions!$C$34,0)</f>
        <v>0</v>
      </c>
      <c r="AQ8" s="61" t="n">
        <f aca="false">IFERROR(Assumptions!$C$34,0)</f>
        <v>0</v>
      </c>
      <c r="AR8" s="61" t="n">
        <f aca="false">IFERROR(Assumptions!$C$34,0)</f>
        <v>0</v>
      </c>
      <c r="AS8" s="61" t="n">
        <f aca="false">IFERROR(Assumptions!$C$34,0)</f>
        <v>0</v>
      </c>
      <c r="AT8" s="61" t="n">
        <f aca="false">IFERROR(Assumptions!$C$34,0)</f>
        <v>0</v>
      </c>
      <c r="AU8" s="61" t="n">
        <f aca="false">IFERROR(Assumptions!$C$34,0)</f>
        <v>0</v>
      </c>
      <c r="AV8" s="61" t="n">
        <f aca="false">IFERROR(Assumptions!$C$34,0)</f>
        <v>0</v>
      </c>
      <c r="AW8" s="61" t="n">
        <f aca="false">IFERROR(Assumptions!$C$34,0)</f>
        <v>0</v>
      </c>
      <c r="AX8" s="61" t="n">
        <f aca="false">IFERROR(Assumptions!$C$34,0)</f>
        <v>0</v>
      </c>
      <c r="AY8" s="61" t="n">
        <f aca="false">IFERROR(Assumptions!$C$35,0)</f>
        <v>0</v>
      </c>
      <c r="AZ8" s="61" t="n">
        <f aca="false">IFERROR(Assumptions!$C$35,0)</f>
        <v>0</v>
      </c>
      <c r="BA8" s="61" t="n">
        <f aca="false">IFERROR(Assumptions!$C$35,0)</f>
        <v>0</v>
      </c>
      <c r="BB8" s="61" t="n">
        <f aca="false">IFERROR(Assumptions!$C$35,0)</f>
        <v>0</v>
      </c>
      <c r="BC8" s="61" t="n">
        <f aca="false">IFERROR(Assumptions!$C$35,0)</f>
        <v>0</v>
      </c>
      <c r="BD8" s="61" t="n">
        <f aca="false">IFERROR(Assumptions!$C$35,0)</f>
        <v>0</v>
      </c>
      <c r="BE8" s="61" t="n">
        <f aca="false">IFERROR(Assumptions!$C$35,0)</f>
        <v>0</v>
      </c>
      <c r="BF8" s="61" t="n">
        <f aca="false">IFERROR(Assumptions!$C$35,0)</f>
        <v>0</v>
      </c>
      <c r="BG8" s="61" t="n">
        <f aca="false">IFERROR(Assumptions!$C$35,0)</f>
        <v>0</v>
      </c>
      <c r="BH8" s="61" t="n">
        <f aca="false">IFERROR(Assumptions!$C$35,0)</f>
        <v>0</v>
      </c>
      <c r="BI8" s="61" t="n">
        <f aca="false">IFERROR(Assumptions!$C$35,0)</f>
        <v>0</v>
      </c>
      <c r="BJ8" s="61" t="n">
        <f aca="false">IFERROR(Assumptions!$C$35,0)</f>
        <v>0</v>
      </c>
    </row>
    <row r="9" customFormat="false" ht="15" hidden="false" customHeight="false" outlineLevel="0" collapsed="false">
      <c r="A9" s="6" t="s">
        <v>229</v>
      </c>
      <c r="B9" s="49" t="s">
        <v>227</v>
      </c>
      <c r="C9" s="56" t="n">
        <f aca="false">IFERROR(C7*C8,0)</f>
        <v>0</v>
      </c>
      <c r="D9" s="56" t="n">
        <f aca="false">IFERROR(D7*D8,0)</f>
        <v>0</v>
      </c>
      <c r="E9" s="56" t="n">
        <f aca="false">IFERROR(E7*E8,0)</f>
        <v>0</v>
      </c>
      <c r="F9" s="56" t="n">
        <f aca="false">IFERROR(F7*F8,0)</f>
        <v>0</v>
      </c>
      <c r="G9" s="56" t="n">
        <f aca="false">IFERROR(G7*G8,0)</f>
        <v>0</v>
      </c>
      <c r="H9" s="56" t="n">
        <f aca="false">IFERROR(H7*H8,0)</f>
        <v>0</v>
      </c>
      <c r="I9" s="56" t="n">
        <f aca="false">IFERROR(I7*I8,0)</f>
        <v>0</v>
      </c>
      <c r="J9" s="56" t="n">
        <f aca="false">IFERROR(J7*J8,0)</f>
        <v>0</v>
      </c>
      <c r="K9" s="56" t="n">
        <f aca="false">IFERROR(K7*K8,0)</f>
        <v>0</v>
      </c>
      <c r="L9" s="56" t="n">
        <f aca="false">IFERROR(L7*L8,0)</f>
        <v>0</v>
      </c>
      <c r="M9" s="56" t="n">
        <f aca="false">IFERROR(M7*M8,0)</f>
        <v>0</v>
      </c>
      <c r="N9" s="56" t="n">
        <f aca="false">IFERROR(N7*N8,0)</f>
        <v>0</v>
      </c>
      <c r="O9" s="56" t="n">
        <f aca="false">IFERROR(O7*O8,0)</f>
        <v>0</v>
      </c>
      <c r="P9" s="56" t="n">
        <f aca="false">IFERROR(P7*P8,0)</f>
        <v>0</v>
      </c>
      <c r="Q9" s="56" t="n">
        <f aca="false">IFERROR(Q7*Q8,0)</f>
        <v>0</v>
      </c>
      <c r="R9" s="56" t="n">
        <f aca="false">IFERROR(R7*R8,0)</f>
        <v>0</v>
      </c>
      <c r="S9" s="56" t="n">
        <f aca="false">IFERROR(S7*S8,0)</f>
        <v>0</v>
      </c>
      <c r="T9" s="56" t="n">
        <f aca="false">IFERROR(T7*T8,0)</f>
        <v>0</v>
      </c>
      <c r="U9" s="56" t="n">
        <f aca="false">IFERROR(U7*U8,0)</f>
        <v>0</v>
      </c>
      <c r="V9" s="56" t="n">
        <f aca="false">IFERROR(V7*V8,0)</f>
        <v>0</v>
      </c>
      <c r="W9" s="56" t="n">
        <f aca="false">IFERROR(W7*W8,0)</f>
        <v>0</v>
      </c>
      <c r="X9" s="56" t="n">
        <f aca="false">IFERROR(X7*X8,0)</f>
        <v>0</v>
      </c>
      <c r="Y9" s="56" t="n">
        <f aca="false">IFERROR(Y7*Y8,0)</f>
        <v>0</v>
      </c>
      <c r="Z9" s="56" t="n">
        <f aca="false">IFERROR(Z7*Z8,0)</f>
        <v>0</v>
      </c>
      <c r="AA9" s="56" t="n">
        <f aca="false">IFERROR(AA7*AA8,0)</f>
        <v>0</v>
      </c>
      <c r="AB9" s="56" t="n">
        <f aca="false">IFERROR(AB7*AB8,0)</f>
        <v>0</v>
      </c>
      <c r="AC9" s="56" t="n">
        <f aca="false">IFERROR(AC7*AC8,0)</f>
        <v>0</v>
      </c>
      <c r="AD9" s="56" t="n">
        <f aca="false">IFERROR(AD7*AD8,0)</f>
        <v>0</v>
      </c>
      <c r="AE9" s="56" t="n">
        <f aca="false">IFERROR(AE7*AE8,0)</f>
        <v>0</v>
      </c>
      <c r="AF9" s="56" t="n">
        <f aca="false">IFERROR(AF7*AF8,0)</f>
        <v>0</v>
      </c>
      <c r="AG9" s="56" t="n">
        <f aca="false">IFERROR(AG7*AG8,0)</f>
        <v>0</v>
      </c>
      <c r="AH9" s="56" t="n">
        <f aca="false">IFERROR(AH7*AH8,0)</f>
        <v>0</v>
      </c>
      <c r="AI9" s="56" t="n">
        <f aca="false">IFERROR(AI7*AI8,0)</f>
        <v>0</v>
      </c>
      <c r="AJ9" s="56" t="n">
        <f aca="false">IFERROR(AJ7*AJ8,0)</f>
        <v>0</v>
      </c>
      <c r="AK9" s="56" t="n">
        <f aca="false">IFERROR(AK7*AK8,0)</f>
        <v>0</v>
      </c>
      <c r="AL9" s="56" t="n">
        <f aca="false">IFERROR(AL7*AL8,0)</f>
        <v>0</v>
      </c>
      <c r="AM9" s="56" t="n">
        <f aca="false">IFERROR(AM7*AM8,0)</f>
        <v>0</v>
      </c>
      <c r="AN9" s="56" t="n">
        <f aca="false">IFERROR(AN7*AN8,0)</f>
        <v>0</v>
      </c>
      <c r="AO9" s="56" t="n">
        <f aca="false">IFERROR(AO7*AO8,0)</f>
        <v>0</v>
      </c>
      <c r="AP9" s="56" t="n">
        <f aca="false">IFERROR(AP7*AP8,0)</f>
        <v>0</v>
      </c>
      <c r="AQ9" s="56" t="n">
        <f aca="false">IFERROR(AQ7*AQ8,0)</f>
        <v>0</v>
      </c>
      <c r="AR9" s="56" t="n">
        <f aca="false">IFERROR(AR7*AR8,0)</f>
        <v>0</v>
      </c>
      <c r="AS9" s="56" t="n">
        <f aca="false">IFERROR(AS7*AS8,0)</f>
        <v>0</v>
      </c>
      <c r="AT9" s="56" t="n">
        <f aca="false">IFERROR(AT7*AT8,0)</f>
        <v>0</v>
      </c>
      <c r="AU9" s="56" t="n">
        <f aca="false">IFERROR(AU7*AU8,0)</f>
        <v>0</v>
      </c>
      <c r="AV9" s="56" t="n">
        <f aca="false">IFERROR(AV7*AV8,0)</f>
        <v>0</v>
      </c>
      <c r="AW9" s="56" t="n">
        <f aca="false">IFERROR(AW7*AW8,0)</f>
        <v>0</v>
      </c>
      <c r="AX9" s="56" t="n">
        <f aca="false">IFERROR(AX7*AX8,0)</f>
        <v>0</v>
      </c>
      <c r="AY9" s="56" t="n">
        <f aca="false">IFERROR(AY7*AY8,0)</f>
        <v>0</v>
      </c>
      <c r="AZ9" s="56" t="n">
        <f aca="false">IFERROR(AZ7*AZ8,0)</f>
        <v>0</v>
      </c>
      <c r="BA9" s="56" t="n">
        <f aca="false">IFERROR(BA7*BA8,0)</f>
        <v>0</v>
      </c>
      <c r="BB9" s="56" t="n">
        <f aca="false">IFERROR(BB7*BB8,0)</f>
        <v>0</v>
      </c>
      <c r="BC9" s="56" t="n">
        <f aca="false">IFERROR(BC7*BC8,0)</f>
        <v>0</v>
      </c>
      <c r="BD9" s="56" t="n">
        <f aca="false">IFERROR(BD7*BD8,0)</f>
        <v>0</v>
      </c>
      <c r="BE9" s="56" t="n">
        <f aca="false">IFERROR(BE7*BE8,0)</f>
        <v>0</v>
      </c>
      <c r="BF9" s="56" t="n">
        <f aca="false">IFERROR(BF7*BF8,0)</f>
        <v>0</v>
      </c>
      <c r="BG9" s="56" t="n">
        <f aca="false">IFERROR(BG7*BG8,0)</f>
        <v>0</v>
      </c>
      <c r="BH9" s="56" t="n">
        <f aca="false">IFERROR(BH7*BH8,0)</f>
        <v>0</v>
      </c>
      <c r="BI9" s="56" t="n">
        <f aca="false">IFERROR(BI7*BI8,0)</f>
        <v>0</v>
      </c>
      <c r="BJ9" s="56" t="n">
        <f aca="false">IFERROR(BJ7*BJ8,0)</f>
        <v>0</v>
      </c>
    </row>
    <row r="10" customFormat="false" ht="15" hidden="false" customHeight="false" outlineLevel="0" collapsed="false">
      <c r="A10" s="42" t="s">
        <v>230</v>
      </c>
      <c r="B10" s="49" t="s">
        <v>227</v>
      </c>
      <c r="C10" s="57" t="n">
        <f aca="false">IFERROR(C9,0)</f>
        <v>0</v>
      </c>
      <c r="D10" s="57" t="n">
        <f aca="false">IFERROR(D9,0)</f>
        <v>0</v>
      </c>
      <c r="E10" s="57" t="n">
        <f aca="false">IFERROR(E9,0)</f>
        <v>0</v>
      </c>
      <c r="F10" s="57" t="n">
        <f aca="false">IFERROR(F9,0)</f>
        <v>0</v>
      </c>
      <c r="G10" s="57" t="n">
        <f aca="false">IFERROR(G9,0)</f>
        <v>0</v>
      </c>
      <c r="H10" s="57" t="n">
        <f aca="false">IFERROR(H9,0)</f>
        <v>0</v>
      </c>
      <c r="I10" s="57" t="n">
        <f aca="false">IFERROR(I9,0)</f>
        <v>0</v>
      </c>
      <c r="J10" s="57" t="n">
        <f aca="false">IFERROR(J9,0)</f>
        <v>0</v>
      </c>
      <c r="K10" s="57" t="n">
        <f aca="false">IFERROR(K9,0)</f>
        <v>0</v>
      </c>
      <c r="L10" s="57" t="n">
        <f aca="false">IFERROR(L9,0)</f>
        <v>0</v>
      </c>
      <c r="M10" s="57" t="n">
        <f aca="false">IFERROR(M9,0)</f>
        <v>0</v>
      </c>
      <c r="N10" s="57" t="n">
        <f aca="false">IFERROR(N9,0)</f>
        <v>0</v>
      </c>
      <c r="O10" s="57" t="n">
        <f aca="false">IFERROR(O9,0)</f>
        <v>0</v>
      </c>
      <c r="P10" s="57" t="n">
        <f aca="false">IFERROR(P9,0)</f>
        <v>0</v>
      </c>
      <c r="Q10" s="57" t="n">
        <f aca="false">IFERROR(Q9,0)</f>
        <v>0</v>
      </c>
      <c r="R10" s="57" t="n">
        <f aca="false">IFERROR(R9,0)</f>
        <v>0</v>
      </c>
      <c r="S10" s="57" t="n">
        <f aca="false">IFERROR(S9,0)</f>
        <v>0</v>
      </c>
      <c r="T10" s="57" t="n">
        <f aca="false">IFERROR(T9,0)</f>
        <v>0</v>
      </c>
      <c r="U10" s="57" t="n">
        <f aca="false">IFERROR(U9,0)</f>
        <v>0</v>
      </c>
      <c r="V10" s="57" t="n">
        <f aca="false">IFERROR(V9,0)</f>
        <v>0</v>
      </c>
      <c r="W10" s="57" t="n">
        <f aca="false">IFERROR(W9,0)</f>
        <v>0</v>
      </c>
      <c r="X10" s="57" t="n">
        <f aca="false">IFERROR(X9,0)</f>
        <v>0</v>
      </c>
      <c r="Y10" s="57" t="n">
        <f aca="false">IFERROR(Y9,0)</f>
        <v>0</v>
      </c>
      <c r="Z10" s="57" t="n">
        <f aca="false">IFERROR(Z9,0)</f>
        <v>0</v>
      </c>
      <c r="AA10" s="57" t="n">
        <f aca="false">IFERROR(AA9,0)</f>
        <v>0</v>
      </c>
      <c r="AB10" s="57" t="n">
        <f aca="false">IFERROR(AB9,0)</f>
        <v>0</v>
      </c>
      <c r="AC10" s="57" t="n">
        <f aca="false">IFERROR(AC9,0)</f>
        <v>0</v>
      </c>
      <c r="AD10" s="57" t="n">
        <f aca="false">IFERROR(AD9,0)</f>
        <v>0</v>
      </c>
      <c r="AE10" s="57" t="n">
        <f aca="false">IFERROR(AE9,0)</f>
        <v>0</v>
      </c>
      <c r="AF10" s="57" t="n">
        <f aca="false">IFERROR(AF9,0)</f>
        <v>0</v>
      </c>
      <c r="AG10" s="57" t="n">
        <f aca="false">IFERROR(AG9,0)</f>
        <v>0</v>
      </c>
      <c r="AH10" s="57" t="n">
        <f aca="false">IFERROR(AH9,0)</f>
        <v>0</v>
      </c>
      <c r="AI10" s="57" t="n">
        <f aca="false">IFERROR(AI9,0)</f>
        <v>0</v>
      </c>
      <c r="AJ10" s="57" t="n">
        <f aca="false">IFERROR(AJ9,0)</f>
        <v>0</v>
      </c>
      <c r="AK10" s="57" t="n">
        <f aca="false">IFERROR(AK9,0)</f>
        <v>0</v>
      </c>
      <c r="AL10" s="57" t="n">
        <f aca="false">IFERROR(AL9,0)</f>
        <v>0</v>
      </c>
      <c r="AM10" s="57" t="n">
        <f aca="false">IFERROR(AM9,0)</f>
        <v>0</v>
      </c>
      <c r="AN10" s="57" t="n">
        <f aca="false">IFERROR(AN9,0)</f>
        <v>0</v>
      </c>
      <c r="AO10" s="57" t="n">
        <f aca="false">IFERROR(AO9,0)</f>
        <v>0</v>
      </c>
      <c r="AP10" s="57" t="n">
        <f aca="false">IFERROR(AP9,0)</f>
        <v>0</v>
      </c>
      <c r="AQ10" s="57" t="n">
        <f aca="false">IFERROR(AQ9,0)</f>
        <v>0</v>
      </c>
      <c r="AR10" s="57" t="n">
        <f aca="false">IFERROR(AR9,0)</f>
        <v>0</v>
      </c>
      <c r="AS10" s="57" t="n">
        <f aca="false">IFERROR(AS9,0)</f>
        <v>0</v>
      </c>
      <c r="AT10" s="57" t="n">
        <f aca="false">IFERROR(AT9,0)</f>
        <v>0</v>
      </c>
      <c r="AU10" s="57" t="n">
        <f aca="false">IFERROR(AU9,0)</f>
        <v>0</v>
      </c>
      <c r="AV10" s="57" t="n">
        <f aca="false">IFERROR(AV9,0)</f>
        <v>0</v>
      </c>
      <c r="AW10" s="57" t="n">
        <f aca="false">IFERROR(AW9,0)</f>
        <v>0</v>
      </c>
      <c r="AX10" s="57" t="n">
        <f aca="false">IFERROR(AX9,0)</f>
        <v>0</v>
      </c>
      <c r="AY10" s="57" t="n">
        <f aca="false">IFERROR(AY9,0)</f>
        <v>0</v>
      </c>
      <c r="AZ10" s="57" t="n">
        <f aca="false">IFERROR(AZ9,0)</f>
        <v>0</v>
      </c>
      <c r="BA10" s="57" t="n">
        <f aca="false">IFERROR(BA9,0)</f>
        <v>0</v>
      </c>
      <c r="BB10" s="57" t="n">
        <f aca="false">IFERROR(BB9,0)</f>
        <v>0</v>
      </c>
      <c r="BC10" s="57" t="n">
        <f aca="false">IFERROR(BC9,0)</f>
        <v>0</v>
      </c>
      <c r="BD10" s="57" t="n">
        <f aca="false">IFERROR(BD9,0)</f>
        <v>0</v>
      </c>
      <c r="BE10" s="57" t="n">
        <f aca="false">IFERROR(BE9,0)</f>
        <v>0</v>
      </c>
      <c r="BF10" s="57" t="n">
        <f aca="false">IFERROR(BF9,0)</f>
        <v>0</v>
      </c>
      <c r="BG10" s="57" t="n">
        <f aca="false">IFERROR(BG9,0)</f>
        <v>0</v>
      </c>
      <c r="BH10" s="57" t="n">
        <f aca="false">IFERROR(BH9,0)</f>
        <v>0</v>
      </c>
      <c r="BI10" s="57" t="n">
        <f aca="false">IFERROR(BI9,0)</f>
        <v>0</v>
      </c>
      <c r="BJ10" s="57" t="n">
        <f aca="false">IFERROR(BJ9,0)</f>
        <v>0</v>
      </c>
    </row>
    <row r="11" customFormat="false" ht="15" hidden="false" customHeight="false" outlineLevel="0" collapsed="false">
      <c r="A11" s="59" t="s">
        <v>231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</row>
    <row r="12" customFormat="false" ht="15" hidden="false" customHeight="false" outlineLevel="0" collapsed="false">
      <c r="A12" s="42" t="s">
        <v>232</v>
      </c>
      <c r="B12" s="49" t="s">
        <v>118</v>
      </c>
      <c r="C12" s="58" t="n">
        <f aca="false">IFERROR(Assumptions!$C$37*(1+Assumptions!$C$8)^(1-1),0)</f>
        <v>0</v>
      </c>
      <c r="D12" s="58" t="n">
        <f aca="false">IFERROR(Assumptions!$C$37*(1+Assumptions!$C$8)^(1-1),0)</f>
        <v>0</v>
      </c>
      <c r="E12" s="58" t="n">
        <f aca="false">IFERROR(Assumptions!$C$37*(1+Assumptions!$C$8)^(1-1),0)</f>
        <v>0</v>
      </c>
      <c r="F12" s="58" t="n">
        <f aca="false">IFERROR(Assumptions!$C$37*(1+Assumptions!$C$8)^(1-1),0)</f>
        <v>0</v>
      </c>
      <c r="G12" s="58" t="n">
        <f aca="false">IFERROR(Assumptions!$C$37*(1+Assumptions!$C$8)^(1-1),0)</f>
        <v>0</v>
      </c>
      <c r="H12" s="58" t="n">
        <f aca="false">IFERROR(Assumptions!$C$37*(1+Assumptions!$C$8)^(1-1),0)</f>
        <v>0</v>
      </c>
      <c r="I12" s="58" t="n">
        <f aca="false">IFERROR(Assumptions!$C$37*(1+Assumptions!$C$8)^(1-1),0)</f>
        <v>0</v>
      </c>
      <c r="J12" s="58" t="n">
        <f aca="false">IFERROR(Assumptions!$C$37*(1+Assumptions!$C$8)^(1-1),0)</f>
        <v>0</v>
      </c>
      <c r="K12" s="58" t="n">
        <f aca="false">IFERROR(Assumptions!$C$37*(1+Assumptions!$C$8)^(1-1),0)</f>
        <v>0</v>
      </c>
      <c r="L12" s="58" t="n">
        <f aca="false">IFERROR(Assumptions!$C$37*(1+Assumptions!$C$8)^(1-1),0)</f>
        <v>0</v>
      </c>
      <c r="M12" s="58" t="n">
        <f aca="false">IFERROR(Assumptions!$C$37*(1+Assumptions!$C$8)^(1-1),0)</f>
        <v>0</v>
      </c>
      <c r="N12" s="58" t="n">
        <f aca="false">IFERROR(Assumptions!$C$37*(1+Assumptions!$C$8)^(1-1),0)</f>
        <v>0</v>
      </c>
      <c r="O12" s="58" t="n">
        <f aca="false">IFERROR(Assumptions!$C$37*(1+Assumptions!$C$8)^(2-1),0)</f>
        <v>0</v>
      </c>
      <c r="P12" s="58" t="n">
        <f aca="false">IFERROR(Assumptions!$C$37*(1+Assumptions!$C$8)^(2-1),0)</f>
        <v>0</v>
      </c>
      <c r="Q12" s="58" t="n">
        <f aca="false">IFERROR(Assumptions!$C$37*(1+Assumptions!$C$8)^(2-1),0)</f>
        <v>0</v>
      </c>
      <c r="R12" s="58" t="n">
        <f aca="false">IFERROR(Assumptions!$C$37*(1+Assumptions!$C$8)^(2-1),0)</f>
        <v>0</v>
      </c>
      <c r="S12" s="58" t="n">
        <f aca="false">IFERROR(Assumptions!$C$37*(1+Assumptions!$C$8)^(2-1),0)</f>
        <v>0</v>
      </c>
      <c r="T12" s="58" t="n">
        <f aca="false">IFERROR(Assumptions!$C$37*(1+Assumptions!$C$8)^(2-1),0)</f>
        <v>0</v>
      </c>
      <c r="U12" s="58" t="n">
        <f aca="false">IFERROR(Assumptions!$C$37*(1+Assumptions!$C$8)^(2-1),0)</f>
        <v>0</v>
      </c>
      <c r="V12" s="58" t="n">
        <f aca="false">IFERROR(Assumptions!$C$37*(1+Assumptions!$C$8)^(2-1),0)</f>
        <v>0</v>
      </c>
      <c r="W12" s="58" t="n">
        <f aca="false">IFERROR(Assumptions!$C$37*(1+Assumptions!$C$8)^(2-1),0)</f>
        <v>0</v>
      </c>
      <c r="X12" s="58" t="n">
        <f aca="false">IFERROR(Assumptions!$C$37*(1+Assumptions!$C$8)^(2-1),0)</f>
        <v>0</v>
      </c>
      <c r="Y12" s="58" t="n">
        <f aca="false">IFERROR(Assumptions!$C$37*(1+Assumptions!$C$8)^(2-1),0)</f>
        <v>0</v>
      </c>
      <c r="Z12" s="58" t="n">
        <f aca="false">IFERROR(Assumptions!$C$37*(1+Assumptions!$C$8)^(2-1),0)</f>
        <v>0</v>
      </c>
      <c r="AA12" s="58" t="n">
        <f aca="false">IFERROR(Assumptions!$C$37*(1+Assumptions!$C$8)^(3-1),0)</f>
        <v>0</v>
      </c>
      <c r="AB12" s="58" t="n">
        <f aca="false">IFERROR(Assumptions!$C$37*(1+Assumptions!$C$8)^(3-1),0)</f>
        <v>0</v>
      </c>
      <c r="AC12" s="58" t="n">
        <f aca="false">IFERROR(Assumptions!$C$37*(1+Assumptions!$C$8)^(3-1),0)</f>
        <v>0</v>
      </c>
      <c r="AD12" s="58" t="n">
        <f aca="false">IFERROR(Assumptions!$C$37*(1+Assumptions!$C$8)^(3-1),0)</f>
        <v>0</v>
      </c>
      <c r="AE12" s="58" t="n">
        <f aca="false">IFERROR(Assumptions!$C$37*(1+Assumptions!$C$8)^(3-1),0)</f>
        <v>0</v>
      </c>
      <c r="AF12" s="58" t="n">
        <f aca="false">IFERROR(Assumptions!$C$37*(1+Assumptions!$C$8)^(3-1),0)</f>
        <v>0</v>
      </c>
      <c r="AG12" s="58" t="n">
        <f aca="false">IFERROR(Assumptions!$C$37*(1+Assumptions!$C$8)^(3-1),0)</f>
        <v>0</v>
      </c>
      <c r="AH12" s="58" t="n">
        <f aca="false">IFERROR(Assumptions!$C$37*(1+Assumptions!$C$8)^(3-1),0)</f>
        <v>0</v>
      </c>
      <c r="AI12" s="58" t="n">
        <f aca="false">IFERROR(Assumptions!$C$37*(1+Assumptions!$C$8)^(3-1),0)</f>
        <v>0</v>
      </c>
      <c r="AJ12" s="58" t="n">
        <f aca="false">IFERROR(Assumptions!$C$37*(1+Assumptions!$C$8)^(3-1),0)</f>
        <v>0</v>
      </c>
      <c r="AK12" s="58" t="n">
        <f aca="false">IFERROR(Assumptions!$C$37*(1+Assumptions!$C$8)^(3-1),0)</f>
        <v>0</v>
      </c>
      <c r="AL12" s="58" t="n">
        <f aca="false">IFERROR(Assumptions!$C$37*(1+Assumptions!$C$8)^(3-1),0)</f>
        <v>0</v>
      </c>
      <c r="AM12" s="58" t="n">
        <f aca="false">IFERROR(Assumptions!$C$37*(1+Assumptions!$C$8)^(4-1),0)</f>
        <v>0</v>
      </c>
      <c r="AN12" s="58" t="n">
        <f aca="false">IFERROR(Assumptions!$C$37*(1+Assumptions!$C$8)^(4-1),0)</f>
        <v>0</v>
      </c>
      <c r="AO12" s="58" t="n">
        <f aca="false">IFERROR(Assumptions!$C$37*(1+Assumptions!$C$8)^(4-1),0)</f>
        <v>0</v>
      </c>
      <c r="AP12" s="58" t="n">
        <f aca="false">IFERROR(Assumptions!$C$37*(1+Assumptions!$C$8)^(4-1),0)</f>
        <v>0</v>
      </c>
      <c r="AQ12" s="58" t="n">
        <f aca="false">IFERROR(Assumptions!$C$37*(1+Assumptions!$C$8)^(4-1),0)</f>
        <v>0</v>
      </c>
      <c r="AR12" s="58" t="n">
        <f aca="false">IFERROR(Assumptions!$C$37*(1+Assumptions!$C$8)^(4-1),0)</f>
        <v>0</v>
      </c>
      <c r="AS12" s="58" t="n">
        <f aca="false">IFERROR(Assumptions!$C$37*(1+Assumptions!$C$8)^(4-1),0)</f>
        <v>0</v>
      </c>
      <c r="AT12" s="58" t="n">
        <f aca="false">IFERROR(Assumptions!$C$37*(1+Assumptions!$C$8)^(4-1),0)</f>
        <v>0</v>
      </c>
      <c r="AU12" s="58" t="n">
        <f aca="false">IFERROR(Assumptions!$C$37*(1+Assumptions!$C$8)^(4-1),0)</f>
        <v>0</v>
      </c>
      <c r="AV12" s="58" t="n">
        <f aca="false">IFERROR(Assumptions!$C$37*(1+Assumptions!$C$8)^(4-1),0)</f>
        <v>0</v>
      </c>
      <c r="AW12" s="58" t="n">
        <f aca="false">IFERROR(Assumptions!$C$37*(1+Assumptions!$C$8)^(4-1),0)</f>
        <v>0</v>
      </c>
      <c r="AX12" s="58" t="n">
        <f aca="false">IFERROR(Assumptions!$C$37*(1+Assumptions!$C$8)^(4-1),0)</f>
        <v>0</v>
      </c>
      <c r="AY12" s="58" t="n">
        <f aca="false">IFERROR(Assumptions!$C$37*(1+Assumptions!$C$8)^(5-1),0)</f>
        <v>0</v>
      </c>
      <c r="AZ12" s="58" t="n">
        <f aca="false">IFERROR(Assumptions!$C$37*(1+Assumptions!$C$8)^(5-1),0)</f>
        <v>0</v>
      </c>
      <c r="BA12" s="58" t="n">
        <f aca="false">IFERROR(Assumptions!$C$37*(1+Assumptions!$C$8)^(5-1),0)</f>
        <v>0</v>
      </c>
      <c r="BB12" s="58" t="n">
        <f aca="false">IFERROR(Assumptions!$C$37*(1+Assumptions!$C$8)^(5-1),0)</f>
        <v>0</v>
      </c>
      <c r="BC12" s="58" t="n">
        <f aca="false">IFERROR(Assumptions!$C$37*(1+Assumptions!$C$8)^(5-1),0)</f>
        <v>0</v>
      </c>
      <c r="BD12" s="58" t="n">
        <f aca="false">IFERROR(Assumptions!$C$37*(1+Assumptions!$C$8)^(5-1),0)</f>
        <v>0</v>
      </c>
      <c r="BE12" s="58" t="n">
        <f aca="false">IFERROR(Assumptions!$C$37*(1+Assumptions!$C$8)^(5-1),0)</f>
        <v>0</v>
      </c>
      <c r="BF12" s="58" t="n">
        <f aca="false">IFERROR(Assumptions!$C$37*(1+Assumptions!$C$8)^(5-1),0)</f>
        <v>0</v>
      </c>
      <c r="BG12" s="58" t="n">
        <f aca="false">IFERROR(Assumptions!$C$37*(1+Assumptions!$C$8)^(5-1),0)</f>
        <v>0</v>
      </c>
      <c r="BH12" s="58" t="n">
        <f aca="false">IFERROR(Assumptions!$C$37*(1+Assumptions!$C$8)^(5-1),0)</f>
        <v>0</v>
      </c>
      <c r="BI12" s="58" t="n">
        <f aca="false">IFERROR(Assumptions!$C$37*(1+Assumptions!$C$8)^(5-1),0)</f>
        <v>0</v>
      </c>
      <c r="BJ12" s="58" t="n">
        <f aca="false">IFERROR(Assumptions!$C$37*(1+Assumptions!$C$8)^(5-1),0)</f>
        <v>0</v>
      </c>
    </row>
    <row r="13" customFormat="false" ht="15" hidden="false" customHeight="false" outlineLevel="0" collapsed="false">
      <c r="A13" s="52" t="s">
        <v>233</v>
      </c>
      <c r="B13" s="53" t="s">
        <v>88</v>
      </c>
      <c r="C13" s="54" t="n">
        <f aca="false">IFERROR(C10*C12/100000,0)</f>
        <v>0</v>
      </c>
      <c r="D13" s="54" t="n">
        <f aca="false">IFERROR(D10*D12/100000,0)</f>
        <v>0</v>
      </c>
      <c r="E13" s="54" t="n">
        <f aca="false">IFERROR(E10*E12/100000,0)</f>
        <v>0</v>
      </c>
      <c r="F13" s="54" t="n">
        <f aca="false">IFERROR(F10*F12/100000,0)</f>
        <v>0</v>
      </c>
      <c r="G13" s="54" t="n">
        <f aca="false">IFERROR(G10*G12/100000,0)</f>
        <v>0</v>
      </c>
      <c r="H13" s="54" t="n">
        <f aca="false">IFERROR(H10*H12/100000,0)</f>
        <v>0</v>
      </c>
      <c r="I13" s="54" t="n">
        <f aca="false">IFERROR(I10*I12/100000,0)</f>
        <v>0</v>
      </c>
      <c r="J13" s="54" t="n">
        <f aca="false">IFERROR(J10*J12/100000,0)</f>
        <v>0</v>
      </c>
      <c r="K13" s="54" t="n">
        <f aca="false">IFERROR(K10*K12/100000,0)</f>
        <v>0</v>
      </c>
      <c r="L13" s="54" t="n">
        <f aca="false">IFERROR(L10*L12/100000,0)</f>
        <v>0</v>
      </c>
      <c r="M13" s="54" t="n">
        <f aca="false">IFERROR(M10*M12/100000,0)</f>
        <v>0</v>
      </c>
      <c r="N13" s="54" t="n">
        <f aca="false">IFERROR(N10*N12/100000,0)</f>
        <v>0</v>
      </c>
      <c r="O13" s="54" t="n">
        <f aca="false">IFERROR(O10*O12/100000,0)</f>
        <v>0</v>
      </c>
      <c r="P13" s="54" t="n">
        <f aca="false">IFERROR(P10*P12/100000,0)</f>
        <v>0</v>
      </c>
      <c r="Q13" s="54" t="n">
        <f aca="false">IFERROR(Q10*Q12/100000,0)</f>
        <v>0</v>
      </c>
      <c r="R13" s="54" t="n">
        <f aca="false">IFERROR(R10*R12/100000,0)</f>
        <v>0</v>
      </c>
      <c r="S13" s="54" t="n">
        <f aca="false">IFERROR(S10*S12/100000,0)</f>
        <v>0</v>
      </c>
      <c r="T13" s="54" t="n">
        <f aca="false">IFERROR(T10*T12/100000,0)</f>
        <v>0</v>
      </c>
      <c r="U13" s="54" t="n">
        <f aca="false">IFERROR(U10*U12/100000,0)</f>
        <v>0</v>
      </c>
      <c r="V13" s="54" t="n">
        <f aca="false">IFERROR(V10*V12/100000,0)</f>
        <v>0</v>
      </c>
      <c r="W13" s="54" t="n">
        <f aca="false">IFERROR(W10*W12/100000,0)</f>
        <v>0</v>
      </c>
      <c r="X13" s="54" t="n">
        <f aca="false">IFERROR(X10*X12/100000,0)</f>
        <v>0</v>
      </c>
      <c r="Y13" s="54" t="n">
        <f aca="false">IFERROR(Y10*Y12/100000,0)</f>
        <v>0</v>
      </c>
      <c r="Z13" s="54" t="n">
        <f aca="false">IFERROR(Z10*Z12/100000,0)</f>
        <v>0</v>
      </c>
      <c r="AA13" s="54" t="n">
        <f aca="false">IFERROR(AA10*AA12/100000,0)</f>
        <v>0</v>
      </c>
      <c r="AB13" s="54" t="n">
        <f aca="false">IFERROR(AB10*AB12/100000,0)</f>
        <v>0</v>
      </c>
      <c r="AC13" s="54" t="n">
        <f aca="false">IFERROR(AC10*AC12/100000,0)</f>
        <v>0</v>
      </c>
      <c r="AD13" s="54" t="n">
        <f aca="false">IFERROR(AD10*AD12/100000,0)</f>
        <v>0</v>
      </c>
      <c r="AE13" s="54" t="n">
        <f aca="false">IFERROR(AE10*AE12/100000,0)</f>
        <v>0</v>
      </c>
      <c r="AF13" s="54" t="n">
        <f aca="false">IFERROR(AF10*AF12/100000,0)</f>
        <v>0</v>
      </c>
      <c r="AG13" s="54" t="n">
        <f aca="false">IFERROR(AG10*AG12/100000,0)</f>
        <v>0</v>
      </c>
      <c r="AH13" s="54" t="n">
        <f aca="false">IFERROR(AH10*AH12/100000,0)</f>
        <v>0</v>
      </c>
      <c r="AI13" s="54" t="n">
        <f aca="false">IFERROR(AI10*AI12/100000,0)</f>
        <v>0</v>
      </c>
      <c r="AJ13" s="54" t="n">
        <f aca="false">IFERROR(AJ10*AJ12/100000,0)</f>
        <v>0</v>
      </c>
      <c r="AK13" s="54" t="n">
        <f aca="false">IFERROR(AK10*AK12/100000,0)</f>
        <v>0</v>
      </c>
      <c r="AL13" s="54" t="n">
        <f aca="false">IFERROR(AL10*AL12/100000,0)</f>
        <v>0</v>
      </c>
      <c r="AM13" s="54" t="n">
        <f aca="false">IFERROR(AM10*AM12/100000,0)</f>
        <v>0</v>
      </c>
      <c r="AN13" s="54" t="n">
        <f aca="false">IFERROR(AN10*AN12/100000,0)</f>
        <v>0</v>
      </c>
      <c r="AO13" s="54" t="n">
        <f aca="false">IFERROR(AO10*AO12/100000,0)</f>
        <v>0</v>
      </c>
      <c r="AP13" s="54" t="n">
        <f aca="false">IFERROR(AP10*AP12/100000,0)</f>
        <v>0</v>
      </c>
      <c r="AQ13" s="54" t="n">
        <f aca="false">IFERROR(AQ10*AQ12/100000,0)</f>
        <v>0</v>
      </c>
      <c r="AR13" s="54" t="n">
        <f aca="false">IFERROR(AR10*AR12/100000,0)</f>
        <v>0</v>
      </c>
      <c r="AS13" s="54" t="n">
        <f aca="false">IFERROR(AS10*AS12/100000,0)</f>
        <v>0</v>
      </c>
      <c r="AT13" s="54" t="n">
        <f aca="false">IFERROR(AT10*AT12/100000,0)</f>
        <v>0</v>
      </c>
      <c r="AU13" s="54" t="n">
        <f aca="false">IFERROR(AU10*AU12/100000,0)</f>
        <v>0</v>
      </c>
      <c r="AV13" s="54" t="n">
        <f aca="false">IFERROR(AV10*AV12/100000,0)</f>
        <v>0</v>
      </c>
      <c r="AW13" s="54" t="n">
        <f aca="false">IFERROR(AW10*AW12/100000,0)</f>
        <v>0</v>
      </c>
      <c r="AX13" s="54" t="n">
        <f aca="false">IFERROR(AX10*AX12/100000,0)</f>
        <v>0</v>
      </c>
      <c r="AY13" s="54" t="n">
        <f aca="false">IFERROR(AY10*AY12/100000,0)</f>
        <v>0</v>
      </c>
      <c r="AZ13" s="54" t="n">
        <f aca="false">IFERROR(AZ10*AZ12/100000,0)</f>
        <v>0</v>
      </c>
      <c r="BA13" s="54" t="n">
        <f aca="false">IFERROR(BA10*BA12/100000,0)</f>
        <v>0</v>
      </c>
      <c r="BB13" s="54" t="n">
        <f aca="false">IFERROR(BB10*BB12/100000,0)</f>
        <v>0</v>
      </c>
      <c r="BC13" s="54" t="n">
        <f aca="false">IFERROR(BC10*BC12/100000,0)</f>
        <v>0</v>
      </c>
      <c r="BD13" s="54" t="n">
        <f aca="false">IFERROR(BD10*BD12/100000,0)</f>
        <v>0</v>
      </c>
      <c r="BE13" s="54" t="n">
        <f aca="false">IFERROR(BE10*BE12/100000,0)</f>
        <v>0</v>
      </c>
      <c r="BF13" s="54" t="n">
        <f aca="false">IFERROR(BF10*BF12/100000,0)</f>
        <v>0</v>
      </c>
      <c r="BG13" s="54" t="n">
        <f aca="false">IFERROR(BG10*BG12/100000,0)</f>
        <v>0</v>
      </c>
      <c r="BH13" s="54" t="n">
        <f aca="false">IFERROR(BH10*BH12/100000,0)</f>
        <v>0</v>
      </c>
      <c r="BI13" s="54" t="n">
        <f aca="false">IFERROR(BI10*BI12/100000,0)</f>
        <v>0</v>
      </c>
      <c r="BJ13" s="54" t="n">
        <f aca="false">IFERROR(BJ10*BJ12/100000,0)</f>
        <v>0</v>
      </c>
    </row>
    <row r="14" customFormat="false" ht="15" hidden="false" customHeight="false" outlineLevel="0" collapsed="false">
      <c r="A14" s="59" t="s">
        <v>234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</row>
    <row r="15" customFormat="false" ht="15" hidden="false" customHeight="false" outlineLevel="0" collapsed="false">
      <c r="A15" s="42" t="s">
        <v>235</v>
      </c>
      <c r="B15" s="49" t="s">
        <v>88</v>
      </c>
      <c r="C15" s="51" t="n">
        <f aca="false">IFERROR(C10*Assumptions!$C$38*(1+Assumptions!$C$9)^(1-1)/100000,0)</f>
        <v>0</v>
      </c>
      <c r="D15" s="51" t="n">
        <f aca="false">IFERROR(D10*Assumptions!$C$38*(1+Assumptions!$C$9)^(1-1)/100000,0)</f>
        <v>0</v>
      </c>
      <c r="E15" s="51" t="n">
        <f aca="false">IFERROR(E10*Assumptions!$C$38*(1+Assumptions!$C$9)^(1-1)/100000,0)</f>
        <v>0</v>
      </c>
      <c r="F15" s="51" t="n">
        <f aca="false">IFERROR(F10*Assumptions!$C$38*(1+Assumptions!$C$9)^(1-1)/100000,0)</f>
        <v>0</v>
      </c>
      <c r="G15" s="51" t="n">
        <f aca="false">IFERROR(G10*Assumptions!$C$38*(1+Assumptions!$C$9)^(1-1)/100000,0)</f>
        <v>0</v>
      </c>
      <c r="H15" s="51" t="n">
        <f aca="false">IFERROR(H10*Assumptions!$C$38*(1+Assumptions!$C$9)^(1-1)/100000,0)</f>
        <v>0</v>
      </c>
      <c r="I15" s="51" t="n">
        <f aca="false">IFERROR(I10*Assumptions!$C$38*(1+Assumptions!$C$9)^(1-1)/100000,0)</f>
        <v>0</v>
      </c>
      <c r="J15" s="51" t="n">
        <f aca="false">IFERROR(J10*Assumptions!$C$38*(1+Assumptions!$C$9)^(1-1)/100000,0)</f>
        <v>0</v>
      </c>
      <c r="K15" s="51" t="n">
        <f aca="false">IFERROR(K10*Assumptions!$C$38*(1+Assumptions!$C$9)^(1-1)/100000,0)</f>
        <v>0</v>
      </c>
      <c r="L15" s="51" t="n">
        <f aca="false">IFERROR(L10*Assumptions!$C$38*(1+Assumptions!$C$9)^(1-1)/100000,0)</f>
        <v>0</v>
      </c>
      <c r="M15" s="51" t="n">
        <f aca="false">IFERROR(M10*Assumptions!$C$38*(1+Assumptions!$C$9)^(1-1)/100000,0)</f>
        <v>0</v>
      </c>
      <c r="N15" s="51" t="n">
        <f aca="false">IFERROR(N10*Assumptions!$C$38*(1+Assumptions!$C$9)^(1-1)/100000,0)</f>
        <v>0</v>
      </c>
      <c r="O15" s="51" t="n">
        <f aca="false">IFERROR(O10*Assumptions!$C$38*(1+Assumptions!$C$9)^(2-1)/100000,0)</f>
        <v>0</v>
      </c>
      <c r="P15" s="51" t="n">
        <f aca="false">IFERROR(P10*Assumptions!$C$38*(1+Assumptions!$C$9)^(2-1)/100000,0)</f>
        <v>0</v>
      </c>
      <c r="Q15" s="51" t="n">
        <f aca="false">IFERROR(Q10*Assumptions!$C$38*(1+Assumptions!$C$9)^(2-1)/100000,0)</f>
        <v>0</v>
      </c>
      <c r="R15" s="51" t="n">
        <f aca="false">IFERROR(R10*Assumptions!$C$38*(1+Assumptions!$C$9)^(2-1)/100000,0)</f>
        <v>0</v>
      </c>
      <c r="S15" s="51" t="n">
        <f aca="false">IFERROR(S10*Assumptions!$C$38*(1+Assumptions!$C$9)^(2-1)/100000,0)</f>
        <v>0</v>
      </c>
      <c r="T15" s="51" t="n">
        <f aca="false">IFERROR(T10*Assumptions!$C$38*(1+Assumptions!$C$9)^(2-1)/100000,0)</f>
        <v>0</v>
      </c>
      <c r="U15" s="51" t="n">
        <f aca="false">IFERROR(U10*Assumptions!$C$38*(1+Assumptions!$C$9)^(2-1)/100000,0)</f>
        <v>0</v>
      </c>
      <c r="V15" s="51" t="n">
        <f aca="false">IFERROR(V10*Assumptions!$C$38*(1+Assumptions!$C$9)^(2-1)/100000,0)</f>
        <v>0</v>
      </c>
      <c r="W15" s="51" t="n">
        <f aca="false">IFERROR(W10*Assumptions!$C$38*(1+Assumptions!$C$9)^(2-1)/100000,0)</f>
        <v>0</v>
      </c>
      <c r="X15" s="51" t="n">
        <f aca="false">IFERROR(X10*Assumptions!$C$38*(1+Assumptions!$C$9)^(2-1)/100000,0)</f>
        <v>0</v>
      </c>
      <c r="Y15" s="51" t="n">
        <f aca="false">IFERROR(Y10*Assumptions!$C$38*(1+Assumptions!$C$9)^(2-1)/100000,0)</f>
        <v>0</v>
      </c>
      <c r="Z15" s="51" t="n">
        <f aca="false">IFERROR(Z10*Assumptions!$C$38*(1+Assumptions!$C$9)^(2-1)/100000,0)</f>
        <v>0</v>
      </c>
      <c r="AA15" s="51" t="n">
        <f aca="false">IFERROR(AA10*Assumptions!$C$38*(1+Assumptions!$C$9)^(3-1)/100000,0)</f>
        <v>0</v>
      </c>
      <c r="AB15" s="51" t="n">
        <f aca="false">IFERROR(AB10*Assumptions!$C$38*(1+Assumptions!$C$9)^(3-1)/100000,0)</f>
        <v>0</v>
      </c>
      <c r="AC15" s="51" t="n">
        <f aca="false">IFERROR(AC10*Assumptions!$C$38*(1+Assumptions!$C$9)^(3-1)/100000,0)</f>
        <v>0</v>
      </c>
      <c r="AD15" s="51" t="n">
        <f aca="false">IFERROR(AD10*Assumptions!$C$38*(1+Assumptions!$C$9)^(3-1)/100000,0)</f>
        <v>0</v>
      </c>
      <c r="AE15" s="51" t="n">
        <f aca="false">IFERROR(AE10*Assumptions!$C$38*(1+Assumptions!$C$9)^(3-1)/100000,0)</f>
        <v>0</v>
      </c>
      <c r="AF15" s="51" t="n">
        <f aca="false">IFERROR(AF10*Assumptions!$C$38*(1+Assumptions!$C$9)^(3-1)/100000,0)</f>
        <v>0</v>
      </c>
      <c r="AG15" s="51" t="n">
        <f aca="false">IFERROR(AG10*Assumptions!$C$38*(1+Assumptions!$C$9)^(3-1)/100000,0)</f>
        <v>0</v>
      </c>
      <c r="AH15" s="51" t="n">
        <f aca="false">IFERROR(AH10*Assumptions!$C$38*(1+Assumptions!$C$9)^(3-1)/100000,0)</f>
        <v>0</v>
      </c>
      <c r="AI15" s="51" t="n">
        <f aca="false">IFERROR(AI10*Assumptions!$C$38*(1+Assumptions!$C$9)^(3-1)/100000,0)</f>
        <v>0</v>
      </c>
      <c r="AJ15" s="51" t="n">
        <f aca="false">IFERROR(AJ10*Assumptions!$C$38*(1+Assumptions!$C$9)^(3-1)/100000,0)</f>
        <v>0</v>
      </c>
      <c r="AK15" s="51" t="n">
        <f aca="false">IFERROR(AK10*Assumptions!$C$38*(1+Assumptions!$C$9)^(3-1)/100000,0)</f>
        <v>0</v>
      </c>
      <c r="AL15" s="51" t="n">
        <f aca="false">IFERROR(AL10*Assumptions!$C$38*(1+Assumptions!$C$9)^(3-1)/100000,0)</f>
        <v>0</v>
      </c>
      <c r="AM15" s="51" t="n">
        <f aca="false">IFERROR(AM10*Assumptions!$C$38*(1+Assumptions!$C$9)^(4-1)/100000,0)</f>
        <v>0</v>
      </c>
      <c r="AN15" s="51" t="n">
        <f aca="false">IFERROR(AN10*Assumptions!$C$38*(1+Assumptions!$C$9)^(4-1)/100000,0)</f>
        <v>0</v>
      </c>
      <c r="AO15" s="51" t="n">
        <f aca="false">IFERROR(AO10*Assumptions!$C$38*(1+Assumptions!$C$9)^(4-1)/100000,0)</f>
        <v>0</v>
      </c>
      <c r="AP15" s="51" t="n">
        <f aca="false">IFERROR(AP10*Assumptions!$C$38*(1+Assumptions!$C$9)^(4-1)/100000,0)</f>
        <v>0</v>
      </c>
      <c r="AQ15" s="51" t="n">
        <f aca="false">IFERROR(AQ10*Assumptions!$C$38*(1+Assumptions!$C$9)^(4-1)/100000,0)</f>
        <v>0</v>
      </c>
      <c r="AR15" s="51" t="n">
        <f aca="false">IFERROR(AR10*Assumptions!$C$38*(1+Assumptions!$C$9)^(4-1)/100000,0)</f>
        <v>0</v>
      </c>
      <c r="AS15" s="51" t="n">
        <f aca="false">IFERROR(AS10*Assumptions!$C$38*(1+Assumptions!$C$9)^(4-1)/100000,0)</f>
        <v>0</v>
      </c>
      <c r="AT15" s="51" t="n">
        <f aca="false">IFERROR(AT10*Assumptions!$C$38*(1+Assumptions!$C$9)^(4-1)/100000,0)</f>
        <v>0</v>
      </c>
      <c r="AU15" s="51" t="n">
        <f aca="false">IFERROR(AU10*Assumptions!$C$38*(1+Assumptions!$C$9)^(4-1)/100000,0)</f>
        <v>0</v>
      </c>
      <c r="AV15" s="51" t="n">
        <f aca="false">IFERROR(AV10*Assumptions!$C$38*(1+Assumptions!$C$9)^(4-1)/100000,0)</f>
        <v>0</v>
      </c>
      <c r="AW15" s="51" t="n">
        <f aca="false">IFERROR(AW10*Assumptions!$C$38*(1+Assumptions!$C$9)^(4-1)/100000,0)</f>
        <v>0</v>
      </c>
      <c r="AX15" s="51" t="n">
        <f aca="false">IFERROR(AX10*Assumptions!$C$38*(1+Assumptions!$C$9)^(4-1)/100000,0)</f>
        <v>0</v>
      </c>
      <c r="AY15" s="51" t="n">
        <f aca="false">IFERROR(AY10*Assumptions!$C$38*(1+Assumptions!$C$9)^(5-1)/100000,0)</f>
        <v>0</v>
      </c>
      <c r="AZ15" s="51" t="n">
        <f aca="false">IFERROR(AZ10*Assumptions!$C$38*(1+Assumptions!$C$9)^(5-1)/100000,0)</f>
        <v>0</v>
      </c>
      <c r="BA15" s="51" t="n">
        <f aca="false">IFERROR(BA10*Assumptions!$C$38*(1+Assumptions!$C$9)^(5-1)/100000,0)</f>
        <v>0</v>
      </c>
      <c r="BB15" s="51" t="n">
        <f aca="false">IFERROR(BB10*Assumptions!$C$38*(1+Assumptions!$C$9)^(5-1)/100000,0)</f>
        <v>0</v>
      </c>
      <c r="BC15" s="51" t="n">
        <f aca="false">IFERROR(BC10*Assumptions!$C$38*(1+Assumptions!$C$9)^(5-1)/100000,0)</f>
        <v>0</v>
      </c>
      <c r="BD15" s="51" t="n">
        <f aca="false">IFERROR(BD10*Assumptions!$C$38*(1+Assumptions!$C$9)^(5-1)/100000,0)</f>
        <v>0</v>
      </c>
      <c r="BE15" s="51" t="n">
        <f aca="false">IFERROR(BE10*Assumptions!$C$38*(1+Assumptions!$C$9)^(5-1)/100000,0)</f>
        <v>0</v>
      </c>
      <c r="BF15" s="51" t="n">
        <f aca="false">IFERROR(BF10*Assumptions!$C$38*(1+Assumptions!$C$9)^(5-1)/100000,0)</f>
        <v>0</v>
      </c>
      <c r="BG15" s="51" t="n">
        <f aca="false">IFERROR(BG10*Assumptions!$C$38*(1+Assumptions!$C$9)^(5-1)/100000,0)</f>
        <v>0</v>
      </c>
      <c r="BH15" s="51" t="n">
        <f aca="false">IFERROR(BH10*Assumptions!$C$38*(1+Assumptions!$C$9)^(5-1)/100000,0)</f>
        <v>0</v>
      </c>
      <c r="BI15" s="51" t="n">
        <f aca="false">IFERROR(BI10*Assumptions!$C$38*(1+Assumptions!$C$9)^(5-1)/100000,0)</f>
        <v>0</v>
      </c>
      <c r="BJ15" s="51" t="n">
        <f aca="false">IFERROR(BJ10*Assumptions!$C$38*(1+Assumptions!$C$9)^(5-1)/100000,0)</f>
        <v>0</v>
      </c>
    </row>
    <row r="16" customFormat="false" ht="15" hidden="false" customHeight="false" outlineLevel="0" collapsed="false">
      <c r="A16" s="42" t="s">
        <v>120</v>
      </c>
      <c r="B16" s="49" t="s">
        <v>88</v>
      </c>
      <c r="C16" s="51" t="n">
        <f aca="false">IFERROR(C10*Assumptions!$C$39*(1+Assumptions!$C$9)^(1-1)/100000,0)</f>
        <v>0</v>
      </c>
      <c r="D16" s="51" t="n">
        <f aca="false">IFERROR(D10*Assumptions!$C$39*(1+Assumptions!$C$9)^(1-1)/100000,0)</f>
        <v>0</v>
      </c>
      <c r="E16" s="51" t="n">
        <f aca="false">IFERROR(E10*Assumptions!$C$39*(1+Assumptions!$C$9)^(1-1)/100000,0)</f>
        <v>0</v>
      </c>
      <c r="F16" s="51" t="n">
        <f aca="false">IFERROR(F10*Assumptions!$C$39*(1+Assumptions!$C$9)^(1-1)/100000,0)</f>
        <v>0</v>
      </c>
      <c r="G16" s="51" t="n">
        <f aca="false">IFERROR(G10*Assumptions!$C$39*(1+Assumptions!$C$9)^(1-1)/100000,0)</f>
        <v>0</v>
      </c>
      <c r="H16" s="51" t="n">
        <f aca="false">IFERROR(H10*Assumptions!$C$39*(1+Assumptions!$C$9)^(1-1)/100000,0)</f>
        <v>0</v>
      </c>
      <c r="I16" s="51" t="n">
        <f aca="false">IFERROR(I10*Assumptions!$C$39*(1+Assumptions!$C$9)^(1-1)/100000,0)</f>
        <v>0</v>
      </c>
      <c r="J16" s="51" t="n">
        <f aca="false">IFERROR(J10*Assumptions!$C$39*(1+Assumptions!$C$9)^(1-1)/100000,0)</f>
        <v>0</v>
      </c>
      <c r="K16" s="51" t="n">
        <f aca="false">IFERROR(K10*Assumptions!$C$39*(1+Assumptions!$C$9)^(1-1)/100000,0)</f>
        <v>0</v>
      </c>
      <c r="L16" s="51" t="n">
        <f aca="false">IFERROR(L10*Assumptions!$C$39*(1+Assumptions!$C$9)^(1-1)/100000,0)</f>
        <v>0</v>
      </c>
      <c r="M16" s="51" t="n">
        <f aca="false">IFERROR(M10*Assumptions!$C$39*(1+Assumptions!$C$9)^(1-1)/100000,0)</f>
        <v>0</v>
      </c>
      <c r="N16" s="51" t="n">
        <f aca="false">IFERROR(N10*Assumptions!$C$39*(1+Assumptions!$C$9)^(1-1)/100000,0)</f>
        <v>0</v>
      </c>
      <c r="O16" s="51" t="n">
        <f aca="false">IFERROR(O10*Assumptions!$C$39*(1+Assumptions!$C$9)^(2-1)/100000,0)</f>
        <v>0</v>
      </c>
      <c r="P16" s="51" t="n">
        <f aca="false">IFERROR(P10*Assumptions!$C$39*(1+Assumptions!$C$9)^(2-1)/100000,0)</f>
        <v>0</v>
      </c>
      <c r="Q16" s="51" t="n">
        <f aca="false">IFERROR(Q10*Assumptions!$C$39*(1+Assumptions!$C$9)^(2-1)/100000,0)</f>
        <v>0</v>
      </c>
      <c r="R16" s="51" t="n">
        <f aca="false">IFERROR(R10*Assumptions!$C$39*(1+Assumptions!$C$9)^(2-1)/100000,0)</f>
        <v>0</v>
      </c>
      <c r="S16" s="51" t="n">
        <f aca="false">IFERROR(S10*Assumptions!$C$39*(1+Assumptions!$C$9)^(2-1)/100000,0)</f>
        <v>0</v>
      </c>
      <c r="T16" s="51" t="n">
        <f aca="false">IFERROR(T10*Assumptions!$C$39*(1+Assumptions!$C$9)^(2-1)/100000,0)</f>
        <v>0</v>
      </c>
      <c r="U16" s="51" t="n">
        <f aca="false">IFERROR(U10*Assumptions!$C$39*(1+Assumptions!$C$9)^(2-1)/100000,0)</f>
        <v>0</v>
      </c>
      <c r="V16" s="51" t="n">
        <f aca="false">IFERROR(V10*Assumptions!$C$39*(1+Assumptions!$C$9)^(2-1)/100000,0)</f>
        <v>0</v>
      </c>
      <c r="W16" s="51" t="n">
        <f aca="false">IFERROR(W10*Assumptions!$C$39*(1+Assumptions!$C$9)^(2-1)/100000,0)</f>
        <v>0</v>
      </c>
      <c r="X16" s="51" t="n">
        <f aca="false">IFERROR(X10*Assumptions!$C$39*(1+Assumptions!$C$9)^(2-1)/100000,0)</f>
        <v>0</v>
      </c>
      <c r="Y16" s="51" t="n">
        <f aca="false">IFERROR(Y10*Assumptions!$C$39*(1+Assumptions!$C$9)^(2-1)/100000,0)</f>
        <v>0</v>
      </c>
      <c r="Z16" s="51" t="n">
        <f aca="false">IFERROR(Z10*Assumptions!$C$39*(1+Assumptions!$C$9)^(2-1)/100000,0)</f>
        <v>0</v>
      </c>
      <c r="AA16" s="51" t="n">
        <f aca="false">IFERROR(AA10*Assumptions!$C$39*(1+Assumptions!$C$9)^(3-1)/100000,0)</f>
        <v>0</v>
      </c>
      <c r="AB16" s="51" t="n">
        <f aca="false">IFERROR(AB10*Assumptions!$C$39*(1+Assumptions!$C$9)^(3-1)/100000,0)</f>
        <v>0</v>
      </c>
      <c r="AC16" s="51" t="n">
        <f aca="false">IFERROR(AC10*Assumptions!$C$39*(1+Assumptions!$C$9)^(3-1)/100000,0)</f>
        <v>0</v>
      </c>
      <c r="AD16" s="51" t="n">
        <f aca="false">IFERROR(AD10*Assumptions!$C$39*(1+Assumptions!$C$9)^(3-1)/100000,0)</f>
        <v>0</v>
      </c>
      <c r="AE16" s="51" t="n">
        <f aca="false">IFERROR(AE10*Assumptions!$C$39*(1+Assumptions!$C$9)^(3-1)/100000,0)</f>
        <v>0</v>
      </c>
      <c r="AF16" s="51" t="n">
        <f aca="false">IFERROR(AF10*Assumptions!$C$39*(1+Assumptions!$C$9)^(3-1)/100000,0)</f>
        <v>0</v>
      </c>
      <c r="AG16" s="51" t="n">
        <f aca="false">IFERROR(AG10*Assumptions!$C$39*(1+Assumptions!$C$9)^(3-1)/100000,0)</f>
        <v>0</v>
      </c>
      <c r="AH16" s="51" t="n">
        <f aca="false">IFERROR(AH10*Assumptions!$C$39*(1+Assumptions!$C$9)^(3-1)/100000,0)</f>
        <v>0</v>
      </c>
      <c r="AI16" s="51" t="n">
        <f aca="false">IFERROR(AI10*Assumptions!$C$39*(1+Assumptions!$C$9)^(3-1)/100000,0)</f>
        <v>0</v>
      </c>
      <c r="AJ16" s="51" t="n">
        <f aca="false">IFERROR(AJ10*Assumptions!$C$39*(1+Assumptions!$C$9)^(3-1)/100000,0)</f>
        <v>0</v>
      </c>
      <c r="AK16" s="51" t="n">
        <f aca="false">IFERROR(AK10*Assumptions!$C$39*(1+Assumptions!$C$9)^(3-1)/100000,0)</f>
        <v>0</v>
      </c>
      <c r="AL16" s="51" t="n">
        <f aca="false">IFERROR(AL10*Assumptions!$C$39*(1+Assumptions!$C$9)^(3-1)/100000,0)</f>
        <v>0</v>
      </c>
      <c r="AM16" s="51" t="n">
        <f aca="false">IFERROR(AM10*Assumptions!$C$39*(1+Assumptions!$C$9)^(4-1)/100000,0)</f>
        <v>0</v>
      </c>
      <c r="AN16" s="51" t="n">
        <f aca="false">IFERROR(AN10*Assumptions!$C$39*(1+Assumptions!$C$9)^(4-1)/100000,0)</f>
        <v>0</v>
      </c>
      <c r="AO16" s="51" t="n">
        <f aca="false">IFERROR(AO10*Assumptions!$C$39*(1+Assumptions!$C$9)^(4-1)/100000,0)</f>
        <v>0</v>
      </c>
      <c r="AP16" s="51" t="n">
        <f aca="false">IFERROR(AP10*Assumptions!$C$39*(1+Assumptions!$C$9)^(4-1)/100000,0)</f>
        <v>0</v>
      </c>
      <c r="AQ16" s="51" t="n">
        <f aca="false">IFERROR(AQ10*Assumptions!$C$39*(1+Assumptions!$C$9)^(4-1)/100000,0)</f>
        <v>0</v>
      </c>
      <c r="AR16" s="51" t="n">
        <f aca="false">IFERROR(AR10*Assumptions!$C$39*(1+Assumptions!$C$9)^(4-1)/100000,0)</f>
        <v>0</v>
      </c>
      <c r="AS16" s="51" t="n">
        <f aca="false">IFERROR(AS10*Assumptions!$C$39*(1+Assumptions!$C$9)^(4-1)/100000,0)</f>
        <v>0</v>
      </c>
      <c r="AT16" s="51" t="n">
        <f aca="false">IFERROR(AT10*Assumptions!$C$39*(1+Assumptions!$C$9)^(4-1)/100000,0)</f>
        <v>0</v>
      </c>
      <c r="AU16" s="51" t="n">
        <f aca="false">IFERROR(AU10*Assumptions!$C$39*(1+Assumptions!$C$9)^(4-1)/100000,0)</f>
        <v>0</v>
      </c>
      <c r="AV16" s="51" t="n">
        <f aca="false">IFERROR(AV10*Assumptions!$C$39*(1+Assumptions!$C$9)^(4-1)/100000,0)</f>
        <v>0</v>
      </c>
      <c r="AW16" s="51" t="n">
        <f aca="false">IFERROR(AW10*Assumptions!$C$39*(1+Assumptions!$C$9)^(4-1)/100000,0)</f>
        <v>0</v>
      </c>
      <c r="AX16" s="51" t="n">
        <f aca="false">IFERROR(AX10*Assumptions!$C$39*(1+Assumptions!$C$9)^(4-1)/100000,0)</f>
        <v>0</v>
      </c>
      <c r="AY16" s="51" t="n">
        <f aca="false">IFERROR(AY10*Assumptions!$C$39*(1+Assumptions!$C$9)^(5-1)/100000,0)</f>
        <v>0</v>
      </c>
      <c r="AZ16" s="51" t="n">
        <f aca="false">IFERROR(AZ10*Assumptions!$C$39*(1+Assumptions!$C$9)^(5-1)/100000,0)</f>
        <v>0</v>
      </c>
      <c r="BA16" s="51" t="n">
        <f aca="false">IFERROR(BA10*Assumptions!$C$39*(1+Assumptions!$C$9)^(5-1)/100000,0)</f>
        <v>0</v>
      </c>
      <c r="BB16" s="51" t="n">
        <f aca="false">IFERROR(BB10*Assumptions!$C$39*(1+Assumptions!$C$9)^(5-1)/100000,0)</f>
        <v>0</v>
      </c>
      <c r="BC16" s="51" t="n">
        <f aca="false">IFERROR(BC10*Assumptions!$C$39*(1+Assumptions!$C$9)^(5-1)/100000,0)</f>
        <v>0</v>
      </c>
      <c r="BD16" s="51" t="n">
        <f aca="false">IFERROR(BD10*Assumptions!$C$39*(1+Assumptions!$C$9)^(5-1)/100000,0)</f>
        <v>0</v>
      </c>
      <c r="BE16" s="51" t="n">
        <f aca="false">IFERROR(BE10*Assumptions!$C$39*(1+Assumptions!$C$9)^(5-1)/100000,0)</f>
        <v>0</v>
      </c>
      <c r="BF16" s="51" t="n">
        <f aca="false">IFERROR(BF10*Assumptions!$C$39*(1+Assumptions!$C$9)^(5-1)/100000,0)</f>
        <v>0</v>
      </c>
      <c r="BG16" s="51" t="n">
        <f aca="false">IFERROR(BG10*Assumptions!$C$39*(1+Assumptions!$C$9)^(5-1)/100000,0)</f>
        <v>0</v>
      </c>
      <c r="BH16" s="51" t="n">
        <f aca="false">IFERROR(BH10*Assumptions!$C$39*(1+Assumptions!$C$9)^(5-1)/100000,0)</f>
        <v>0</v>
      </c>
      <c r="BI16" s="51" t="n">
        <f aca="false">IFERROR(BI10*Assumptions!$C$39*(1+Assumptions!$C$9)^(5-1)/100000,0)</f>
        <v>0</v>
      </c>
      <c r="BJ16" s="51" t="n">
        <f aca="false">IFERROR(BJ10*Assumptions!$C$39*(1+Assumptions!$C$9)^(5-1)/100000,0)</f>
        <v>0</v>
      </c>
    </row>
    <row r="17" customFormat="false" ht="15" hidden="false" customHeight="false" outlineLevel="0" collapsed="false">
      <c r="A17" s="42" t="s">
        <v>236</v>
      </c>
      <c r="B17" s="49" t="s">
        <v>88</v>
      </c>
      <c r="C17" s="51" t="n">
        <f aca="false">IFERROR(C10*Assumptions!$C$40*(1+Assumptions!$C$11)^(1-1)/100000,0)</f>
        <v>0</v>
      </c>
      <c r="D17" s="51" t="n">
        <f aca="false">IFERROR(D10*Assumptions!$C$40*(1+Assumptions!$C$11)^(1-1)/100000,0)</f>
        <v>0</v>
      </c>
      <c r="E17" s="51" t="n">
        <f aca="false">IFERROR(E10*Assumptions!$C$40*(1+Assumptions!$C$11)^(1-1)/100000,0)</f>
        <v>0</v>
      </c>
      <c r="F17" s="51" t="n">
        <f aca="false">IFERROR(F10*Assumptions!$C$40*(1+Assumptions!$C$11)^(1-1)/100000,0)</f>
        <v>0</v>
      </c>
      <c r="G17" s="51" t="n">
        <f aca="false">IFERROR(G10*Assumptions!$C$40*(1+Assumptions!$C$11)^(1-1)/100000,0)</f>
        <v>0</v>
      </c>
      <c r="H17" s="51" t="n">
        <f aca="false">IFERROR(H10*Assumptions!$C$40*(1+Assumptions!$C$11)^(1-1)/100000,0)</f>
        <v>0</v>
      </c>
      <c r="I17" s="51" t="n">
        <f aca="false">IFERROR(I10*Assumptions!$C$40*(1+Assumptions!$C$11)^(1-1)/100000,0)</f>
        <v>0</v>
      </c>
      <c r="J17" s="51" t="n">
        <f aca="false">IFERROR(J10*Assumptions!$C$40*(1+Assumptions!$C$11)^(1-1)/100000,0)</f>
        <v>0</v>
      </c>
      <c r="K17" s="51" t="n">
        <f aca="false">IFERROR(K10*Assumptions!$C$40*(1+Assumptions!$C$11)^(1-1)/100000,0)</f>
        <v>0</v>
      </c>
      <c r="L17" s="51" t="n">
        <f aca="false">IFERROR(L10*Assumptions!$C$40*(1+Assumptions!$C$11)^(1-1)/100000,0)</f>
        <v>0</v>
      </c>
      <c r="M17" s="51" t="n">
        <f aca="false">IFERROR(M10*Assumptions!$C$40*(1+Assumptions!$C$11)^(1-1)/100000,0)</f>
        <v>0</v>
      </c>
      <c r="N17" s="51" t="n">
        <f aca="false">IFERROR(N10*Assumptions!$C$40*(1+Assumptions!$C$11)^(1-1)/100000,0)</f>
        <v>0</v>
      </c>
      <c r="O17" s="51" t="n">
        <f aca="false">IFERROR(O10*Assumptions!$C$40*(1+Assumptions!$C$11)^(2-1)/100000,0)</f>
        <v>0</v>
      </c>
      <c r="P17" s="51" t="n">
        <f aca="false">IFERROR(P10*Assumptions!$C$40*(1+Assumptions!$C$11)^(2-1)/100000,0)</f>
        <v>0</v>
      </c>
      <c r="Q17" s="51" t="n">
        <f aca="false">IFERROR(Q10*Assumptions!$C$40*(1+Assumptions!$C$11)^(2-1)/100000,0)</f>
        <v>0</v>
      </c>
      <c r="R17" s="51" t="n">
        <f aca="false">IFERROR(R10*Assumptions!$C$40*(1+Assumptions!$C$11)^(2-1)/100000,0)</f>
        <v>0</v>
      </c>
      <c r="S17" s="51" t="n">
        <f aca="false">IFERROR(S10*Assumptions!$C$40*(1+Assumptions!$C$11)^(2-1)/100000,0)</f>
        <v>0</v>
      </c>
      <c r="T17" s="51" t="n">
        <f aca="false">IFERROR(T10*Assumptions!$C$40*(1+Assumptions!$C$11)^(2-1)/100000,0)</f>
        <v>0</v>
      </c>
      <c r="U17" s="51" t="n">
        <f aca="false">IFERROR(U10*Assumptions!$C$40*(1+Assumptions!$C$11)^(2-1)/100000,0)</f>
        <v>0</v>
      </c>
      <c r="V17" s="51" t="n">
        <f aca="false">IFERROR(V10*Assumptions!$C$40*(1+Assumptions!$C$11)^(2-1)/100000,0)</f>
        <v>0</v>
      </c>
      <c r="W17" s="51" t="n">
        <f aca="false">IFERROR(W10*Assumptions!$C$40*(1+Assumptions!$C$11)^(2-1)/100000,0)</f>
        <v>0</v>
      </c>
      <c r="X17" s="51" t="n">
        <f aca="false">IFERROR(X10*Assumptions!$C$40*(1+Assumptions!$C$11)^(2-1)/100000,0)</f>
        <v>0</v>
      </c>
      <c r="Y17" s="51" t="n">
        <f aca="false">IFERROR(Y10*Assumptions!$C$40*(1+Assumptions!$C$11)^(2-1)/100000,0)</f>
        <v>0</v>
      </c>
      <c r="Z17" s="51" t="n">
        <f aca="false">IFERROR(Z10*Assumptions!$C$40*(1+Assumptions!$C$11)^(2-1)/100000,0)</f>
        <v>0</v>
      </c>
      <c r="AA17" s="51" t="n">
        <f aca="false">IFERROR(AA10*Assumptions!$C$40*(1+Assumptions!$C$11)^(3-1)/100000,0)</f>
        <v>0</v>
      </c>
      <c r="AB17" s="51" t="n">
        <f aca="false">IFERROR(AB10*Assumptions!$C$40*(1+Assumptions!$C$11)^(3-1)/100000,0)</f>
        <v>0</v>
      </c>
      <c r="AC17" s="51" t="n">
        <f aca="false">IFERROR(AC10*Assumptions!$C$40*(1+Assumptions!$C$11)^(3-1)/100000,0)</f>
        <v>0</v>
      </c>
      <c r="AD17" s="51" t="n">
        <f aca="false">IFERROR(AD10*Assumptions!$C$40*(1+Assumptions!$C$11)^(3-1)/100000,0)</f>
        <v>0</v>
      </c>
      <c r="AE17" s="51" t="n">
        <f aca="false">IFERROR(AE10*Assumptions!$C$40*(1+Assumptions!$C$11)^(3-1)/100000,0)</f>
        <v>0</v>
      </c>
      <c r="AF17" s="51" t="n">
        <f aca="false">IFERROR(AF10*Assumptions!$C$40*(1+Assumptions!$C$11)^(3-1)/100000,0)</f>
        <v>0</v>
      </c>
      <c r="AG17" s="51" t="n">
        <f aca="false">IFERROR(AG10*Assumptions!$C$40*(1+Assumptions!$C$11)^(3-1)/100000,0)</f>
        <v>0</v>
      </c>
      <c r="AH17" s="51" t="n">
        <f aca="false">IFERROR(AH10*Assumptions!$C$40*(1+Assumptions!$C$11)^(3-1)/100000,0)</f>
        <v>0</v>
      </c>
      <c r="AI17" s="51" t="n">
        <f aca="false">IFERROR(AI10*Assumptions!$C$40*(1+Assumptions!$C$11)^(3-1)/100000,0)</f>
        <v>0</v>
      </c>
      <c r="AJ17" s="51" t="n">
        <f aca="false">IFERROR(AJ10*Assumptions!$C$40*(1+Assumptions!$C$11)^(3-1)/100000,0)</f>
        <v>0</v>
      </c>
      <c r="AK17" s="51" t="n">
        <f aca="false">IFERROR(AK10*Assumptions!$C$40*(1+Assumptions!$C$11)^(3-1)/100000,0)</f>
        <v>0</v>
      </c>
      <c r="AL17" s="51" t="n">
        <f aca="false">IFERROR(AL10*Assumptions!$C$40*(1+Assumptions!$C$11)^(3-1)/100000,0)</f>
        <v>0</v>
      </c>
      <c r="AM17" s="51" t="n">
        <f aca="false">IFERROR(AM10*Assumptions!$C$40*(1+Assumptions!$C$11)^(4-1)/100000,0)</f>
        <v>0</v>
      </c>
      <c r="AN17" s="51" t="n">
        <f aca="false">IFERROR(AN10*Assumptions!$C$40*(1+Assumptions!$C$11)^(4-1)/100000,0)</f>
        <v>0</v>
      </c>
      <c r="AO17" s="51" t="n">
        <f aca="false">IFERROR(AO10*Assumptions!$C$40*(1+Assumptions!$C$11)^(4-1)/100000,0)</f>
        <v>0</v>
      </c>
      <c r="AP17" s="51" t="n">
        <f aca="false">IFERROR(AP10*Assumptions!$C$40*(1+Assumptions!$C$11)^(4-1)/100000,0)</f>
        <v>0</v>
      </c>
      <c r="AQ17" s="51" t="n">
        <f aca="false">IFERROR(AQ10*Assumptions!$C$40*(1+Assumptions!$C$11)^(4-1)/100000,0)</f>
        <v>0</v>
      </c>
      <c r="AR17" s="51" t="n">
        <f aca="false">IFERROR(AR10*Assumptions!$C$40*(1+Assumptions!$C$11)^(4-1)/100000,0)</f>
        <v>0</v>
      </c>
      <c r="AS17" s="51" t="n">
        <f aca="false">IFERROR(AS10*Assumptions!$C$40*(1+Assumptions!$C$11)^(4-1)/100000,0)</f>
        <v>0</v>
      </c>
      <c r="AT17" s="51" t="n">
        <f aca="false">IFERROR(AT10*Assumptions!$C$40*(1+Assumptions!$C$11)^(4-1)/100000,0)</f>
        <v>0</v>
      </c>
      <c r="AU17" s="51" t="n">
        <f aca="false">IFERROR(AU10*Assumptions!$C$40*(1+Assumptions!$C$11)^(4-1)/100000,0)</f>
        <v>0</v>
      </c>
      <c r="AV17" s="51" t="n">
        <f aca="false">IFERROR(AV10*Assumptions!$C$40*(1+Assumptions!$C$11)^(4-1)/100000,0)</f>
        <v>0</v>
      </c>
      <c r="AW17" s="51" t="n">
        <f aca="false">IFERROR(AW10*Assumptions!$C$40*(1+Assumptions!$C$11)^(4-1)/100000,0)</f>
        <v>0</v>
      </c>
      <c r="AX17" s="51" t="n">
        <f aca="false">IFERROR(AX10*Assumptions!$C$40*(1+Assumptions!$C$11)^(4-1)/100000,0)</f>
        <v>0</v>
      </c>
      <c r="AY17" s="51" t="n">
        <f aca="false">IFERROR(AY10*Assumptions!$C$40*(1+Assumptions!$C$11)^(5-1)/100000,0)</f>
        <v>0</v>
      </c>
      <c r="AZ17" s="51" t="n">
        <f aca="false">IFERROR(AZ10*Assumptions!$C$40*(1+Assumptions!$C$11)^(5-1)/100000,0)</f>
        <v>0</v>
      </c>
      <c r="BA17" s="51" t="n">
        <f aca="false">IFERROR(BA10*Assumptions!$C$40*(1+Assumptions!$C$11)^(5-1)/100000,0)</f>
        <v>0</v>
      </c>
      <c r="BB17" s="51" t="n">
        <f aca="false">IFERROR(BB10*Assumptions!$C$40*(1+Assumptions!$C$11)^(5-1)/100000,0)</f>
        <v>0</v>
      </c>
      <c r="BC17" s="51" t="n">
        <f aca="false">IFERROR(BC10*Assumptions!$C$40*(1+Assumptions!$C$11)^(5-1)/100000,0)</f>
        <v>0</v>
      </c>
      <c r="BD17" s="51" t="n">
        <f aca="false">IFERROR(BD10*Assumptions!$C$40*(1+Assumptions!$C$11)^(5-1)/100000,0)</f>
        <v>0</v>
      </c>
      <c r="BE17" s="51" t="n">
        <f aca="false">IFERROR(BE10*Assumptions!$C$40*(1+Assumptions!$C$11)^(5-1)/100000,0)</f>
        <v>0</v>
      </c>
      <c r="BF17" s="51" t="n">
        <f aca="false">IFERROR(BF10*Assumptions!$C$40*(1+Assumptions!$C$11)^(5-1)/100000,0)</f>
        <v>0</v>
      </c>
      <c r="BG17" s="51" t="n">
        <f aca="false">IFERROR(BG10*Assumptions!$C$40*(1+Assumptions!$C$11)^(5-1)/100000,0)</f>
        <v>0</v>
      </c>
      <c r="BH17" s="51" t="n">
        <f aca="false">IFERROR(BH10*Assumptions!$C$40*(1+Assumptions!$C$11)^(5-1)/100000,0)</f>
        <v>0</v>
      </c>
      <c r="BI17" s="51" t="n">
        <f aca="false">IFERROR(BI10*Assumptions!$C$40*(1+Assumptions!$C$11)^(5-1)/100000,0)</f>
        <v>0</v>
      </c>
      <c r="BJ17" s="51" t="n">
        <f aca="false">IFERROR(BJ10*Assumptions!$C$40*(1+Assumptions!$C$11)^(5-1)/100000,0)</f>
        <v>0</v>
      </c>
    </row>
    <row r="18" customFormat="false" ht="15" hidden="false" customHeight="false" outlineLevel="0" collapsed="false">
      <c r="A18" s="42" t="s">
        <v>237</v>
      </c>
      <c r="B18" s="49" t="s">
        <v>88</v>
      </c>
      <c r="C18" s="51" t="n">
        <f aca="false">IFERROR(C10*Assumptions!$C$41*(1+Assumptions!$C$11)^(1-1)/100000,0)</f>
        <v>0</v>
      </c>
      <c r="D18" s="51" t="n">
        <f aca="false">IFERROR(D10*Assumptions!$C$41*(1+Assumptions!$C$11)^(1-1)/100000,0)</f>
        <v>0</v>
      </c>
      <c r="E18" s="51" t="n">
        <f aca="false">IFERROR(E10*Assumptions!$C$41*(1+Assumptions!$C$11)^(1-1)/100000,0)</f>
        <v>0</v>
      </c>
      <c r="F18" s="51" t="n">
        <f aca="false">IFERROR(F10*Assumptions!$C$41*(1+Assumptions!$C$11)^(1-1)/100000,0)</f>
        <v>0</v>
      </c>
      <c r="G18" s="51" t="n">
        <f aca="false">IFERROR(G10*Assumptions!$C$41*(1+Assumptions!$C$11)^(1-1)/100000,0)</f>
        <v>0</v>
      </c>
      <c r="H18" s="51" t="n">
        <f aca="false">IFERROR(H10*Assumptions!$C$41*(1+Assumptions!$C$11)^(1-1)/100000,0)</f>
        <v>0</v>
      </c>
      <c r="I18" s="51" t="n">
        <f aca="false">IFERROR(I10*Assumptions!$C$41*(1+Assumptions!$C$11)^(1-1)/100000,0)</f>
        <v>0</v>
      </c>
      <c r="J18" s="51" t="n">
        <f aca="false">IFERROR(J10*Assumptions!$C$41*(1+Assumptions!$C$11)^(1-1)/100000,0)</f>
        <v>0</v>
      </c>
      <c r="K18" s="51" t="n">
        <f aca="false">IFERROR(K10*Assumptions!$C$41*(1+Assumptions!$C$11)^(1-1)/100000,0)</f>
        <v>0</v>
      </c>
      <c r="L18" s="51" t="n">
        <f aca="false">IFERROR(L10*Assumptions!$C$41*(1+Assumptions!$C$11)^(1-1)/100000,0)</f>
        <v>0</v>
      </c>
      <c r="M18" s="51" t="n">
        <f aca="false">IFERROR(M10*Assumptions!$C$41*(1+Assumptions!$C$11)^(1-1)/100000,0)</f>
        <v>0</v>
      </c>
      <c r="N18" s="51" t="n">
        <f aca="false">IFERROR(N10*Assumptions!$C$41*(1+Assumptions!$C$11)^(1-1)/100000,0)</f>
        <v>0</v>
      </c>
      <c r="O18" s="51" t="n">
        <f aca="false">IFERROR(O10*Assumptions!$C$41*(1+Assumptions!$C$11)^(2-1)/100000,0)</f>
        <v>0</v>
      </c>
      <c r="P18" s="51" t="n">
        <f aca="false">IFERROR(P10*Assumptions!$C$41*(1+Assumptions!$C$11)^(2-1)/100000,0)</f>
        <v>0</v>
      </c>
      <c r="Q18" s="51" t="n">
        <f aca="false">IFERROR(Q10*Assumptions!$C$41*(1+Assumptions!$C$11)^(2-1)/100000,0)</f>
        <v>0</v>
      </c>
      <c r="R18" s="51" t="n">
        <f aca="false">IFERROR(R10*Assumptions!$C$41*(1+Assumptions!$C$11)^(2-1)/100000,0)</f>
        <v>0</v>
      </c>
      <c r="S18" s="51" t="n">
        <f aca="false">IFERROR(S10*Assumptions!$C$41*(1+Assumptions!$C$11)^(2-1)/100000,0)</f>
        <v>0</v>
      </c>
      <c r="T18" s="51" t="n">
        <f aca="false">IFERROR(T10*Assumptions!$C$41*(1+Assumptions!$C$11)^(2-1)/100000,0)</f>
        <v>0</v>
      </c>
      <c r="U18" s="51" t="n">
        <f aca="false">IFERROR(U10*Assumptions!$C$41*(1+Assumptions!$C$11)^(2-1)/100000,0)</f>
        <v>0</v>
      </c>
      <c r="V18" s="51" t="n">
        <f aca="false">IFERROR(V10*Assumptions!$C$41*(1+Assumptions!$C$11)^(2-1)/100000,0)</f>
        <v>0</v>
      </c>
      <c r="W18" s="51" t="n">
        <f aca="false">IFERROR(W10*Assumptions!$C$41*(1+Assumptions!$C$11)^(2-1)/100000,0)</f>
        <v>0</v>
      </c>
      <c r="X18" s="51" t="n">
        <f aca="false">IFERROR(X10*Assumptions!$C$41*(1+Assumptions!$C$11)^(2-1)/100000,0)</f>
        <v>0</v>
      </c>
      <c r="Y18" s="51" t="n">
        <f aca="false">IFERROR(Y10*Assumptions!$C$41*(1+Assumptions!$C$11)^(2-1)/100000,0)</f>
        <v>0</v>
      </c>
      <c r="Z18" s="51" t="n">
        <f aca="false">IFERROR(Z10*Assumptions!$C$41*(1+Assumptions!$C$11)^(2-1)/100000,0)</f>
        <v>0</v>
      </c>
      <c r="AA18" s="51" t="n">
        <f aca="false">IFERROR(AA10*Assumptions!$C$41*(1+Assumptions!$C$11)^(3-1)/100000,0)</f>
        <v>0</v>
      </c>
      <c r="AB18" s="51" t="n">
        <f aca="false">IFERROR(AB10*Assumptions!$C$41*(1+Assumptions!$C$11)^(3-1)/100000,0)</f>
        <v>0</v>
      </c>
      <c r="AC18" s="51" t="n">
        <f aca="false">IFERROR(AC10*Assumptions!$C$41*(1+Assumptions!$C$11)^(3-1)/100000,0)</f>
        <v>0</v>
      </c>
      <c r="AD18" s="51" t="n">
        <f aca="false">IFERROR(AD10*Assumptions!$C$41*(1+Assumptions!$C$11)^(3-1)/100000,0)</f>
        <v>0</v>
      </c>
      <c r="AE18" s="51" t="n">
        <f aca="false">IFERROR(AE10*Assumptions!$C$41*(1+Assumptions!$C$11)^(3-1)/100000,0)</f>
        <v>0</v>
      </c>
      <c r="AF18" s="51" t="n">
        <f aca="false">IFERROR(AF10*Assumptions!$C$41*(1+Assumptions!$C$11)^(3-1)/100000,0)</f>
        <v>0</v>
      </c>
      <c r="AG18" s="51" t="n">
        <f aca="false">IFERROR(AG10*Assumptions!$C$41*(1+Assumptions!$C$11)^(3-1)/100000,0)</f>
        <v>0</v>
      </c>
      <c r="AH18" s="51" t="n">
        <f aca="false">IFERROR(AH10*Assumptions!$C$41*(1+Assumptions!$C$11)^(3-1)/100000,0)</f>
        <v>0</v>
      </c>
      <c r="AI18" s="51" t="n">
        <f aca="false">IFERROR(AI10*Assumptions!$C$41*(1+Assumptions!$C$11)^(3-1)/100000,0)</f>
        <v>0</v>
      </c>
      <c r="AJ18" s="51" t="n">
        <f aca="false">IFERROR(AJ10*Assumptions!$C$41*(1+Assumptions!$C$11)^(3-1)/100000,0)</f>
        <v>0</v>
      </c>
      <c r="AK18" s="51" t="n">
        <f aca="false">IFERROR(AK10*Assumptions!$C$41*(1+Assumptions!$C$11)^(3-1)/100000,0)</f>
        <v>0</v>
      </c>
      <c r="AL18" s="51" t="n">
        <f aca="false">IFERROR(AL10*Assumptions!$C$41*(1+Assumptions!$C$11)^(3-1)/100000,0)</f>
        <v>0</v>
      </c>
      <c r="AM18" s="51" t="n">
        <f aca="false">IFERROR(AM10*Assumptions!$C$41*(1+Assumptions!$C$11)^(4-1)/100000,0)</f>
        <v>0</v>
      </c>
      <c r="AN18" s="51" t="n">
        <f aca="false">IFERROR(AN10*Assumptions!$C$41*(1+Assumptions!$C$11)^(4-1)/100000,0)</f>
        <v>0</v>
      </c>
      <c r="AO18" s="51" t="n">
        <f aca="false">IFERROR(AO10*Assumptions!$C$41*(1+Assumptions!$C$11)^(4-1)/100000,0)</f>
        <v>0</v>
      </c>
      <c r="AP18" s="51" t="n">
        <f aca="false">IFERROR(AP10*Assumptions!$C$41*(1+Assumptions!$C$11)^(4-1)/100000,0)</f>
        <v>0</v>
      </c>
      <c r="AQ18" s="51" t="n">
        <f aca="false">IFERROR(AQ10*Assumptions!$C$41*(1+Assumptions!$C$11)^(4-1)/100000,0)</f>
        <v>0</v>
      </c>
      <c r="AR18" s="51" t="n">
        <f aca="false">IFERROR(AR10*Assumptions!$C$41*(1+Assumptions!$C$11)^(4-1)/100000,0)</f>
        <v>0</v>
      </c>
      <c r="AS18" s="51" t="n">
        <f aca="false">IFERROR(AS10*Assumptions!$C$41*(1+Assumptions!$C$11)^(4-1)/100000,0)</f>
        <v>0</v>
      </c>
      <c r="AT18" s="51" t="n">
        <f aca="false">IFERROR(AT10*Assumptions!$C$41*(1+Assumptions!$C$11)^(4-1)/100000,0)</f>
        <v>0</v>
      </c>
      <c r="AU18" s="51" t="n">
        <f aca="false">IFERROR(AU10*Assumptions!$C$41*(1+Assumptions!$C$11)^(4-1)/100000,0)</f>
        <v>0</v>
      </c>
      <c r="AV18" s="51" t="n">
        <f aca="false">IFERROR(AV10*Assumptions!$C$41*(1+Assumptions!$C$11)^(4-1)/100000,0)</f>
        <v>0</v>
      </c>
      <c r="AW18" s="51" t="n">
        <f aca="false">IFERROR(AW10*Assumptions!$C$41*(1+Assumptions!$C$11)^(4-1)/100000,0)</f>
        <v>0</v>
      </c>
      <c r="AX18" s="51" t="n">
        <f aca="false">IFERROR(AX10*Assumptions!$C$41*(1+Assumptions!$C$11)^(4-1)/100000,0)</f>
        <v>0</v>
      </c>
      <c r="AY18" s="51" t="n">
        <f aca="false">IFERROR(AY10*Assumptions!$C$41*(1+Assumptions!$C$11)^(5-1)/100000,0)</f>
        <v>0</v>
      </c>
      <c r="AZ18" s="51" t="n">
        <f aca="false">IFERROR(AZ10*Assumptions!$C$41*(1+Assumptions!$C$11)^(5-1)/100000,0)</f>
        <v>0</v>
      </c>
      <c r="BA18" s="51" t="n">
        <f aca="false">IFERROR(BA10*Assumptions!$C$41*(1+Assumptions!$C$11)^(5-1)/100000,0)</f>
        <v>0</v>
      </c>
      <c r="BB18" s="51" t="n">
        <f aca="false">IFERROR(BB10*Assumptions!$C$41*(1+Assumptions!$C$11)^(5-1)/100000,0)</f>
        <v>0</v>
      </c>
      <c r="BC18" s="51" t="n">
        <f aca="false">IFERROR(BC10*Assumptions!$C$41*(1+Assumptions!$C$11)^(5-1)/100000,0)</f>
        <v>0</v>
      </c>
      <c r="BD18" s="51" t="n">
        <f aca="false">IFERROR(BD10*Assumptions!$C$41*(1+Assumptions!$C$11)^(5-1)/100000,0)</f>
        <v>0</v>
      </c>
      <c r="BE18" s="51" t="n">
        <f aca="false">IFERROR(BE10*Assumptions!$C$41*(1+Assumptions!$C$11)^(5-1)/100000,0)</f>
        <v>0</v>
      </c>
      <c r="BF18" s="51" t="n">
        <f aca="false">IFERROR(BF10*Assumptions!$C$41*(1+Assumptions!$C$11)^(5-1)/100000,0)</f>
        <v>0</v>
      </c>
      <c r="BG18" s="51" t="n">
        <f aca="false">IFERROR(BG10*Assumptions!$C$41*(1+Assumptions!$C$11)^(5-1)/100000,0)</f>
        <v>0</v>
      </c>
      <c r="BH18" s="51" t="n">
        <f aca="false">IFERROR(BH10*Assumptions!$C$41*(1+Assumptions!$C$11)^(5-1)/100000,0)</f>
        <v>0</v>
      </c>
      <c r="BI18" s="51" t="n">
        <f aca="false">IFERROR(BI10*Assumptions!$C$41*(1+Assumptions!$C$11)^(5-1)/100000,0)</f>
        <v>0</v>
      </c>
      <c r="BJ18" s="51" t="n">
        <f aca="false">IFERROR(BJ10*Assumptions!$C$41*(1+Assumptions!$C$11)^(5-1)/100000,0)</f>
        <v>0</v>
      </c>
    </row>
    <row r="19" customFormat="false" ht="15" hidden="false" customHeight="false" outlineLevel="0" collapsed="false">
      <c r="A19" s="6" t="s">
        <v>238</v>
      </c>
      <c r="B19" s="49" t="s">
        <v>88</v>
      </c>
      <c r="C19" s="50" t="n">
        <f aca="false">IFERROR(SUM(C15:C18),0)</f>
        <v>0</v>
      </c>
      <c r="D19" s="50" t="n">
        <f aca="false">IFERROR(SUM(D15:D18),0)</f>
        <v>0</v>
      </c>
      <c r="E19" s="50" t="n">
        <f aca="false">IFERROR(SUM(E15:E18),0)</f>
        <v>0</v>
      </c>
      <c r="F19" s="50" t="n">
        <f aca="false">IFERROR(SUM(F15:F18),0)</f>
        <v>0</v>
      </c>
      <c r="G19" s="50" t="n">
        <f aca="false">IFERROR(SUM(G15:G18),0)</f>
        <v>0</v>
      </c>
      <c r="H19" s="50" t="n">
        <f aca="false">IFERROR(SUM(H15:H18),0)</f>
        <v>0</v>
      </c>
      <c r="I19" s="50" t="n">
        <f aca="false">IFERROR(SUM(I15:I18),0)</f>
        <v>0</v>
      </c>
      <c r="J19" s="50" t="n">
        <f aca="false">IFERROR(SUM(J15:J18),0)</f>
        <v>0</v>
      </c>
      <c r="K19" s="50" t="n">
        <f aca="false">IFERROR(SUM(K15:K18),0)</f>
        <v>0</v>
      </c>
      <c r="L19" s="50" t="n">
        <f aca="false">IFERROR(SUM(L15:L18),0)</f>
        <v>0</v>
      </c>
      <c r="M19" s="50" t="n">
        <f aca="false">IFERROR(SUM(M15:M18),0)</f>
        <v>0</v>
      </c>
      <c r="N19" s="50" t="n">
        <f aca="false">IFERROR(SUM(N15:N18),0)</f>
        <v>0</v>
      </c>
      <c r="O19" s="50" t="n">
        <f aca="false">IFERROR(SUM(O15:O18),0)</f>
        <v>0</v>
      </c>
      <c r="P19" s="50" t="n">
        <f aca="false">IFERROR(SUM(P15:P18),0)</f>
        <v>0</v>
      </c>
      <c r="Q19" s="50" t="n">
        <f aca="false">IFERROR(SUM(Q15:Q18),0)</f>
        <v>0</v>
      </c>
      <c r="R19" s="50" t="n">
        <f aca="false">IFERROR(SUM(R15:R18),0)</f>
        <v>0</v>
      </c>
      <c r="S19" s="50" t="n">
        <f aca="false">IFERROR(SUM(S15:S18),0)</f>
        <v>0</v>
      </c>
      <c r="T19" s="50" t="n">
        <f aca="false">IFERROR(SUM(T15:T18),0)</f>
        <v>0</v>
      </c>
      <c r="U19" s="50" t="n">
        <f aca="false">IFERROR(SUM(U15:U18),0)</f>
        <v>0</v>
      </c>
      <c r="V19" s="50" t="n">
        <f aca="false">IFERROR(SUM(V15:V18),0)</f>
        <v>0</v>
      </c>
      <c r="W19" s="50" t="n">
        <f aca="false">IFERROR(SUM(W15:W18),0)</f>
        <v>0</v>
      </c>
      <c r="X19" s="50" t="n">
        <f aca="false">IFERROR(SUM(X15:X18),0)</f>
        <v>0</v>
      </c>
      <c r="Y19" s="50" t="n">
        <f aca="false">IFERROR(SUM(Y15:Y18),0)</f>
        <v>0</v>
      </c>
      <c r="Z19" s="50" t="n">
        <f aca="false">IFERROR(SUM(Z15:Z18),0)</f>
        <v>0</v>
      </c>
      <c r="AA19" s="50" t="n">
        <f aca="false">IFERROR(SUM(AA15:AA18),0)</f>
        <v>0</v>
      </c>
      <c r="AB19" s="50" t="n">
        <f aca="false">IFERROR(SUM(AB15:AB18),0)</f>
        <v>0</v>
      </c>
      <c r="AC19" s="50" t="n">
        <f aca="false">IFERROR(SUM(AC15:AC18),0)</f>
        <v>0</v>
      </c>
      <c r="AD19" s="50" t="n">
        <f aca="false">IFERROR(SUM(AD15:AD18),0)</f>
        <v>0</v>
      </c>
      <c r="AE19" s="50" t="n">
        <f aca="false">IFERROR(SUM(AE15:AE18),0)</f>
        <v>0</v>
      </c>
      <c r="AF19" s="50" t="n">
        <f aca="false">IFERROR(SUM(AF15:AF18),0)</f>
        <v>0</v>
      </c>
      <c r="AG19" s="50" t="n">
        <f aca="false">IFERROR(SUM(AG15:AG18),0)</f>
        <v>0</v>
      </c>
      <c r="AH19" s="50" t="n">
        <f aca="false">IFERROR(SUM(AH15:AH18),0)</f>
        <v>0</v>
      </c>
      <c r="AI19" s="50" t="n">
        <f aca="false">IFERROR(SUM(AI15:AI18),0)</f>
        <v>0</v>
      </c>
      <c r="AJ19" s="50" t="n">
        <f aca="false">IFERROR(SUM(AJ15:AJ18),0)</f>
        <v>0</v>
      </c>
      <c r="AK19" s="50" t="n">
        <f aca="false">IFERROR(SUM(AK15:AK18),0)</f>
        <v>0</v>
      </c>
      <c r="AL19" s="50" t="n">
        <f aca="false">IFERROR(SUM(AL15:AL18),0)</f>
        <v>0</v>
      </c>
      <c r="AM19" s="50" t="n">
        <f aca="false">IFERROR(SUM(AM15:AM18),0)</f>
        <v>0</v>
      </c>
      <c r="AN19" s="50" t="n">
        <f aca="false">IFERROR(SUM(AN15:AN18),0)</f>
        <v>0</v>
      </c>
      <c r="AO19" s="50" t="n">
        <f aca="false">IFERROR(SUM(AO15:AO18),0)</f>
        <v>0</v>
      </c>
      <c r="AP19" s="50" t="n">
        <f aca="false">IFERROR(SUM(AP15:AP18),0)</f>
        <v>0</v>
      </c>
      <c r="AQ19" s="50" t="n">
        <f aca="false">IFERROR(SUM(AQ15:AQ18),0)</f>
        <v>0</v>
      </c>
      <c r="AR19" s="50" t="n">
        <f aca="false">IFERROR(SUM(AR15:AR18),0)</f>
        <v>0</v>
      </c>
      <c r="AS19" s="50" t="n">
        <f aca="false">IFERROR(SUM(AS15:AS18),0)</f>
        <v>0</v>
      </c>
      <c r="AT19" s="50" t="n">
        <f aca="false">IFERROR(SUM(AT15:AT18),0)</f>
        <v>0</v>
      </c>
      <c r="AU19" s="50" t="n">
        <f aca="false">IFERROR(SUM(AU15:AU18),0)</f>
        <v>0</v>
      </c>
      <c r="AV19" s="50" t="n">
        <f aca="false">IFERROR(SUM(AV15:AV18),0)</f>
        <v>0</v>
      </c>
      <c r="AW19" s="50" t="n">
        <f aca="false">IFERROR(SUM(AW15:AW18),0)</f>
        <v>0</v>
      </c>
      <c r="AX19" s="50" t="n">
        <f aca="false">IFERROR(SUM(AX15:AX18),0)</f>
        <v>0</v>
      </c>
      <c r="AY19" s="50" t="n">
        <f aca="false">IFERROR(SUM(AY15:AY18),0)</f>
        <v>0</v>
      </c>
      <c r="AZ19" s="50" t="n">
        <f aca="false">IFERROR(SUM(AZ15:AZ18),0)</f>
        <v>0</v>
      </c>
      <c r="BA19" s="50" t="n">
        <f aca="false">IFERROR(SUM(BA15:BA18),0)</f>
        <v>0</v>
      </c>
      <c r="BB19" s="50" t="n">
        <f aca="false">IFERROR(SUM(BB15:BB18),0)</f>
        <v>0</v>
      </c>
      <c r="BC19" s="50" t="n">
        <f aca="false">IFERROR(SUM(BC15:BC18),0)</f>
        <v>0</v>
      </c>
      <c r="BD19" s="50" t="n">
        <f aca="false">IFERROR(SUM(BD15:BD18),0)</f>
        <v>0</v>
      </c>
      <c r="BE19" s="50" t="n">
        <f aca="false">IFERROR(SUM(BE15:BE18),0)</f>
        <v>0</v>
      </c>
      <c r="BF19" s="50" t="n">
        <f aca="false">IFERROR(SUM(BF15:BF18),0)</f>
        <v>0</v>
      </c>
      <c r="BG19" s="50" t="n">
        <f aca="false">IFERROR(SUM(BG15:BG18),0)</f>
        <v>0</v>
      </c>
      <c r="BH19" s="50" t="n">
        <f aca="false">IFERROR(SUM(BH15:BH18),0)</f>
        <v>0</v>
      </c>
      <c r="BI19" s="50" t="n">
        <f aca="false">IFERROR(SUM(BI15:BI18),0)</f>
        <v>0</v>
      </c>
      <c r="BJ19" s="50" t="n">
        <f aca="false">IFERROR(SUM(BJ15:BJ18),0)</f>
        <v>0</v>
      </c>
    </row>
    <row r="20" customFormat="false" ht="15" hidden="false" customHeight="false" outlineLevel="0" collapsed="false">
      <c r="A20" s="52" t="s">
        <v>239</v>
      </c>
      <c r="B20" s="53" t="s">
        <v>88</v>
      </c>
      <c r="C20" s="54" t="n">
        <f aca="false">IFERROR(C13-C19,0)</f>
        <v>0</v>
      </c>
      <c r="D20" s="54" t="n">
        <f aca="false">IFERROR(D13-D19,0)</f>
        <v>0</v>
      </c>
      <c r="E20" s="54" t="n">
        <f aca="false">IFERROR(E13-E19,0)</f>
        <v>0</v>
      </c>
      <c r="F20" s="54" t="n">
        <f aca="false">IFERROR(F13-F19,0)</f>
        <v>0</v>
      </c>
      <c r="G20" s="54" t="n">
        <f aca="false">IFERROR(G13-G19,0)</f>
        <v>0</v>
      </c>
      <c r="H20" s="54" t="n">
        <f aca="false">IFERROR(H13-H19,0)</f>
        <v>0</v>
      </c>
      <c r="I20" s="54" t="n">
        <f aca="false">IFERROR(I13-I19,0)</f>
        <v>0</v>
      </c>
      <c r="J20" s="54" t="n">
        <f aca="false">IFERROR(J13-J19,0)</f>
        <v>0</v>
      </c>
      <c r="K20" s="54" t="n">
        <f aca="false">IFERROR(K13-K19,0)</f>
        <v>0</v>
      </c>
      <c r="L20" s="54" t="n">
        <f aca="false">IFERROR(L13-L19,0)</f>
        <v>0</v>
      </c>
      <c r="M20" s="54" t="n">
        <f aca="false">IFERROR(M13-M19,0)</f>
        <v>0</v>
      </c>
      <c r="N20" s="54" t="n">
        <f aca="false">IFERROR(N13-N19,0)</f>
        <v>0</v>
      </c>
      <c r="O20" s="54" t="n">
        <f aca="false">IFERROR(O13-O19,0)</f>
        <v>0</v>
      </c>
      <c r="P20" s="54" t="n">
        <f aca="false">IFERROR(P13-P19,0)</f>
        <v>0</v>
      </c>
      <c r="Q20" s="54" t="n">
        <f aca="false">IFERROR(Q13-Q19,0)</f>
        <v>0</v>
      </c>
      <c r="R20" s="54" t="n">
        <f aca="false">IFERROR(R13-R19,0)</f>
        <v>0</v>
      </c>
      <c r="S20" s="54" t="n">
        <f aca="false">IFERROR(S13-S19,0)</f>
        <v>0</v>
      </c>
      <c r="T20" s="54" t="n">
        <f aca="false">IFERROR(T13-T19,0)</f>
        <v>0</v>
      </c>
      <c r="U20" s="54" t="n">
        <f aca="false">IFERROR(U13-U19,0)</f>
        <v>0</v>
      </c>
      <c r="V20" s="54" t="n">
        <f aca="false">IFERROR(V13-V19,0)</f>
        <v>0</v>
      </c>
      <c r="W20" s="54" t="n">
        <f aca="false">IFERROR(W13-W19,0)</f>
        <v>0</v>
      </c>
      <c r="X20" s="54" t="n">
        <f aca="false">IFERROR(X13-X19,0)</f>
        <v>0</v>
      </c>
      <c r="Y20" s="54" t="n">
        <f aca="false">IFERROR(Y13-Y19,0)</f>
        <v>0</v>
      </c>
      <c r="Z20" s="54" t="n">
        <f aca="false">IFERROR(Z13-Z19,0)</f>
        <v>0</v>
      </c>
      <c r="AA20" s="54" t="n">
        <f aca="false">IFERROR(AA13-AA19,0)</f>
        <v>0</v>
      </c>
      <c r="AB20" s="54" t="n">
        <f aca="false">IFERROR(AB13-AB19,0)</f>
        <v>0</v>
      </c>
      <c r="AC20" s="54" t="n">
        <f aca="false">IFERROR(AC13-AC19,0)</f>
        <v>0</v>
      </c>
      <c r="AD20" s="54" t="n">
        <f aca="false">IFERROR(AD13-AD19,0)</f>
        <v>0</v>
      </c>
      <c r="AE20" s="54" t="n">
        <f aca="false">IFERROR(AE13-AE19,0)</f>
        <v>0</v>
      </c>
      <c r="AF20" s="54" t="n">
        <f aca="false">IFERROR(AF13-AF19,0)</f>
        <v>0</v>
      </c>
      <c r="AG20" s="54" t="n">
        <f aca="false">IFERROR(AG13-AG19,0)</f>
        <v>0</v>
      </c>
      <c r="AH20" s="54" t="n">
        <f aca="false">IFERROR(AH13-AH19,0)</f>
        <v>0</v>
      </c>
      <c r="AI20" s="54" t="n">
        <f aca="false">IFERROR(AI13-AI19,0)</f>
        <v>0</v>
      </c>
      <c r="AJ20" s="54" t="n">
        <f aca="false">IFERROR(AJ13-AJ19,0)</f>
        <v>0</v>
      </c>
      <c r="AK20" s="54" t="n">
        <f aca="false">IFERROR(AK13-AK19,0)</f>
        <v>0</v>
      </c>
      <c r="AL20" s="54" t="n">
        <f aca="false">IFERROR(AL13-AL19,0)</f>
        <v>0</v>
      </c>
      <c r="AM20" s="54" t="n">
        <f aca="false">IFERROR(AM13-AM19,0)</f>
        <v>0</v>
      </c>
      <c r="AN20" s="54" t="n">
        <f aca="false">IFERROR(AN13-AN19,0)</f>
        <v>0</v>
      </c>
      <c r="AO20" s="54" t="n">
        <f aca="false">IFERROR(AO13-AO19,0)</f>
        <v>0</v>
      </c>
      <c r="AP20" s="54" t="n">
        <f aca="false">IFERROR(AP13-AP19,0)</f>
        <v>0</v>
      </c>
      <c r="AQ20" s="54" t="n">
        <f aca="false">IFERROR(AQ13-AQ19,0)</f>
        <v>0</v>
      </c>
      <c r="AR20" s="54" t="n">
        <f aca="false">IFERROR(AR13-AR19,0)</f>
        <v>0</v>
      </c>
      <c r="AS20" s="54" t="n">
        <f aca="false">IFERROR(AS13-AS19,0)</f>
        <v>0</v>
      </c>
      <c r="AT20" s="54" t="n">
        <f aca="false">IFERROR(AT13-AT19,0)</f>
        <v>0</v>
      </c>
      <c r="AU20" s="54" t="n">
        <f aca="false">IFERROR(AU13-AU19,0)</f>
        <v>0</v>
      </c>
      <c r="AV20" s="54" t="n">
        <f aca="false">IFERROR(AV13-AV19,0)</f>
        <v>0</v>
      </c>
      <c r="AW20" s="54" t="n">
        <f aca="false">IFERROR(AW13-AW19,0)</f>
        <v>0</v>
      </c>
      <c r="AX20" s="54" t="n">
        <f aca="false">IFERROR(AX13-AX19,0)</f>
        <v>0</v>
      </c>
      <c r="AY20" s="54" t="n">
        <f aca="false">IFERROR(AY13-AY19,0)</f>
        <v>0</v>
      </c>
      <c r="AZ20" s="54" t="n">
        <f aca="false">IFERROR(AZ13-AZ19,0)</f>
        <v>0</v>
      </c>
      <c r="BA20" s="54" t="n">
        <f aca="false">IFERROR(BA13-BA19,0)</f>
        <v>0</v>
      </c>
      <c r="BB20" s="54" t="n">
        <f aca="false">IFERROR(BB13-BB19,0)</f>
        <v>0</v>
      </c>
      <c r="BC20" s="54" t="n">
        <f aca="false">IFERROR(BC13-BC19,0)</f>
        <v>0</v>
      </c>
      <c r="BD20" s="54" t="n">
        <f aca="false">IFERROR(BD13-BD19,0)</f>
        <v>0</v>
      </c>
      <c r="BE20" s="54" t="n">
        <f aca="false">IFERROR(BE13-BE19,0)</f>
        <v>0</v>
      </c>
      <c r="BF20" s="54" t="n">
        <f aca="false">IFERROR(BF13-BF19,0)</f>
        <v>0</v>
      </c>
      <c r="BG20" s="54" t="n">
        <f aca="false">IFERROR(BG13-BG19,0)</f>
        <v>0</v>
      </c>
      <c r="BH20" s="54" t="n">
        <f aca="false">IFERROR(BH13-BH19,0)</f>
        <v>0</v>
      </c>
      <c r="BI20" s="54" t="n">
        <f aca="false">IFERROR(BI13-BI19,0)</f>
        <v>0</v>
      </c>
      <c r="BJ20" s="54" t="n">
        <f aca="false">IFERROR(BJ13-BJ19,0)</f>
        <v>0</v>
      </c>
    </row>
    <row r="21" customFormat="false" ht="15" hidden="false" customHeight="false" outlineLevel="0" collapsed="false">
      <c r="A21" s="59" t="s">
        <v>240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</row>
    <row r="22" customFormat="false" ht="15" hidden="false" customHeight="false" outlineLevel="0" collapsed="false">
      <c r="A22" s="42" t="s">
        <v>241</v>
      </c>
      <c r="B22" s="49" t="s">
        <v>88</v>
      </c>
      <c r="C22" s="55" t="n">
        <f aca="false">IFERROR(Payroll!C9,0)</f>
        <v>0</v>
      </c>
      <c r="D22" s="55" t="n">
        <f aca="false">IFERROR(Payroll!D9,0)</f>
        <v>0</v>
      </c>
      <c r="E22" s="55" t="n">
        <f aca="false">IFERROR(Payroll!E9,0)</f>
        <v>0</v>
      </c>
      <c r="F22" s="55" t="n">
        <f aca="false">IFERROR(Payroll!F9,0)</f>
        <v>0</v>
      </c>
      <c r="G22" s="55" t="n">
        <f aca="false">IFERROR(Payroll!G9,0)</f>
        <v>0</v>
      </c>
      <c r="H22" s="55" t="n">
        <f aca="false">IFERROR(Payroll!H9,0)</f>
        <v>0</v>
      </c>
      <c r="I22" s="55" t="n">
        <f aca="false">IFERROR(Payroll!I9,0)</f>
        <v>0</v>
      </c>
      <c r="J22" s="55" t="n">
        <f aca="false">IFERROR(Payroll!J9,0)</f>
        <v>0</v>
      </c>
      <c r="K22" s="55" t="n">
        <f aca="false">IFERROR(Payroll!K9,0)</f>
        <v>0</v>
      </c>
      <c r="L22" s="55" t="n">
        <f aca="false">IFERROR(Payroll!L9,0)</f>
        <v>0</v>
      </c>
      <c r="M22" s="55" t="n">
        <f aca="false">IFERROR(Payroll!M9,0)</f>
        <v>0</v>
      </c>
      <c r="N22" s="55" t="n">
        <f aca="false">IFERROR(Payroll!N9,0)</f>
        <v>0</v>
      </c>
      <c r="O22" s="55" t="n">
        <f aca="false">IFERROR(Payroll!O9,0)</f>
        <v>0</v>
      </c>
      <c r="P22" s="55" t="n">
        <f aca="false">IFERROR(Payroll!P9,0)</f>
        <v>0</v>
      </c>
      <c r="Q22" s="55" t="n">
        <f aca="false">IFERROR(Payroll!Q9,0)</f>
        <v>0</v>
      </c>
      <c r="R22" s="55" t="n">
        <f aca="false">IFERROR(Payroll!R9,0)</f>
        <v>0</v>
      </c>
      <c r="S22" s="55" t="n">
        <f aca="false">IFERROR(Payroll!S9,0)</f>
        <v>0</v>
      </c>
      <c r="T22" s="55" t="n">
        <f aca="false">IFERROR(Payroll!T9,0)</f>
        <v>0</v>
      </c>
      <c r="U22" s="55" t="n">
        <f aca="false">IFERROR(Payroll!U9,0)</f>
        <v>0</v>
      </c>
      <c r="V22" s="55" t="n">
        <f aca="false">IFERROR(Payroll!V9,0)</f>
        <v>0</v>
      </c>
      <c r="W22" s="55" t="n">
        <f aca="false">IFERROR(Payroll!W9,0)</f>
        <v>0</v>
      </c>
      <c r="X22" s="55" t="n">
        <f aca="false">IFERROR(Payroll!X9,0)</f>
        <v>0</v>
      </c>
      <c r="Y22" s="55" t="n">
        <f aca="false">IFERROR(Payroll!Y9,0)</f>
        <v>0</v>
      </c>
      <c r="Z22" s="55" t="n">
        <f aca="false">IFERROR(Payroll!Z9,0)</f>
        <v>0</v>
      </c>
      <c r="AA22" s="55" t="n">
        <f aca="false">IFERROR(Payroll!AA9,0)</f>
        <v>0</v>
      </c>
      <c r="AB22" s="55" t="n">
        <f aca="false">IFERROR(Payroll!AB9,0)</f>
        <v>0</v>
      </c>
      <c r="AC22" s="55" t="n">
        <f aca="false">IFERROR(Payroll!AC9,0)</f>
        <v>0</v>
      </c>
      <c r="AD22" s="55" t="n">
        <f aca="false">IFERROR(Payroll!AD9,0)</f>
        <v>0</v>
      </c>
      <c r="AE22" s="55" t="n">
        <f aca="false">IFERROR(Payroll!AE9,0)</f>
        <v>0</v>
      </c>
      <c r="AF22" s="55" t="n">
        <f aca="false">IFERROR(Payroll!AF9,0)</f>
        <v>0</v>
      </c>
      <c r="AG22" s="55" t="n">
        <f aca="false">IFERROR(Payroll!AG9,0)</f>
        <v>0</v>
      </c>
      <c r="AH22" s="55" t="n">
        <f aca="false">IFERROR(Payroll!AH9,0)</f>
        <v>0</v>
      </c>
      <c r="AI22" s="55" t="n">
        <f aca="false">IFERROR(Payroll!AI9,0)</f>
        <v>0</v>
      </c>
      <c r="AJ22" s="55" t="n">
        <f aca="false">IFERROR(Payroll!AJ9,0)</f>
        <v>0</v>
      </c>
      <c r="AK22" s="55" t="n">
        <f aca="false">IFERROR(Payroll!AK9,0)</f>
        <v>0</v>
      </c>
      <c r="AL22" s="55" t="n">
        <f aca="false">IFERROR(Payroll!AL9,0)</f>
        <v>0</v>
      </c>
      <c r="AM22" s="55" t="n">
        <f aca="false">IFERROR(Payroll!AM9,0)</f>
        <v>0</v>
      </c>
      <c r="AN22" s="55" t="n">
        <f aca="false">IFERROR(Payroll!AN9,0)</f>
        <v>0</v>
      </c>
      <c r="AO22" s="55" t="n">
        <f aca="false">IFERROR(Payroll!AO9,0)</f>
        <v>0</v>
      </c>
      <c r="AP22" s="55" t="n">
        <f aca="false">IFERROR(Payroll!AP9,0)</f>
        <v>0</v>
      </c>
      <c r="AQ22" s="55" t="n">
        <f aca="false">IFERROR(Payroll!AQ9,0)</f>
        <v>0</v>
      </c>
      <c r="AR22" s="55" t="n">
        <f aca="false">IFERROR(Payroll!AR9,0)</f>
        <v>0</v>
      </c>
      <c r="AS22" s="55" t="n">
        <f aca="false">IFERROR(Payroll!AS9,0)</f>
        <v>0</v>
      </c>
      <c r="AT22" s="55" t="n">
        <f aca="false">IFERROR(Payroll!AT9,0)</f>
        <v>0</v>
      </c>
      <c r="AU22" s="55" t="n">
        <f aca="false">IFERROR(Payroll!AU9,0)</f>
        <v>0</v>
      </c>
      <c r="AV22" s="55" t="n">
        <f aca="false">IFERROR(Payroll!AV9,0)</f>
        <v>0</v>
      </c>
      <c r="AW22" s="55" t="n">
        <f aca="false">IFERROR(Payroll!AW9,0)</f>
        <v>0</v>
      </c>
      <c r="AX22" s="55" t="n">
        <f aca="false">IFERROR(Payroll!AX9,0)</f>
        <v>0</v>
      </c>
      <c r="AY22" s="55" t="n">
        <f aca="false">IFERROR(Payroll!AY9,0)</f>
        <v>0</v>
      </c>
      <c r="AZ22" s="55" t="n">
        <f aca="false">IFERROR(Payroll!AZ9,0)</f>
        <v>0</v>
      </c>
      <c r="BA22" s="55" t="n">
        <f aca="false">IFERROR(Payroll!BA9,0)</f>
        <v>0</v>
      </c>
      <c r="BB22" s="55" t="n">
        <f aca="false">IFERROR(Payroll!BB9,0)</f>
        <v>0</v>
      </c>
      <c r="BC22" s="55" t="n">
        <f aca="false">IFERROR(Payroll!BC9,0)</f>
        <v>0</v>
      </c>
      <c r="BD22" s="55" t="n">
        <f aca="false">IFERROR(Payroll!BD9,0)</f>
        <v>0</v>
      </c>
      <c r="BE22" s="55" t="n">
        <f aca="false">IFERROR(Payroll!BE9,0)</f>
        <v>0</v>
      </c>
      <c r="BF22" s="55" t="n">
        <f aca="false">IFERROR(Payroll!BF9,0)</f>
        <v>0</v>
      </c>
      <c r="BG22" s="55" t="n">
        <f aca="false">IFERROR(Payroll!BG9,0)</f>
        <v>0</v>
      </c>
      <c r="BH22" s="55" t="n">
        <f aca="false">IFERROR(Payroll!BH9,0)</f>
        <v>0</v>
      </c>
      <c r="BI22" s="55" t="n">
        <f aca="false">IFERROR(Payroll!BI9,0)</f>
        <v>0</v>
      </c>
      <c r="BJ22" s="55" t="n">
        <f aca="false">IFERROR(Payroll!BJ9,0)</f>
        <v>0</v>
      </c>
    </row>
    <row r="23" customFormat="false" ht="15" hidden="false" customHeight="false" outlineLevel="0" collapsed="false">
      <c r="A23" s="42" t="s">
        <v>242</v>
      </c>
      <c r="B23" s="49" t="s">
        <v>88</v>
      </c>
      <c r="C23" s="51" t="n">
        <f aca="false">IFERROR(Assumptions!$C$43*(1+Assumptions!$C$11)^(1-1),0)</f>
        <v>0</v>
      </c>
      <c r="D23" s="51" t="n">
        <f aca="false">IFERROR(Assumptions!$C$43*(1+Assumptions!$C$11)^(1-1),0)</f>
        <v>0</v>
      </c>
      <c r="E23" s="51" t="n">
        <f aca="false">IFERROR(Assumptions!$C$43*(1+Assumptions!$C$11)^(1-1),0)</f>
        <v>0</v>
      </c>
      <c r="F23" s="51" t="n">
        <f aca="false">IFERROR(Assumptions!$C$43*(1+Assumptions!$C$11)^(1-1),0)</f>
        <v>0</v>
      </c>
      <c r="G23" s="51" t="n">
        <f aca="false">IFERROR(Assumptions!$C$43*(1+Assumptions!$C$11)^(1-1),0)</f>
        <v>0</v>
      </c>
      <c r="H23" s="51" t="n">
        <f aca="false">IFERROR(Assumptions!$C$43*(1+Assumptions!$C$11)^(1-1),0)</f>
        <v>0</v>
      </c>
      <c r="I23" s="51" t="n">
        <f aca="false">IFERROR(Assumptions!$C$43*(1+Assumptions!$C$11)^(1-1),0)</f>
        <v>0</v>
      </c>
      <c r="J23" s="51" t="n">
        <f aca="false">IFERROR(Assumptions!$C$43*(1+Assumptions!$C$11)^(1-1),0)</f>
        <v>0</v>
      </c>
      <c r="K23" s="51" t="n">
        <f aca="false">IFERROR(Assumptions!$C$43*(1+Assumptions!$C$11)^(1-1),0)</f>
        <v>0</v>
      </c>
      <c r="L23" s="51" t="n">
        <f aca="false">IFERROR(Assumptions!$C$43*(1+Assumptions!$C$11)^(1-1),0)</f>
        <v>0</v>
      </c>
      <c r="M23" s="51" t="n">
        <f aca="false">IFERROR(Assumptions!$C$43*(1+Assumptions!$C$11)^(1-1),0)</f>
        <v>0</v>
      </c>
      <c r="N23" s="51" t="n">
        <f aca="false">IFERROR(Assumptions!$C$43*(1+Assumptions!$C$11)^(1-1),0)</f>
        <v>0</v>
      </c>
      <c r="O23" s="51" t="n">
        <f aca="false">IFERROR(Assumptions!$C$43*(1+Assumptions!$C$11)^(2-1),0)</f>
        <v>0</v>
      </c>
      <c r="P23" s="51" t="n">
        <f aca="false">IFERROR(Assumptions!$C$43*(1+Assumptions!$C$11)^(2-1),0)</f>
        <v>0</v>
      </c>
      <c r="Q23" s="51" t="n">
        <f aca="false">IFERROR(Assumptions!$C$43*(1+Assumptions!$C$11)^(2-1),0)</f>
        <v>0</v>
      </c>
      <c r="R23" s="51" t="n">
        <f aca="false">IFERROR(Assumptions!$C$43*(1+Assumptions!$C$11)^(2-1),0)</f>
        <v>0</v>
      </c>
      <c r="S23" s="51" t="n">
        <f aca="false">IFERROR(Assumptions!$C$43*(1+Assumptions!$C$11)^(2-1),0)</f>
        <v>0</v>
      </c>
      <c r="T23" s="51" t="n">
        <f aca="false">IFERROR(Assumptions!$C$43*(1+Assumptions!$C$11)^(2-1),0)</f>
        <v>0</v>
      </c>
      <c r="U23" s="51" t="n">
        <f aca="false">IFERROR(Assumptions!$C$43*(1+Assumptions!$C$11)^(2-1),0)</f>
        <v>0</v>
      </c>
      <c r="V23" s="51" t="n">
        <f aca="false">IFERROR(Assumptions!$C$43*(1+Assumptions!$C$11)^(2-1),0)</f>
        <v>0</v>
      </c>
      <c r="W23" s="51" t="n">
        <f aca="false">IFERROR(Assumptions!$C$43*(1+Assumptions!$C$11)^(2-1),0)</f>
        <v>0</v>
      </c>
      <c r="X23" s="51" t="n">
        <f aca="false">IFERROR(Assumptions!$C$43*(1+Assumptions!$C$11)^(2-1),0)</f>
        <v>0</v>
      </c>
      <c r="Y23" s="51" t="n">
        <f aca="false">IFERROR(Assumptions!$C$43*(1+Assumptions!$C$11)^(2-1),0)</f>
        <v>0</v>
      </c>
      <c r="Z23" s="51" t="n">
        <f aca="false">IFERROR(Assumptions!$C$43*(1+Assumptions!$C$11)^(2-1),0)</f>
        <v>0</v>
      </c>
      <c r="AA23" s="51" t="n">
        <f aca="false">IFERROR(Assumptions!$C$43*(1+Assumptions!$C$11)^(3-1),0)</f>
        <v>0</v>
      </c>
      <c r="AB23" s="51" t="n">
        <f aca="false">IFERROR(Assumptions!$C$43*(1+Assumptions!$C$11)^(3-1),0)</f>
        <v>0</v>
      </c>
      <c r="AC23" s="51" t="n">
        <f aca="false">IFERROR(Assumptions!$C$43*(1+Assumptions!$C$11)^(3-1),0)</f>
        <v>0</v>
      </c>
      <c r="AD23" s="51" t="n">
        <f aca="false">IFERROR(Assumptions!$C$43*(1+Assumptions!$C$11)^(3-1),0)</f>
        <v>0</v>
      </c>
      <c r="AE23" s="51" t="n">
        <f aca="false">IFERROR(Assumptions!$C$43*(1+Assumptions!$C$11)^(3-1),0)</f>
        <v>0</v>
      </c>
      <c r="AF23" s="51" t="n">
        <f aca="false">IFERROR(Assumptions!$C$43*(1+Assumptions!$C$11)^(3-1),0)</f>
        <v>0</v>
      </c>
      <c r="AG23" s="51" t="n">
        <f aca="false">IFERROR(Assumptions!$C$43*(1+Assumptions!$C$11)^(3-1),0)</f>
        <v>0</v>
      </c>
      <c r="AH23" s="51" t="n">
        <f aca="false">IFERROR(Assumptions!$C$43*(1+Assumptions!$C$11)^(3-1),0)</f>
        <v>0</v>
      </c>
      <c r="AI23" s="51" t="n">
        <f aca="false">IFERROR(Assumptions!$C$43*(1+Assumptions!$C$11)^(3-1),0)</f>
        <v>0</v>
      </c>
      <c r="AJ23" s="51" t="n">
        <f aca="false">IFERROR(Assumptions!$C$43*(1+Assumptions!$C$11)^(3-1),0)</f>
        <v>0</v>
      </c>
      <c r="AK23" s="51" t="n">
        <f aca="false">IFERROR(Assumptions!$C$43*(1+Assumptions!$C$11)^(3-1),0)</f>
        <v>0</v>
      </c>
      <c r="AL23" s="51" t="n">
        <f aca="false">IFERROR(Assumptions!$C$43*(1+Assumptions!$C$11)^(3-1),0)</f>
        <v>0</v>
      </c>
      <c r="AM23" s="51" t="n">
        <f aca="false">IFERROR(Assumptions!$C$43*(1+Assumptions!$C$11)^(4-1),0)</f>
        <v>0</v>
      </c>
      <c r="AN23" s="51" t="n">
        <f aca="false">IFERROR(Assumptions!$C$43*(1+Assumptions!$C$11)^(4-1),0)</f>
        <v>0</v>
      </c>
      <c r="AO23" s="51" t="n">
        <f aca="false">IFERROR(Assumptions!$C$43*(1+Assumptions!$C$11)^(4-1),0)</f>
        <v>0</v>
      </c>
      <c r="AP23" s="51" t="n">
        <f aca="false">IFERROR(Assumptions!$C$43*(1+Assumptions!$C$11)^(4-1),0)</f>
        <v>0</v>
      </c>
      <c r="AQ23" s="51" t="n">
        <f aca="false">IFERROR(Assumptions!$C$43*(1+Assumptions!$C$11)^(4-1),0)</f>
        <v>0</v>
      </c>
      <c r="AR23" s="51" t="n">
        <f aca="false">IFERROR(Assumptions!$C$43*(1+Assumptions!$C$11)^(4-1),0)</f>
        <v>0</v>
      </c>
      <c r="AS23" s="51" t="n">
        <f aca="false">IFERROR(Assumptions!$C$43*(1+Assumptions!$C$11)^(4-1),0)</f>
        <v>0</v>
      </c>
      <c r="AT23" s="51" t="n">
        <f aca="false">IFERROR(Assumptions!$C$43*(1+Assumptions!$C$11)^(4-1),0)</f>
        <v>0</v>
      </c>
      <c r="AU23" s="51" t="n">
        <f aca="false">IFERROR(Assumptions!$C$43*(1+Assumptions!$C$11)^(4-1),0)</f>
        <v>0</v>
      </c>
      <c r="AV23" s="51" t="n">
        <f aca="false">IFERROR(Assumptions!$C$43*(1+Assumptions!$C$11)^(4-1),0)</f>
        <v>0</v>
      </c>
      <c r="AW23" s="51" t="n">
        <f aca="false">IFERROR(Assumptions!$C$43*(1+Assumptions!$C$11)^(4-1),0)</f>
        <v>0</v>
      </c>
      <c r="AX23" s="51" t="n">
        <f aca="false">IFERROR(Assumptions!$C$43*(1+Assumptions!$C$11)^(4-1),0)</f>
        <v>0</v>
      </c>
      <c r="AY23" s="51" t="n">
        <f aca="false">IFERROR(Assumptions!$C$43*(1+Assumptions!$C$11)^(5-1),0)</f>
        <v>0</v>
      </c>
      <c r="AZ23" s="51" t="n">
        <f aca="false">IFERROR(Assumptions!$C$43*(1+Assumptions!$C$11)^(5-1),0)</f>
        <v>0</v>
      </c>
      <c r="BA23" s="51" t="n">
        <f aca="false">IFERROR(Assumptions!$C$43*(1+Assumptions!$C$11)^(5-1),0)</f>
        <v>0</v>
      </c>
      <c r="BB23" s="51" t="n">
        <f aca="false">IFERROR(Assumptions!$C$43*(1+Assumptions!$C$11)^(5-1),0)</f>
        <v>0</v>
      </c>
      <c r="BC23" s="51" t="n">
        <f aca="false">IFERROR(Assumptions!$C$43*(1+Assumptions!$C$11)^(5-1),0)</f>
        <v>0</v>
      </c>
      <c r="BD23" s="51" t="n">
        <f aca="false">IFERROR(Assumptions!$C$43*(1+Assumptions!$C$11)^(5-1),0)</f>
        <v>0</v>
      </c>
      <c r="BE23" s="51" t="n">
        <f aca="false">IFERROR(Assumptions!$C$43*(1+Assumptions!$C$11)^(5-1),0)</f>
        <v>0</v>
      </c>
      <c r="BF23" s="51" t="n">
        <f aca="false">IFERROR(Assumptions!$C$43*(1+Assumptions!$C$11)^(5-1),0)</f>
        <v>0</v>
      </c>
      <c r="BG23" s="51" t="n">
        <f aca="false">IFERROR(Assumptions!$C$43*(1+Assumptions!$C$11)^(5-1),0)</f>
        <v>0</v>
      </c>
      <c r="BH23" s="51" t="n">
        <f aca="false">IFERROR(Assumptions!$C$43*(1+Assumptions!$C$11)^(5-1),0)</f>
        <v>0</v>
      </c>
      <c r="BI23" s="51" t="n">
        <f aca="false">IFERROR(Assumptions!$C$43*(1+Assumptions!$C$11)^(5-1),0)</f>
        <v>0</v>
      </c>
      <c r="BJ23" s="51" t="n">
        <f aca="false">IFERROR(Assumptions!$C$43*(1+Assumptions!$C$11)^(5-1),0)</f>
        <v>0</v>
      </c>
    </row>
    <row r="24" customFormat="false" ht="15" hidden="false" customHeight="false" outlineLevel="0" collapsed="false">
      <c r="A24" s="42" t="s">
        <v>126</v>
      </c>
      <c r="B24" s="49" t="s">
        <v>88</v>
      </c>
      <c r="C24" s="51" t="n">
        <f aca="false">IFERROR(Assumptions!$C$44*(1+Assumptions!$C$11)^(1-1),0)</f>
        <v>0</v>
      </c>
      <c r="D24" s="51" t="n">
        <f aca="false">IFERROR(Assumptions!$C$44*(1+Assumptions!$C$11)^(1-1),0)</f>
        <v>0</v>
      </c>
      <c r="E24" s="51" t="n">
        <f aca="false">IFERROR(Assumptions!$C$44*(1+Assumptions!$C$11)^(1-1),0)</f>
        <v>0</v>
      </c>
      <c r="F24" s="51" t="n">
        <f aca="false">IFERROR(Assumptions!$C$44*(1+Assumptions!$C$11)^(1-1),0)</f>
        <v>0</v>
      </c>
      <c r="G24" s="51" t="n">
        <f aca="false">IFERROR(Assumptions!$C$44*(1+Assumptions!$C$11)^(1-1),0)</f>
        <v>0</v>
      </c>
      <c r="H24" s="51" t="n">
        <f aca="false">IFERROR(Assumptions!$C$44*(1+Assumptions!$C$11)^(1-1),0)</f>
        <v>0</v>
      </c>
      <c r="I24" s="51" t="n">
        <f aca="false">IFERROR(Assumptions!$C$44*(1+Assumptions!$C$11)^(1-1),0)</f>
        <v>0</v>
      </c>
      <c r="J24" s="51" t="n">
        <f aca="false">IFERROR(Assumptions!$C$44*(1+Assumptions!$C$11)^(1-1),0)</f>
        <v>0</v>
      </c>
      <c r="K24" s="51" t="n">
        <f aca="false">IFERROR(Assumptions!$C$44*(1+Assumptions!$C$11)^(1-1),0)</f>
        <v>0</v>
      </c>
      <c r="L24" s="51" t="n">
        <f aca="false">IFERROR(Assumptions!$C$44*(1+Assumptions!$C$11)^(1-1),0)</f>
        <v>0</v>
      </c>
      <c r="M24" s="51" t="n">
        <f aca="false">IFERROR(Assumptions!$C$44*(1+Assumptions!$C$11)^(1-1),0)</f>
        <v>0</v>
      </c>
      <c r="N24" s="51" t="n">
        <f aca="false">IFERROR(Assumptions!$C$44*(1+Assumptions!$C$11)^(1-1),0)</f>
        <v>0</v>
      </c>
      <c r="O24" s="51" t="n">
        <f aca="false">IFERROR(Assumptions!$C$44*(1+Assumptions!$C$11)^(2-1),0)</f>
        <v>0</v>
      </c>
      <c r="P24" s="51" t="n">
        <f aca="false">IFERROR(Assumptions!$C$44*(1+Assumptions!$C$11)^(2-1),0)</f>
        <v>0</v>
      </c>
      <c r="Q24" s="51" t="n">
        <f aca="false">IFERROR(Assumptions!$C$44*(1+Assumptions!$C$11)^(2-1),0)</f>
        <v>0</v>
      </c>
      <c r="R24" s="51" t="n">
        <f aca="false">IFERROR(Assumptions!$C$44*(1+Assumptions!$C$11)^(2-1),0)</f>
        <v>0</v>
      </c>
      <c r="S24" s="51" t="n">
        <f aca="false">IFERROR(Assumptions!$C$44*(1+Assumptions!$C$11)^(2-1),0)</f>
        <v>0</v>
      </c>
      <c r="T24" s="51" t="n">
        <f aca="false">IFERROR(Assumptions!$C$44*(1+Assumptions!$C$11)^(2-1),0)</f>
        <v>0</v>
      </c>
      <c r="U24" s="51" t="n">
        <f aca="false">IFERROR(Assumptions!$C$44*(1+Assumptions!$C$11)^(2-1),0)</f>
        <v>0</v>
      </c>
      <c r="V24" s="51" t="n">
        <f aca="false">IFERROR(Assumptions!$C$44*(1+Assumptions!$C$11)^(2-1),0)</f>
        <v>0</v>
      </c>
      <c r="W24" s="51" t="n">
        <f aca="false">IFERROR(Assumptions!$C$44*(1+Assumptions!$C$11)^(2-1),0)</f>
        <v>0</v>
      </c>
      <c r="X24" s="51" t="n">
        <f aca="false">IFERROR(Assumptions!$C$44*(1+Assumptions!$C$11)^(2-1),0)</f>
        <v>0</v>
      </c>
      <c r="Y24" s="51" t="n">
        <f aca="false">IFERROR(Assumptions!$C$44*(1+Assumptions!$C$11)^(2-1),0)</f>
        <v>0</v>
      </c>
      <c r="Z24" s="51" t="n">
        <f aca="false">IFERROR(Assumptions!$C$44*(1+Assumptions!$C$11)^(2-1),0)</f>
        <v>0</v>
      </c>
      <c r="AA24" s="51" t="n">
        <f aca="false">IFERROR(Assumptions!$C$44*(1+Assumptions!$C$11)^(3-1),0)</f>
        <v>0</v>
      </c>
      <c r="AB24" s="51" t="n">
        <f aca="false">IFERROR(Assumptions!$C$44*(1+Assumptions!$C$11)^(3-1),0)</f>
        <v>0</v>
      </c>
      <c r="AC24" s="51" t="n">
        <f aca="false">IFERROR(Assumptions!$C$44*(1+Assumptions!$C$11)^(3-1),0)</f>
        <v>0</v>
      </c>
      <c r="AD24" s="51" t="n">
        <f aca="false">IFERROR(Assumptions!$C$44*(1+Assumptions!$C$11)^(3-1),0)</f>
        <v>0</v>
      </c>
      <c r="AE24" s="51" t="n">
        <f aca="false">IFERROR(Assumptions!$C$44*(1+Assumptions!$C$11)^(3-1),0)</f>
        <v>0</v>
      </c>
      <c r="AF24" s="51" t="n">
        <f aca="false">IFERROR(Assumptions!$C$44*(1+Assumptions!$C$11)^(3-1),0)</f>
        <v>0</v>
      </c>
      <c r="AG24" s="51" t="n">
        <f aca="false">IFERROR(Assumptions!$C$44*(1+Assumptions!$C$11)^(3-1),0)</f>
        <v>0</v>
      </c>
      <c r="AH24" s="51" t="n">
        <f aca="false">IFERROR(Assumptions!$C$44*(1+Assumptions!$C$11)^(3-1),0)</f>
        <v>0</v>
      </c>
      <c r="AI24" s="51" t="n">
        <f aca="false">IFERROR(Assumptions!$C$44*(1+Assumptions!$C$11)^(3-1),0)</f>
        <v>0</v>
      </c>
      <c r="AJ24" s="51" t="n">
        <f aca="false">IFERROR(Assumptions!$C$44*(1+Assumptions!$C$11)^(3-1),0)</f>
        <v>0</v>
      </c>
      <c r="AK24" s="51" t="n">
        <f aca="false">IFERROR(Assumptions!$C$44*(1+Assumptions!$C$11)^(3-1),0)</f>
        <v>0</v>
      </c>
      <c r="AL24" s="51" t="n">
        <f aca="false">IFERROR(Assumptions!$C$44*(1+Assumptions!$C$11)^(3-1),0)</f>
        <v>0</v>
      </c>
      <c r="AM24" s="51" t="n">
        <f aca="false">IFERROR(Assumptions!$C$44*(1+Assumptions!$C$11)^(4-1),0)</f>
        <v>0</v>
      </c>
      <c r="AN24" s="51" t="n">
        <f aca="false">IFERROR(Assumptions!$C$44*(1+Assumptions!$C$11)^(4-1),0)</f>
        <v>0</v>
      </c>
      <c r="AO24" s="51" t="n">
        <f aca="false">IFERROR(Assumptions!$C$44*(1+Assumptions!$C$11)^(4-1),0)</f>
        <v>0</v>
      </c>
      <c r="AP24" s="51" t="n">
        <f aca="false">IFERROR(Assumptions!$C$44*(1+Assumptions!$C$11)^(4-1),0)</f>
        <v>0</v>
      </c>
      <c r="AQ24" s="51" t="n">
        <f aca="false">IFERROR(Assumptions!$C$44*(1+Assumptions!$C$11)^(4-1),0)</f>
        <v>0</v>
      </c>
      <c r="AR24" s="51" t="n">
        <f aca="false">IFERROR(Assumptions!$C$44*(1+Assumptions!$C$11)^(4-1),0)</f>
        <v>0</v>
      </c>
      <c r="AS24" s="51" t="n">
        <f aca="false">IFERROR(Assumptions!$C$44*(1+Assumptions!$C$11)^(4-1),0)</f>
        <v>0</v>
      </c>
      <c r="AT24" s="51" t="n">
        <f aca="false">IFERROR(Assumptions!$C$44*(1+Assumptions!$C$11)^(4-1),0)</f>
        <v>0</v>
      </c>
      <c r="AU24" s="51" t="n">
        <f aca="false">IFERROR(Assumptions!$C$44*(1+Assumptions!$C$11)^(4-1),0)</f>
        <v>0</v>
      </c>
      <c r="AV24" s="51" t="n">
        <f aca="false">IFERROR(Assumptions!$C$44*(1+Assumptions!$C$11)^(4-1),0)</f>
        <v>0</v>
      </c>
      <c r="AW24" s="51" t="n">
        <f aca="false">IFERROR(Assumptions!$C$44*(1+Assumptions!$C$11)^(4-1),0)</f>
        <v>0</v>
      </c>
      <c r="AX24" s="51" t="n">
        <f aca="false">IFERROR(Assumptions!$C$44*(1+Assumptions!$C$11)^(4-1),0)</f>
        <v>0</v>
      </c>
      <c r="AY24" s="51" t="n">
        <f aca="false">IFERROR(Assumptions!$C$44*(1+Assumptions!$C$11)^(5-1),0)</f>
        <v>0</v>
      </c>
      <c r="AZ24" s="51" t="n">
        <f aca="false">IFERROR(Assumptions!$C$44*(1+Assumptions!$C$11)^(5-1),0)</f>
        <v>0</v>
      </c>
      <c r="BA24" s="51" t="n">
        <f aca="false">IFERROR(Assumptions!$C$44*(1+Assumptions!$C$11)^(5-1),0)</f>
        <v>0</v>
      </c>
      <c r="BB24" s="51" t="n">
        <f aca="false">IFERROR(Assumptions!$C$44*(1+Assumptions!$C$11)^(5-1),0)</f>
        <v>0</v>
      </c>
      <c r="BC24" s="51" t="n">
        <f aca="false">IFERROR(Assumptions!$C$44*(1+Assumptions!$C$11)^(5-1),0)</f>
        <v>0</v>
      </c>
      <c r="BD24" s="51" t="n">
        <f aca="false">IFERROR(Assumptions!$C$44*(1+Assumptions!$C$11)^(5-1),0)</f>
        <v>0</v>
      </c>
      <c r="BE24" s="51" t="n">
        <f aca="false">IFERROR(Assumptions!$C$44*(1+Assumptions!$C$11)^(5-1),0)</f>
        <v>0</v>
      </c>
      <c r="BF24" s="51" t="n">
        <f aca="false">IFERROR(Assumptions!$C$44*(1+Assumptions!$C$11)^(5-1),0)</f>
        <v>0</v>
      </c>
      <c r="BG24" s="51" t="n">
        <f aca="false">IFERROR(Assumptions!$C$44*(1+Assumptions!$C$11)^(5-1),0)</f>
        <v>0</v>
      </c>
      <c r="BH24" s="51" t="n">
        <f aca="false">IFERROR(Assumptions!$C$44*(1+Assumptions!$C$11)^(5-1),0)</f>
        <v>0</v>
      </c>
      <c r="BI24" s="51" t="n">
        <f aca="false">IFERROR(Assumptions!$C$44*(1+Assumptions!$C$11)^(5-1),0)</f>
        <v>0</v>
      </c>
      <c r="BJ24" s="51" t="n">
        <f aca="false">IFERROR(Assumptions!$C$44*(1+Assumptions!$C$11)^(5-1),0)</f>
        <v>0</v>
      </c>
    </row>
    <row r="25" customFormat="false" ht="15" hidden="false" customHeight="false" outlineLevel="0" collapsed="false">
      <c r="A25" s="42" t="s">
        <v>243</v>
      </c>
      <c r="B25" s="49" t="s">
        <v>88</v>
      </c>
      <c r="C25" s="51" t="n">
        <f aca="false">IFERROR(Assumptions!$C$45*(1+Assumptions!$C$11)^(1-1),0)</f>
        <v>0</v>
      </c>
      <c r="D25" s="51" t="n">
        <f aca="false">IFERROR(Assumptions!$C$45*(1+Assumptions!$C$11)^(1-1),0)</f>
        <v>0</v>
      </c>
      <c r="E25" s="51" t="n">
        <f aca="false">IFERROR(Assumptions!$C$45*(1+Assumptions!$C$11)^(1-1),0)</f>
        <v>0</v>
      </c>
      <c r="F25" s="51" t="n">
        <f aca="false">IFERROR(Assumptions!$C$45*(1+Assumptions!$C$11)^(1-1),0)</f>
        <v>0</v>
      </c>
      <c r="G25" s="51" t="n">
        <f aca="false">IFERROR(Assumptions!$C$45*(1+Assumptions!$C$11)^(1-1),0)</f>
        <v>0</v>
      </c>
      <c r="H25" s="51" t="n">
        <f aca="false">IFERROR(Assumptions!$C$45*(1+Assumptions!$C$11)^(1-1),0)</f>
        <v>0</v>
      </c>
      <c r="I25" s="51" t="n">
        <f aca="false">IFERROR(Assumptions!$C$45*(1+Assumptions!$C$11)^(1-1),0)</f>
        <v>0</v>
      </c>
      <c r="J25" s="51" t="n">
        <f aca="false">IFERROR(Assumptions!$C$45*(1+Assumptions!$C$11)^(1-1),0)</f>
        <v>0</v>
      </c>
      <c r="K25" s="51" t="n">
        <f aca="false">IFERROR(Assumptions!$C$45*(1+Assumptions!$C$11)^(1-1),0)</f>
        <v>0</v>
      </c>
      <c r="L25" s="51" t="n">
        <f aca="false">IFERROR(Assumptions!$C$45*(1+Assumptions!$C$11)^(1-1),0)</f>
        <v>0</v>
      </c>
      <c r="M25" s="51" t="n">
        <f aca="false">IFERROR(Assumptions!$C$45*(1+Assumptions!$C$11)^(1-1),0)</f>
        <v>0</v>
      </c>
      <c r="N25" s="51" t="n">
        <f aca="false">IFERROR(Assumptions!$C$45*(1+Assumptions!$C$11)^(1-1),0)</f>
        <v>0</v>
      </c>
      <c r="O25" s="51" t="n">
        <f aca="false">IFERROR(Assumptions!$C$45*(1+Assumptions!$C$11)^(2-1),0)</f>
        <v>0</v>
      </c>
      <c r="P25" s="51" t="n">
        <f aca="false">IFERROR(Assumptions!$C$45*(1+Assumptions!$C$11)^(2-1),0)</f>
        <v>0</v>
      </c>
      <c r="Q25" s="51" t="n">
        <f aca="false">IFERROR(Assumptions!$C$45*(1+Assumptions!$C$11)^(2-1),0)</f>
        <v>0</v>
      </c>
      <c r="R25" s="51" t="n">
        <f aca="false">IFERROR(Assumptions!$C$45*(1+Assumptions!$C$11)^(2-1),0)</f>
        <v>0</v>
      </c>
      <c r="S25" s="51" t="n">
        <f aca="false">IFERROR(Assumptions!$C$45*(1+Assumptions!$C$11)^(2-1),0)</f>
        <v>0</v>
      </c>
      <c r="T25" s="51" t="n">
        <f aca="false">IFERROR(Assumptions!$C$45*(1+Assumptions!$C$11)^(2-1),0)</f>
        <v>0</v>
      </c>
      <c r="U25" s="51" t="n">
        <f aca="false">IFERROR(Assumptions!$C$45*(1+Assumptions!$C$11)^(2-1),0)</f>
        <v>0</v>
      </c>
      <c r="V25" s="51" t="n">
        <f aca="false">IFERROR(Assumptions!$C$45*(1+Assumptions!$C$11)^(2-1),0)</f>
        <v>0</v>
      </c>
      <c r="W25" s="51" t="n">
        <f aca="false">IFERROR(Assumptions!$C$45*(1+Assumptions!$C$11)^(2-1),0)</f>
        <v>0</v>
      </c>
      <c r="X25" s="51" t="n">
        <f aca="false">IFERROR(Assumptions!$C$45*(1+Assumptions!$C$11)^(2-1),0)</f>
        <v>0</v>
      </c>
      <c r="Y25" s="51" t="n">
        <f aca="false">IFERROR(Assumptions!$C$45*(1+Assumptions!$C$11)^(2-1),0)</f>
        <v>0</v>
      </c>
      <c r="Z25" s="51" t="n">
        <f aca="false">IFERROR(Assumptions!$C$45*(1+Assumptions!$C$11)^(2-1),0)</f>
        <v>0</v>
      </c>
      <c r="AA25" s="51" t="n">
        <f aca="false">IFERROR(Assumptions!$C$45*(1+Assumptions!$C$11)^(3-1),0)</f>
        <v>0</v>
      </c>
      <c r="AB25" s="51" t="n">
        <f aca="false">IFERROR(Assumptions!$C$45*(1+Assumptions!$C$11)^(3-1),0)</f>
        <v>0</v>
      </c>
      <c r="AC25" s="51" t="n">
        <f aca="false">IFERROR(Assumptions!$C$45*(1+Assumptions!$C$11)^(3-1),0)</f>
        <v>0</v>
      </c>
      <c r="AD25" s="51" t="n">
        <f aca="false">IFERROR(Assumptions!$C$45*(1+Assumptions!$C$11)^(3-1),0)</f>
        <v>0</v>
      </c>
      <c r="AE25" s="51" t="n">
        <f aca="false">IFERROR(Assumptions!$C$45*(1+Assumptions!$C$11)^(3-1),0)</f>
        <v>0</v>
      </c>
      <c r="AF25" s="51" t="n">
        <f aca="false">IFERROR(Assumptions!$C$45*(1+Assumptions!$C$11)^(3-1),0)</f>
        <v>0</v>
      </c>
      <c r="AG25" s="51" t="n">
        <f aca="false">IFERROR(Assumptions!$C$45*(1+Assumptions!$C$11)^(3-1),0)</f>
        <v>0</v>
      </c>
      <c r="AH25" s="51" t="n">
        <f aca="false">IFERROR(Assumptions!$C$45*(1+Assumptions!$C$11)^(3-1),0)</f>
        <v>0</v>
      </c>
      <c r="AI25" s="51" t="n">
        <f aca="false">IFERROR(Assumptions!$C$45*(1+Assumptions!$C$11)^(3-1),0)</f>
        <v>0</v>
      </c>
      <c r="AJ25" s="51" t="n">
        <f aca="false">IFERROR(Assumptions!$C$45*(1+Assumptions!$C$11)^(3-1),0)</f>
        <v>0</v>
      </c>
      <c r="AK25" s="51" t="n">
        <f aca="false">IFERROR(Assumptions!$C$45*(1+Assumptions!$C$11)^(3-1),0)</f>
        <v>0</v>
      </c>
      <c r="AL25" s="51" t="n">
        <f aca="false">IFERROR(Assumptions!$C$45*(1+Assumptions!$C$11)^(3-1),0)</f>
        <v>0</v>
      </c>
      <c r="AM25" s="51" t="n">
        <f aca="false">IFERROR(Assumptions!$C$45*(1+Assumptions!$C$11)^(4-1),0)</f>
        <v>0</v>
      </c>
      <c r="AN25" s="51" t="n">
        <f aca="false">IFERROR(Assumptions!$C$45*(1+Assumptions!$C$11)^(4-1),0)</f>
        <v>0</v>
      </c>
      <c r="AO25" s="51" t="n">
        <f aca="false">IFERROR(Assumptions!$C$45*(1+Assumptions!$C$11)^(4-1),0)</f>
        <v>0</v>
      </c>
      <c r="AP25" s="51" t="n">
        <f aca="false">IFERROR(Assumptions!$C$45*(1+Assumptions!$C$11)^(4-1),0)</f>
        <v>0</v>
      </c>
      <c r="AQ25" s="51" t="n">
        <f aca="false">IFERROR(Assumptions!$C$45*(1+Assumptions!$C$11)^(4-1),0)</f>
        <v>0</v>
      </c>
      <c r="AR25" s="51" t="n">
        <f aca="false">IFERROR(Assumptions!$C$45*(1+Assumptions!$C$11)^(4-1),0)</f>
        <v>0</v>
      </c>
      <c r="AS25" s="51" t="n">
        <f aca="false">IFERROR(Assumptions!$C$45*(1+Assumptions!$C$11)^(4-1),0)</f>
        <v>0</v>
      </c>
      <c r="AT25" s="51" t="n">
        <f aca="false">IFERROR(Assumptions!$C$45*(1+Assumptions!$C$11)^(4-1),0)</f>
        <v>0</v>
      </c>
      <c r="AU25" s="51" t="n">
        <f aca="false">IFERROR(Assumptions!$C$45*(1+Assumptions!$C$11)^(4-1),0)</f>
        <v>0</v>
      </c>
      <c r="AV25" s="51" t="n">
        <f aca="false">IFERROR(Assumptions!$C$45*(1+Assumptions!$C$11)^(4-1),0)</f>
        <v>0</v>
      </c>
      <c r="AW25" s="51" t="n">
        <f aca="false">IFERROR(Assumptions!$C$45*(1+Assumptions!$C$11)^(4-1),0)</f>
        <v>0</v>
      </c>
      <c r="AX25" s="51" t="n">
        <f aca="false">IFERROR(Assumptions!$C$45*(1+Assumptions!$C$11)^(4-1),0)</f>
        <v>0</v>
      </c>
      <c r="AY25" s="51" t="n">
        <f aca="false">IFERROR(Assumptions!$C$45*(1+Assumptions!$C$11)^(5-1),0)</f>
        <v>0</v>
      </c>
      <c r="AZ25" s="51" t="n">
        <f aca="false">IFERROR(Assumptions!$C$45*(1+Assumptions!$C$11)^(5-1),0)</f>
        <v>0</v>
      </c>
      <c r="BA25" s="51" t="n">
        <f aca="false">IFERROR(Assumptions!$C$45*(1+Assumptions!$C$11)^(5-1),0)</f>
        <v>0</v>
      </c>
      <c r="BB25" s="51" t="n">
        <f aca="false">IFERROR(Assumptions!$C$45*(1+Assumptions!$C$11)^(5-1),0)</f>
        <v>0</v>
      </c>
      <c r="BC25" s="51" t="n">
        <f aca="false">IFERROR(Assumptions!$C$45*(1+Assumptions!$C$11)^(5-1),0)</f>
        <v>0</v>
      </c>
      <c r="BD25" s="51" t="n">
        <f aca="false">IFERROR(Assumptions!$C$45*(1+Assumptions!$C$11)^(5-1),0)</f>
        <v>0</v>
      </c>
      <c r="BE25" s="51" t="n">
        <f aca="false">IFERROR(Assumptions!$C$45*(1+Assumptions!$C$11)^(5-1),0)</f>
        <v>0</v>
      </c>
      <c r="BF25" s="51" t="n">
        <f aca="false">IFERROR(Assumptions!$C$45*(1+Assumptions!$C$11)^(5-1),0)</f>
        <v>0</v>
      </c>
      <c r="BG25" s="51" t="n">
        <f aca="false">IFERROR(Assumptions!$C$45*(1+Assumptions!$C$11)^(5-1),0)</f>
        <v>0</v>
      </c>
      <c r="BH25" s="51" t="n">
        <f aca="false">IFERROR(Assumptions!$C$45*(1+Assumptions!$C$11)^(5-1),0)</f>
        <v>0</v>
      </c>
      <c r="BI25" s="51" t="n">
        <f aca="false">IFERROR(Assumptions!$C$45*(1+Assumptions!$C$11)^(5-1),0)</f>
        <v>0</v>
      </c>
      <c r="BJ25" s="51" t="n">
        <f aca="false">IFERROR(Assumptions!$C$45*(1+Assumptions!$C$11)^(5-1),0)</f>
        <v>0</v>
      </c>
    </row>
    <row r="26" customFormat="false" ht="15" hidden="false" customHeight="false" outlineLevel="0" collapsed="false">
      <c r="A26" s="42" t="s">
        <v>128</v>
      </c>
      <c r="B26" s="49" t="s">
        <v>88</v>
      </c>
      <c r="C26" s="51" t="n">
        <f aca="false">IFERROR(C13*Assumptions!$C$46,0)</f>
        <v>0</v>
      </c>
      <c r="D26" s="51" t="n">
        <f aca="false">IFERROR(D13*Assumptions!$C$46,0)</f>
        <v>0</v>
      </c>
      <c r="E26" s="51" t="n">
        <f aca="false">IFERROR(E13*Assumptions!$C$46,0)</f>
        <v>0</v>
      </c>
      <c r="F26" s="51" t="n">
        <f aca="false">IFERROR(F13*Assumptions!$C$46,0)</f>
        <v>0</v>
      </c>
      <c r="G26" s="51" t="n">
        <f aca="false">IFERROR(G13*Assumptions!$C$46,0)</f>
        <v>0</v>
      </c>
      <c r="H26" s="51" t="n">
        <f aca="false">IFERROR(H13*Assumptions!$C$46,0)</f>
        <v>0</v>
      </c>
      <c r="I26" s="51" t="n">
        <f aca="false">IFERROR(I13*Assumptions!$C$46,0)</f>
        <v>0</v>
      </c>
      <c r="J26" s="51" t="n">
        <f aca="false">IFERROR(J13*Assumptions!$C$46,0)</f>
        <v>0</v>
      </c>
      <c r="K26" s="51" t="n">
        <f aca="false">IFERROR(K13*Assumptions!$C$46,0)</f>
        <v>0</v>
      </c>
      <c r="L26" s="51" t="n">
        <f aca="false">IFERROR(L13*Assumptions!$C$46,0)</f>
        <v>0</v>
      </c>
      <c r="M26" s="51" t="n">
        <f aca="false">IFERROR(M13*Assumptions!$C$46,0)</f>
        <v>0</v>
      </c>
      <c r="N26" s="51" t="n">
        <f aca="false">IFERROR(N13*Assumptions!$C$46,0)</f>
        <v>0</v>
      </c>
      <c r="O26" s="51" t="n">
        <f aca="false">IFERROR(O13*Assumptions!$C$46,0)</f>
        <v>0</v>
      </c>
      <c r="P26" s="51" t="n">
        <f aca="false">IFERROR(P13*Assumptions!$C$46,0)</f>
        <v>0</v>
      </c>
      <c r="Q26" s="51" t="n">
        <f aca="false">IFERROR(Q13*Assumptions!$C$46,0)</f>
        <v>0</v>
      </c>
      <c r="R26" s="51" t="n">
        <f aca="false">IFERROR(R13*Assumptions!$C$46,0)</f>
        <v>0</v>
      </c>
      <c r="S26" s="51" t="n">
        <f aca="false">IFERROR(S13*Assumptions!$C$46,0)</f>
        <v>0</v>
      </c>
      <c r="T26" s="51" t="n">
        <f aca="false">IFERROR(T13*Assumptions!$C$46,0)</f>
        <v>0</v>
      </c>
      <c r="U26" s="51" t="n">
        <f aca="false">IFERROR(U13*Assumptions!$C$46,0)</f>
        <v>0</v>
      </c>
      <c r="V26" s="51" t="n">
        <f aca="false">IFERROR(V13*Assumptions!$C$46,0)</f>
        <v>0</v>
      </c>
      <c r="W26" s="51" t="n">
        <f aca="false">IFERROR(W13*Assumptions!$C$46,0)</f>
        <v>0</v>
      </c>
      <c r="X26" s="51" t="n">
        <f aca="false">IFERROR(X13*Assumptions!$C$46,0)</f>
        <v>0</v>
      </c>
      <c r="Y26" s="51" t="n">
        <f aca="false">IFERROR(Y13*Assumptions!$C$46,0)</f>
        <v>0</v>
      </c>
      <c r="Z26" s="51" t="n">
        <f aca="false">IFERROR(Z13*Assumptions!$C$46,0)</f>
        <v>0</v>
      </c>
      <c r="AA26" s="51" t="n">
        <f aca="false">IFERROR(AA13*Assumptions!$C$46,0)</f>
        <v>0</v>
      </c>
      <c r="AB26" s="51" t="n">
        <f aca="false">IFERROR(AB13*Assumptions!$C$46,0)</f>
        <v>0</v>
      </c>
      <c r="AC26" s="51" t="n">
        <f aca="false">IFERROR(AC13*Assumptions!$C$46,0)</f>
        <v>0</v>
      </c>
      <c r="AD26" s="51" t="n">
        <f aca="false">IFERROR(AD13*Assumptions!$C$46,0)</f>
        <v>0</v>
      </c>
      <c r="AE26" s="51" t="n">
        <f aca="false">IFERROR(AE13*Assumptions!$C$46,0)</f>
        <v>0</v>
      </c>
      <c r="AF26" s="51" t="n">
        <f aca="false">IFERROR(AF13*Assumptions!$C$46,0)</f>
        <v>0</v>
      </c>
      <c r="AG26" s="51" t="n">
        <f aca="false">IFERROR(AG13*Assumptions!$C$46,0)</f>
        <v>0</v>
      </c>
      <c r="AH26" s="51" t="n">
        <f aca="false">IFERROR(AH13*Assumptions!$C$46,0)</f>
        <v>0</v>
      </c>
      <c r="AI26" s="51" t="n">
        <f aca="false">IFERROR(AI13*Assumptions!$C$46,0)</f>
        <v>0</v>
      </c>
      <c r="AJ26" s="51" t="n">
        <f aca="false">IFERROR(AJ13*Assumptions!$C$46,0)</f>
        <v>0</v>
      </c>
      <c r="AK26" s="51" t="n">
        <f aca="false">IFERROR(AK13*Assumptions!$C$46,0)</f>
        <v>0</v>
      </c>
      <c r="AL26" s="51" t="n">
        <f aca="false">IFERROR(AL13*Assumptions!$C$46,0)</f>
        <v>0</v>
      </c>
      <c r="AM26" s="51" t="n">
        <f aca="false">IFERROR(AM13*Assumptions!$C$46,0)</f>
        <v>0</v>
      </c>
      <c r="AN26" s="51" t="n">
        <f aca="false">IFERROR(AN13*Assumptions!$C$46,0)</f>
        <v>0</v>
      </c>
      <c r="AO26" s="51" t="n">
        <f aca="false">IFERROR(AO13*Assumptions!$C$46,0)</f>
        <v>0</v>
      </c>
      <c r="AP26" s="51" t="n">
        <f aca="false">IFERROR(AP13*Assumptions!$C$46,0)</f>
        <v>0</v>
      </c>
      <c r="AQ26" s="51" t="n">
        <f aca="false">IFERROR(AQ13*Assumptions!$C$46,0)</f>
        <v>0</v>
      </c>
      <c r="AR26" s="51" t="n">
        <f aca="false">IFERROR(AR13*Assumptions!$C$46,0)</f>
        <v>0</v>
      </c>
      <c r="AS26" s="51" t="n">
        <f aca="false">IFERROR(AS13*Assumptions!$C$46,0)</f>
        <v>0</v>
      </c>
      <c r="AT26" s="51" t="n">
        <f aca="false">IFERROR(AT13*Assumptions!$C$46,0)</f>
        <v>0</v>
      </c>
      <c r="AU26" s="51" t="n">
        <f aca="false">IFERROR(AU13*Assumptions!$C$46,0)</f>
        <v>0</v>
      </c>
      <c r="AV26" s="51" t="n">
        <f aca="false">IFERROR(AV13*Assumptions!$C$46,0)</f>
        <v>0</v>
      </c>
      <c r="AW26" s="51" t="n">
        <f aca="false">IFERROR(AW13*Assumptions!$C$46,0)</f>
        <v>0</v>
      </c>
      <c r="AX26" s="51" t="n">
        <f aca="false">IFERROR(AX13*Assumptions!$C$46,0)</f>
        <v>0</v>
      </c>
      <c r="AY26" s="51" t="n">
        <f aca="false">IFERROR(AY13*Assumptions!$C$46,0)</f>
        <v>0</v>
      </c>
      <c r="AZ26" s="51" t="n">
        <f aca="false">IFERROR(AZ13*Assumptions!$C$46,0)</f>
        <v>0</v>
      </c>
      <c r="BA26" s="51" t="n">
        <f aca="false">IFERROR(BA13*Assumptions!$C$46,0)</f>
        <v>0</v>
      </c>
      <c r="BB26" s="51" t="n">
        <f aca="false">IFERROR(BB13*Assumptions!$C$46,0)</f>
        <v>0</v>
      </c>
      <c r="BC26" s="51" t="n">
        <f aca="false">IFERROR(BC13*Assumptions!$C$46,0)</f>
        <v>0</v>
      </c>
      <c r="BD26" s="51" t="n">
        <f aca="false">IFERROR(BD13*Assumptions!$C$46,0)</f>
        <v>0</v>
      </c>
      <c r="BE26" s="51" t="n">
        <f aca="false">IFERROR(BE13*Assumptions!$C$46,0)</f>
        <v>0</v>
      </c>
      <c r="BF26" s="51" t="n">
        <f aca="false">IFERROR(BF13*Assumptions!$C$46,0)</f>
        <v>0</v>
      </c>
      <c r="BG26" s="51" t="n">
        <f aca="false">IFERROR(BG13*Assumptions!$C$46,0)</f>
        <v>0</v>
      </c>
      <c r="BH26" s="51" t="n">
        <f aca="false">IFERROR(BH13*Assumptions!$C$46,0)</f>
        <v>0</v>
      </c>
      <c r="BI26" s="51" t="n">
        <f aca="false">IFERROR(BI13*Assumptions!$C$46,0)</f>
        <v>0</v>
      </c>
      <c r="BJ26" s="51" t="n">
        <f aca="false">IFERROR(BJ13*Assumptions!$C$46,0)</f>
        <v>0</v>
      </c>
    </row>
    <row r="27" customFormat="false" ht="15" hidden="false" customHeight="false" outlineLevel="0" collapsed="false">
      <c r="A27" s="42" t="s">
        <v>244</v>
      </c>
      <c r="B27" s="49" t="s">
        <v>88</v>
      </c>
      <c r="C27" s="51" t="n">
        <f aca="false">IFERROR(Assumptions!$C$47*(1+Assumptions!$C$11)^(1-1),0)</f>
        <v>0</v>
      </c>
      <c r="D27" s="51" t="n">
        <f aca="false">IFERROR(Assumptions!$C$47*(1+Assumptions!$C$11)^(1-1),0)</f>
        <v>0</v>
      </c>
      <c r="E27" s="51" t="n">
        <f aca="false">IFERROR(Assumptions!$C$47*(1+Assumptions!$C$11)^(1-1),0)</f>
        <v>0</v>
      </c>
      <c r="F27" s="51" t="n">
        <f aca="false">IFERROR(Assumptions!$C$47*(1+Assumptions!$C$11)^(1-1),0)</f>
        <v>0</v>
      </c>
      <c r="G27" s="51" t="n">
        <f aca="false">IFERROR(Assumptions!$C$47*(1+Assumptions!$C$11)^(1-1),0)</f>
        <v>0</v>
      </c>
      <c r="H27" s="51" t="n">
        <f aca="false">IFERROR(Assumptions!$C$47*(1+Assumptions!$C$11)^(1-1),0)</f>
        <v>0</v>
      </c>
      <c r="I27" s="51" t="n">
        <f aca="false">IFERROR(Assumptions!$C$47*(1+Assumptions!$C$11)^(1-1),0)</f>
        <v>0</v>
      </c>
      <c r="J27" s="51" t="n">
        <f aca="false">IFERROR(Assumptions!$C$47*(1+Assumptions!$C$11)^(1-1),0)</f>
        <v>0</v>
      </c>
      <c r="K27" s="51" t="n">
        <f aca="false">IFERROR(Assumptions!$C$47*(1+Assumptions!$C$11)^(1-1),0)</f>
        <v>0</v>
      </c>
      <c r="L27" s="51" t="n">
        <f aca="false">IFERROR(Assumptions!$C$47*(1+Assumptions!$C$11)^(1-1),0)</f>
        <v>0</v>
      </c>
      <c r="M27" s="51" t="n">
        <f aca="false">IFERROR(Assumptions!$C$47*(1+Assumptions!$C$11)^(1-1),0)</f>
        <v>0</v>
      </c>
      <c r="N27" s="51" t="n">
        <f aca="false">IFERROR(Assumptions!$C$47*(1+Assumptions!$C$11)^(1-1),0)</f>
        <v>0</v>
      </c>
      <c r="O27" s="51" t="n">
        <f aca="false">IFERROR(Assumptions!$C$47*(1+Assumptions!$C$11)^(2-1),0)</f>
        <v>0</v>
      </c>
      <c r="P27" s="51" t="n">
        <f aca="false">IFERROR(Assumptions!$C$47*(1+Assumptions!$C$11)^(2-1),0)</f>
        <v>0</v>
      </c>
      <c r="Q27" s="51" t="n">
        <f aca="false">IFERROR(Assumptions!$C$47*(1+Assumptions!$C$11)^(2-1),0)</f>
        <v>0</v>
      </c>
      <c r="R27" s="51" t="n">
        <f aca="false">IFERROR(Assumptions!$C$47*(1+Assumptions!$C$11)^(2-1),0)</f>
        <v>0</v>
      </c>
      <c r="S27" s="51" t="n">
        <f aca="false">IFERROR(Assumptions!$C$47*(1+Assumptions!$C$11)^(2-1),0)</f>
        <v>0</v>
      </c>
      <c r="T27" s="51" t="n">
        <f aca="false">IFERROR(Assumptions!$C$47*(1+Assumptions!$C$11)^(2-1),0)</f>
        <v>0</v>
      </c>
      <c r="U27" s="51" t="n">
        <f aca="false">IFERROR(Assumptions!$C$47*(1+Assumptions!$C$11)^(2-1),0)</f>
        <v>0</v>
      </c>
      <c r="V27" s="51" t="n">
        <f aca="false">IFERROR(Assumptions!$C$47*(1+Assumptions!$C$11)^(2-1),0)</f>
        <v>0</v>
      </c>
      <c r="W27" s="51" t="n">
        <f aca="false">IFERROR(Assumptions!$C$47*(1+Assumptions!$C$11)^(2-1),0)</f>
        <v>0</v>
      </c>
      <c r="X27" s="51" t="n">
        <f aca="false">IFERROR(Assumptions!$C$47*(1+Assumptions!$C$11)^(2-1),0)</f>
        <v>0</v>
      </c>
      <c r="Y27" s="51" t="n">
        <f aca="false">IFERROR(Assumptions!$C$47*(1+Assumptions!$C$11)^(2-1),0)</f>
        <v>0</v>
      </c>
      <c r="Z27" s="51" t="n">
        <f aca="false">IFERROR(Assumptions!$C$47*(1+Assumptions!$C$11)^(2-1),0)</f>
        <v>0</v>
      </c>
      <c r="AA27" s="51" t="n">
        <f aca="false">IFERROR(Assumptions!$C$47*(1+Assumptions!$C$11)^(3-1),0)</f>
        <v>0</v>
      </c>
      <c r="AB27" s="51" t="n">
        <f aca="false">IFERROR(Assumptions!$C$47*(1+Assumptions!$C$11)^(3-1),0)</f>
        <v>0</v>
      </c>
      <c r="AC27" s="51" t="n">
        <f aca="false">IFERROR(Assumptions!$C$47*(1+Assumptions!$C$11)^(3-1),0)</f>
        <v>0</v>
      </c>
      <c r="AD27" s="51" t="n">
        <f aca="false">IFERROR(Assumptions!$C$47*(1+Assumptions!$C$11)^(3-1),0)</f>
        <v>0</v>
      </c>
      <c r="AE27" s="51" t="n">
        <f aca="false">IFERROR(Assumptions!$C$47*(1+Assumptions!$C$11)^(3-1),0)</f>
        <v>0</v>
      </c>
      <c r="AF27" s="51" t="n">
        <f aca="false">IFERROR(Assumptions!$C$47*(1+Assumptions!$C$11)^(3-1),0)</f>
        <v>0</v>
      </c>
      <c r="AG27" s="51" t="n">
        <f aca="false">IFERROR(Assumptions!$C$47*(1+Assumptions!$C$11)^(3-1),0)</f>
        <v>0</v>
      </c>
      <c r="AH27" s="51" t="n">
        <f aca="false">IFERROR(Assumptions!$C$47*(1+Assumptions!$C$11)^(3-1),0)</f>
        <v>0</v>
      </c>
      <c r="AI27" s="51" t="n">
        <f aca="false">IFERROR(Assumptions!$C$47*(1+Assumptions!$C$11)^(3-1),0)</f>
        <v>0</v>
      </c>
      <c r="AJ27" s="51" t="n">
        <f aca="false">IFERROR(Assumptions!$C$47*(1+Assumptions!$C$11)^(3-1),0)</f>
        <v>0</v>
      </c>
      <c r="AK27" s="51" t="n">
        <f aca="false">IFERROR(Assumptions!$C$47*(1+Assumptions!$C$11)^(3-1),0)</f>
        <v>0</v>
      </c>
      <c r="AL27" s="51" t="n">
        <f aca="false">IFERROR(Assumptions!$C$47*(1+Assumptions!$C$11)^(3-1),0)</f>
        <v>0</v>
      </c>
      <c r="AM27" s="51" t="n">
        <f aca="false">IFERROR(Assumptions!$C$47*(1+Assumptions!$C$11)^(4-1),0)</f>
        <v>0</v>
      </c>
      <c r="AN27" s="51" t="n">
        <f aca="false">IFERROR(Assumptions!$C$47*(1+Assumptions!$C$11)^(4-1),0)</f>
        <v>0</v>
      </c>
      <c r="AO27" s="51" t="n">
        <f aca="false">IFERROR(Assumptions!$C$47*(1+Assumptions!$C$11)^(4-1),0)</f>
        <v>0</v>
      </c>
      <c r="AP27" s="51" t="n">
        <f aca="false">IFERROR(Assumptions!$C$47*(1+Assumptions!$C$11)^(4-1),0)</f>
        <v>0</v>
      </c>
      <c r="AQ27" s="51" t="n">
        <f aca="false">IFERROR(Assumptions!$C$47*(1+Assumptions!$C$11)^(4-1),0)</f>
        <v>0</v>
      </c>
      <c r="AR27" s="51" t="n">
        <f aca="false">IFERROR(Assumptions!$C$47*(1+Assumptions!$C$11)^(4-1),0)</f>
        <v>0</v>
      </c>
      <c r="AS27" s="51" t="n">
        <f aca="false">IFERROR(Assumptions!$C$47*(1+Assumptions!$C$11)^(4-1),0)</f>
        <v>0</v>
      </c>
      <c r="AT27" s="51" t="n">
        <f aca="false">IFERROR(Assumptions!$C$47*(1+Assumptions!$C$11)^(4-1),0)</f>
        <v>0</v>
      </c>
      <c r="AU27" s="51" t="n">
        <f aca="false">IFERROR(Assumptions!$C$47*(1+Assumptions!$C$11)^(4-1),0)</f>
        <v>0</v>
      </c>
      <c r="AV27" s="51" t="n">
        <f aca="false">IFERROR(Assumptions!$C$47*(1+Assumptions!$C$11)^(4-1),0)</f>
        <v>0</v>
      </c>
      <c r="AW27" s="51" t="n">
        <f aca="false">IFERROR(Assumptions!$C$47*(1+Assumptions!$C$11)^(4-1),0)</f>
        <v>0</v>
      </c>
      <c r="AX27" s="51" t="n">
        <f aca="false">IFERROR(Assumptions!$C$47*(1+Assumptions!$C$11)^(4-1),0)</f>
        <v>0</v>
      </c>
      <c r="AY27" s="51" t="n">
        <f aca="false">IFERROR(Assumptions!$C$47*(1+Assumptions!$C$11)^(5-1),0)</f>
        <v>0</v>
      </c>
      <c r="AZ27" s="51" t="n">
        <f aca="false">IFERROR(Assumptions!$C$47*(1+Assumptions!$C$11)^(5-1),0)</f>
        <v>0</v>
      </c>
      <c r="BA27" s="51" t="n">
        <f aca="false">IFERROR(Assumptions!$C$47*(1+Assumptions!$C$11)^(5-1),0)</f>
        <v>0</v>
      </c>
      <c r="BB27" s="51" t="n">
        <f aca="false">IFERROR(Assumptions!$C$47*(1+Assumptions!$C$11)^(5-1),0)</f>
        <v>0</v>
      </c>
      <c r="BC27" s="51" t="n">
        <f aca="false">IFERROR(Assumptions!$C$47*(1+Assumptions!$C$11)^(5-1),0)</f>
        <v>0</v>
      </c>
      <c r="BD27" s="51" t="n">
        <f aca="false">IFERROR(Assumptions!$C$47*(1+Assumptions!$C$11)^(5-1),0)</f>
        <v>0</v>
      </c>
      <c r="BE27" s="51" t="n">
        <f aca="false">IFERROR(Assumptions!$C$47*(1+Assumptions!$C$11)^(5-1),0)</f>
        <v>0</v>
      </c>
      <c r="BF27" s="51" t="n">
        <f aca="false">IFERROR(Assumptions!$C$47*(1+Assumptions!$C$11)^(5-1),0)</f>
        <v>0</v>
      </c>
      <c r="BG27" s="51" t="n">
        <f aca="false">IFERROR(Assumptions!$C$47*(1+Assumptions!$C$11)^(5-1),0)</f>
        <v>0</v>
      </c>
      <c r="BH27" s="51" t="n">
        <f aca="false">IFERROR(Assumptions!$C$47*(1+Assumptions!$C$11)^(5-1),0)</f>
        <v>0</v>
      </c>
      <c r="BI27" s="51" t="n">
        <f aca="false">IFERROR(Assumptions!$C$47*(1+Assumptions!$C$11)^(5-1),0)</f>
        <v>0</v>
      </c>
      <c r="BJ27" s="51" t="n">
        <f aca="false">IFERROR(Assumptions!$C$47*(1+Assumptions!$C$11)^(5-1),0)</f>
        <v>0</v>
      </c>
    </row>
    <row r="28" customFormat="false" ht="15" hidden="false" customHeight="false" outlineLevel="0" collapsed="false">
      <c r="A28" s="6" t="s">
        <v>245</v>
      </c>
      <c r="B28" s="49" t="s">
        <v>88</v>
      </c>
      <c r="C28" s="50" t="n">
        <f aca="false">IFERROR(SUM(C22:C27),0)</f>
        <v>0</v>
      </c>
      <c r="D28" s="50" t="n">
        <f aca="false">IFERROR(SUM(D22:D27),0)</f>
        <v>0</v>
      </c>
      <c r="E28" s="50" t="n">
        <f aca="false">IFERROR(SUM(E22:E27),0)</f>
        <v>0</v>
      </c>
      <c r="F28" s="50" t="n">
        <f aca="false">IFERROR(SUM(F22:F27),0)</f>
        <v>0</v>
      </c>
      <c r="G28" s="50" t="n">
        <f aca="false">IFERROR(SUM(G22:G27),0)</f>
        <v>0</v>
      </c>
      <c r="H28" s="50" t="n">
        <f aca="false">IFERROR(SUM(H22:H27),0)</f>
        <v>0</v>
      </c>
      <c r="I28" s="50" t="n">
        <f aca="false">IFERROR(SUM(I22:I27),0)</f>
        <v>0</v>
      </c>
      <c r="J28" s="50" t="n">
        <f aca="false">IFERROR(SUM(J22:J27),0)</f>
        <v>0</v>
      </c>
      <c r="K28" s="50" t="n">
        <f aca="false">IFERROR(SUM(K22:K27),0)</f>
        <v>0</v>
      </c>
      <c r="L28" s="50" t="n">
        <f aca="false">IFERROR(SUM(L22:L27),0)</f>
        <v>0</v>
      </c>
      <c r="M28" s="50" t="n">
        <f aca="false">IFERROR(SUM(M22:M27),0)</f>
        <v>0</v>
      </c>
      <c r="N28" s="50" t="n">
        <f aca="false">IFERROR(SUM(N22:N27),0)</f>
        <v>0</v>
      </c>
      <c r="O28" s="50" t="n">
        <f aca="false">IFERROR(SUM(O22:O27),0)</f>
        <v>0</v>
      </c>
      <c r="P28" s="50" t="n">
        <f aca="false">IFERROR(SUM(P22:P27),0)</f>
        <v>0</v>
      </c>
      <c r="Q28" s="50" t="n">
        <f aca="false">IFERROR(SUM(Q22:Q27),0)</f>
        <v>0</v>
      </c>
      <c r="R28" s="50" t="n">
        <f aca="false">IFERROR(SUM(R22:R27),0)</f>
        <v>0</v>
      </c>
      <c r="S28" s="50" t="n">
        <f aca="false">IFERROR(SUM(S22:S27),0)</f>
        <v>0</v>
      </c>
      <c r="T28" s="50" t="n">
        <f aca="false">IFERROR(SUM(T22:T27),0)</f>
        <v>0</v>
      </c>
      <c r="U28" s="50" t="n">
        <f aca="false">IFERROR(SUM(U22:U27),0)</f>
        <v>0</v>
      </c>
      <c r="V28" s="50" t="n">
        <f aca="false">IFERROR(SUM(V22:V27),0)</f>
        <v>0</v>
      </c>
      <c r="W28" s="50" t="n">
        <f aca="false">IFERROR(SUM(W22:W27),0)</f>
        <v>0</v>
      </c>
      <c r="X28" s="50" t="n">
        <f aca="false">IFERROR(SUM(X22:X27),0)</f>
        <v>0</v>
      </c>
      <c r="Y28" s="50" t="n">
        <f aca="false">IFERROR(SUM(Y22:Y27),0)</f>
        <v>0</v>
      </c>
      <c r="Z28" s="50" t="n">
        <f aca="false">IFERROR(SUM(Z22:Z27),0)</f>
        <v>0</v>
      </c>
      <c r="AA28" s="50" t="n">
        <f aca="false">IFERROR(SUM(AA22:AA27),0)</f>
        <v>0</v>
      </c>
      <c r="AB28" s="50" t="n">
        <f aca="false">IFERROR(SUM(AB22:AB27),0)</f>
        <v>0</v>
      </c>
      <c r="AC28" s="50" t="n">
        <f aca="false">IFERROR(SUM(AC22:AC27),0)</f>
        <v>0</v>
      </c>
      <c r="AD28" s="50" t="n">
        <f aca="false">IFERROR(SUM(AD22:AD27),0)</f>
        <v>0</v>
      </c>
      <c r="AE28" s="50" t="n">
        <f aca="false">IFERROR(SUM(AE22:AE27),0)</f>
        <v>0</v>
      </c>
      <c r="AF28" s="50" t="n">
        <f aca="false">IFERROR(SUM(AF22:AF27),0)</f>
        <v>0</v>
      </c>
      <c r="AG28" s="50" t="n">
        <f aca="false">IFERROR(SUM(AG22:AG27),0)</f>
        <v>0</v>
      </c>
      <c r="AH28" s="50" t="n">
        <f aca="false">IFERROR(SUM(AH22:AH27),0)</f>
        <v>0</v>
      </c>
      <c r="AI28" s="50" t="n">
        <f aca="false">IFERROR(SUM(AI22:AI27),0)</f>
        <v>0</v>
      </c>
      <c r="AJ28" s="50" t="n">
        <f aca="false">IFERROR(SUM(AJ22:AJ27),0)</f>
        <v>0</v>
      </c>
      <c r="AK28" s="50" t="n">
        <f aca="false">IFERROR(SUM(AK22:AK27),0)</f>
        <v>0</v>
      </c>
      <c r="AL28" s="50" t="n">
        <f aca="false">IFERROR(SUM(AL22:AL27),0)</f>
        <v>0</v>
      </c>
      <c r="AM28" s="50" t="n">
        <f aca="false">IFERROR(SUM(AM22:AM27),0)</f>
        <v>0</v>
      </c>
      <c r="AN28" s="50" t="n">
        <f aca="false">IFERROR(SUM(AN22:AN27),0)</f>
        <v>0</v>
      </c>
      <c r="AO28" s="50" t="n">
        <f aca="false">IFERROR(SUM(AO22:AO27),0)</f>
        <v>0</v>
      </c>
      <c r="AP28" s="50" t="n">
        <f aca="false">IFERROR(SUM(AP22:AP27),0)</f>
        <v>0</v>
      </c>
      <c r="AQ28" s="50" t="n">
        <f aca="false">IFERROR(SUM(AQ22:AQ27),0)</f>
        <v>0</v>
      </c>
      <c r="AR28" s="50" t="n">
        <f aca="false">IFERROR(SUM(AR22:AR27),0)</f>
        <v>0</v>
      </c>
      <c r="AS28" s="50" t="n">
        <f aca="false">IFERROR(SUM(AS22:AS27),0)</f>
        <v>0</v>
      </c>
      <c r="AT28" s="50" t="n">
        <f aca="false">IFERROR(SUM(AT22:AT27),0)</f>
        <v>0</v>
      </c>
      <c r="AU28" s="50" t="n">
        <f aca="false">IFERROR(SUM(AU22:AU27),0)</f>
        <v>0</v>
      </c>
      <c r="AV28" s="50" t="n">
        <f aca="false">IFERROR(SUM(AV22:AV27),0)</f>
        <v>0</v>
      </c>
      <c r="AW28" s="50" t="n">
        <f aca="false">IFERROR(SUM(AW22:AW27),0)</f>
        <v>0</v>
      </c>
      <c r="AX28" s="50" t="n">
        <f aca="false">IFERROR(SUM(AX22:AX27),0)</f>
        <v>0</v>
      </c>
      <c r="AY28" s="50" t="n">
        <f aca="false">IFERROR(SUM(AY22:AY27),0)</f>
        <v>0</v>
      </c>
      <c r="AZ28" s="50" t="n">
        <f aca="false">IFERROR(SUM(AZ22:AZ27),0)</f>
        <v>0</v>
      </c>
      <c r="BA28" s="50" t="n">
        <f aca="false">IFERROR(SUM(BA22:BA27),0)</f>
        <v>0</v>
      </c>
      <c r="BB28" s="50" t="n">
        <f aca="false">IFERROR(SUM(BB22:BB27),0)</f>
        <v>0</v>
      </c>
      <c r="BC28" s="50" t="n">
        <f aca="false">IFERROR(SUM(BC22:BC27),0)</f>
        <v>0</v>
      </c>
      <c r="BD28" s="50" t="n">
        <f aca="false">IFERROR(SUM(BD22:BD27),0)</f>
        <v>0</v>
      </c>
      <c r="BE28" s="50" t="n">
        <f aca="false">IFERROR(SUM(BE22:BE27),0)</f>
        <v>0</v>
      </c>
      <c r="BF28" s="50" t="n">
        <f aca="false">IFERROR(SUM(BF22:BF27),0)</f>
        <v>0</v>
      </c>
      <c r="BG28" s="50" t="n">
        <f aca="false">IFERROR(SUM(BG22:BG27),0)</f>
        <v>0</v>
      </c>
      <c r="BH28" s="50" t="n">
        <f aca="false">IFERROR(SUM(BH22:BH27),0)</f>
        <v>0</v>
      </c>
      <c r="BI28" s="50" t="n">
        <f aca="false">IFERROR(SUM(BI22:BI27),0)</f>
        <v>0</v>
      </c>
      <c r="BJ28" s="50" t="n">
        <f aca="false">IFERROR(SUM(BJ22:BJ27),0)</f>
        <v>0</v>
      </c>
    </row>
    <row r="29" customFormat="false" ht="15" hidden="false" customHeight="false" outlineLevel="0" collapsed="false">
      <c r="A29" s="59" t="s">
        <v>246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</row>
    <row r="30" customFormat="false" ht="15" hidden="false" customHeight="false" outlineLevel="0" collapsed="false">
      <c r="A30" s="52" t="s">
        <v>247</v>
      </c>
      <c r="B30" s="53" t="s">
        <v>88</v>
      </c>
      <c r="C30" s="54" t="n">
        <f aca="false">IFERROR(C20-C28,0)</f>
        <v>0</v>
      </c>
      <c r="D30" s="54" t="n">
        <f aca="false">IFERROR(D20-D28,0)</f>
        <v>0</v>
      </c>
      <c r="E30" s="54" t="n">
        <f aca="false">IFERROR(E20-E28,0)</f>
        <v>0</v>
      </c>
      <c r="F30" s="54" t="n">
        <f aca="false">IFERROR(F20-F28,0)</f>
        <v>0</v>
      </c>
      <c r="G30" s="54" t="n">
        <f aca="false">IFERROR(G20-G28,0)</f>
        <v>0</v>
      </c>
      <c r="H30" s="54" t="n">
        <f aca="false">IFERROR(H20-H28,0)</f>
        <v>0</v>
      </c>
      <c r="I30" s="54" t="n">
        <f aca="false">IFERROR(I20-I28,0)</f>
        <v>0</v>
      </c>
      <c r="J30" s="54" t="n">
        <f aca="false">IFERROR(J20-J28,0)</f>
        <v>0</v>
      </c>
      <c r="K30" s="54" t="n">
        <f aca="false">IFERROR(K20-K28,0)</f>
        <v>0</v>
      </c>
      <c r="L30" s="54" t="n">
        <f aca="false">IFERROR(L20-L28,0)</f>
        <v>0</v>
      </c>
      <c r="M30" s="54" t="n">
        <f aca="false">IFERROR(M20-M28,0)</f>
        <v>0</v>
      </c>
      <c r="N30" s="54" t="n">
        <f aca="false">IFERROR(N20-N28,0)</f>
        <v>0</v>
      </c>
      <c r="O30" s="54" t="n">
        <f aca="false">IFERROR(O20-O28,0)</f>
        <v>0</v>
      </c>
      <c r="P30" s="54" t="n">
        <f aca="false">IFERROR(P20-P28,0)</f>
        <v>0</v>
      </c>
      <c r="Q30" s="54" t="n">
        <f aca="false">IFERROR(Q20-Q28,0)</f>
        <v>0</v>
      </c>
      <c r="R30" s="54" t="n">
        <f aca="false">IFERROR(R20-R28,0)</f>
        <v>0</v>
      </c>
      <c r="S30" s="54" t="n">
        <f aca="false">IFERROR(S20-S28,0)</f>
        <v>0</v>
      </c>
      <c r="T30" s="54" t="n">
        <f aca="false">IFERROR(T20-T28,0)</f>
        <v>0</v>
      </c>
      <c r="U30" s="54" t="n">
        <f aca="false">IFERROR(U20-U28,0)</f>
        <v>0</v>
      </c>
      <c r="V30" s="54" t="n">
        <f aca="false">IFERROR(V20-V28,0)</f>
        <v>0</v>
      </c>
      <c r="W30" s="54" t="n">
        <f aca="false">IFERROR(W20-W28,0)</f>
        <v>0</v>
      </c>
      <c r="X30" s="54" t="n">
        <f aca="false">IFERROR(X20-X28,0)</f>
        <v>0</v>
      </c>
      <c r="Y30" s="54" t="n">
        <f aca="false">IFERROR(Y20-Y28,0)</f>
        <v>0</v>
      </c>
      <c r="Z30" s="54" t="n">
        <f aca="false">IFERROR(Z20-Z28,0)</f>
        <v>0</v>
      </c>
      <c r="AA30" s="54" t="n">
        <f aca="false">IFERROR(AA20-AA28,0)</f>
        <v>0</v>
      </c>
      <c r="AB30" s="54" t="n">
        <f aca="false">IFERROR(AB20-AB28,0)</f>
        <v>0</v>
      </c>
      <c r="AC30" s="54" t="n">
        <f aca="false">IFERROR(AC20-AC28,0)</f>
        <v>0</v>
      </c>
      <c r="AD30" s="54" t="n">
        <f aca="false">IFERROR(AD20-AD28,0)</f>
        <v>0</v>
      </c>
      <c r="AE30" s="54" t="n">
        <f aca="false">IFERROR(AE20-AE28,0)</f>
        <v>0</v>
      </c>
      <c r="AF30" s="54" t="n">
        <f aca="false">IFERROR(AF20-AF28,0)</f>
        <v>0</v>
      </c>
      <c r="AG30" s="54" t="n">
        <f aca="false">IFERROR(AG20-AG28,0)</f>
        <v>0</v>
      </c>
      <c r="AH30" s="54" t="n">
        <f aca="false">IFERROR(AH20-AH28,0)</f>
        <v>0</v>
      </c>
      <c r="AI30" s="54" t="n">
        <f aca="false">IFERROR(AI20-AI28,0)</f>
        <v>0</v>
      </c>
      <c r="AJ30" s="54" t="n">
        <f aca="false">IFERROR(AJ20-AJ28,0)</f>
        <v>0</v>
      </c>
      <c r="AK30" s="54" t="n">
        <f aca="false">IFERROR(AK20-AK28,0)</f>
        <v>0</v>
      </c>
      <c r="AL30" s="54" t="n">
        <f aca="false">IFERROR(AL20-AL28,0)</f>
        <v>0</v>
      </c>
      <c r="AM30" s="54" t="n">
        <f aca="false">IFERROR(AM20-AM28,0)</f>
        <v>0</v>
      </c>
      <c r="AN30" s="54" t="n">
        <f aca="false">IFERROR(AN20-AN28,0)</f>
        <v>0</v>
      </c>
      <c r="AO30" s="54" t="n">
        <f aca="false">IFERROR(AO20-AO28,0)</f>
        <v>0</v>
      </c>
      <c r="AP30" s="54" t="n">
        <f aca="false">IFERROR(AP20-AP28,0)</f>
        <v>0</v>
      </c>
      <c r="AQ30" s="54" t="n">
        <f aca="false">IFERROR(AQ20-AQ28,0)</f>
        <v>0</v>
      </c>
      <c r="AR30" s="54" t="n">
        <f aca="false">IFERROR(AR20-AR28,0)</f>
        <v>0</v>
      </c>
      <c r="AS30" s="54" t="n">
        <f aca="false">IFERROR(AS20-AS28,0)</f>
        <v>0</v>
      </c>
      <c r="AT30" s="54" t="n">
        <f aca="false">IFERROR(AT20-AT28,0)</f>
        <v>0</v>
      </c>
      <c r="AU30" s="54" t="n">
        <f aca="false">IFERROR(AU20-AU28,0)</f>
        <v>0</v>
      </c>
      <c r="AV30" s="54" t="n">
        <f aca="false">IFERROR(AV20-AV28,0)</f>
        <v>0</v>
      </c>
      <c r="AW30" s="54" t="n">
        <f aca="false">IFERROR(AW20-AW28,0)</f>
        <v>0</v>
      </c>
      <c r="AX30" s="54" t="n">
        <f aca="false">IFERROR(AX20-AX28,0)</f>
        <v>0</v>
      </c>
      <c r="AY30" s="54" t="n">
        <f aca="false">IFERROR(AY20-AY28,0)</f>
        <v>0</v>
      </c>
      <c r="AZ30" s="54" t="n">
        <f aca="false">IFERROR(AZ20-AZ28,0)</f>
        <v>0</v>
      </c>
      <c r="BA30" s="54" t="n">
        <f aca="false">IFERROR(BA20-BA28,0)</f>
        <v>0</v>
      </c>
      <c r="BB30" s="54" t="n">
        <f aca="false">IFERROR(BB20-BB28,0)</f>
        <v>0</v>
      </c>
      <c r="BC30" s="54" t="n">
        <f aca="false">IFERROR(BC20-BC28,0)</f>
        <v>0</v>
      </c>
      <c r="BD30" s="54" t="n">
        <f aca="false">IFERROR(BD20-BD28,0)</f>
        <v>0</v>
      </c>
      <c r="BE30" s="54" t="n">
        <f aca="false">IFERROR(BE20-BE28,0)</f>
        <v>0</v>
      </c>
      <c r="BF30" s="54" t="n">
        <f aca="false">IFERROR(BF20-BF28,0)</f>
        <v>0</v>
      </c>
      <c r="BG30" s="54" t="n">
        <f aca="false">IFERROR(BG20-BG28,0)</f>
        <v>0</v>
      </c>
      <c r="BH30" s="54" t="n">
        <f aca="false">IFERROR(BH20-BH28,0)</f>
        <v>0</v>
      </c>
      <c r="BI30" s="54" t="n">
        <f aca="false">IFERROR(BI20-BI28,0)</f>
        <v>0</v>
      </c>
      <c r="BJ30" s="54" t="n">
        <f aca="false">IFERROR(BJ20-BJ28,0)</f>
        <v>0</v>
      </c>
    </row>
    <row r="31" customFormat="false" ht="15" hidden="false" customHeight="false" outlineLevel="0" collapsed="false">
      <c r="A31" s="42" t="s">
        <v>248</v>
      </c>
      <c r="B31" s="49" t="s">
        <v>73</v>
      </c>
      <c r="C31" s="62" t="n">
        <f aca="false">IFERROR(IF(C13=0,0,C30/C13),0)</f>
        <v>0</v>
      </c>
      <c r="D31" s="62" t="n">
        <f aca="false">IFERROR(IF(D13=0,0,D30/D13),0)</f>
        <v>0</v>
      </c>
      <c r="E31" s="62" t="n">
        <f aca="false">IFERROR(IF(E13=0,0,E30/E13),0)</f>
        <v>0</v>
      </c>
      <c r="F31" s="62" t="n">
        <f aca="false">IFERROR(IF(F13=0,0,F30/F13),0)</f>
        <v>0</v>
      </c>
      <c r="G31" s="62" t="n">
        <f aca="false">IFERROR(IF(G13=0,0,G30/G13),0)</f>
        <v>0</v>
      </c>
      <c r="H31" s="62" t="n">
        <f aca="false">IFERROR(IF(H13=0,0,H30/H13),0)</f>
        <v>0</v>
      </c>
      <c r="I31" s="62" t="n">
        <f aca="false">IFERROR(IF(I13=0,0,I30/I13),0)</f>
        <v>0</v>
      </c>
      <c r="J31" s="62" t="n">
        <f aca="false">IFERROR(IF(J13=0,0,J30/J13),0)</f>
        <v>0</v>
      </c>
      <c r="K31" s="62" t="n">
        <f aca="false">IFERROR(IF(K13=0,0,K30/K13),0)</f>
        <v>0</v>
      </c>
      <c r="L31" s="62" t="n">
        <f aca="false">IFERROR(IF(L13=0,0,L30/L13),0)</f>
        <v>0</v>
      </c>
      <c r="M31" s="62" t="n">
        <f aca="false">IFERROR(IF(M13=0,0,M30/M13),0)</f>
        <v>0</v>
      </c>
      <c r="N31" s="62" t="n">
        <f aca="false">IFERROR(IF(N13=0,0,N30/N13),0)</f>
        <v>0</v>
      </c>
      <c r="O31" s="62" t="n">
        <f aca="false">IFERROR(IF(O13=0,0,O30/O13),0)</f>
        <v>0</v>
      </c>
      <c r="P31" s="62" t="n">
        <f aca="false">IFERROR(IF(P13=0,0,P30/P13),0)</f>
        <v>0</v>
      </c>
      <c r="Q31" s="62" t="n">
        <f aca="false">IFERROR(IF(Q13=0,0,Q30/Q13),0)</f>
        <v>0</v>
      </c>
      <c r="R31" s="62" t="n">
        <f aca="false">IFERROR(IF(R13=0,0,R30/R13),0)</f>
        <v>0</v>
      </c>
      <c r="S31" s="62" t="n">
        <f aca="false">IFERROR(IF(S13=0,0,S30/S13),0)</f>
        <v>0</v>
      </c>
      <c r="T31" s="62" t="n">
        <f aca="false">IFERROR(IF(T13=0,0,T30/T13),0)</f>
        <v>0</v>
      </c>
      <c r="U31" s="62" t="n">
        <f aca="false">IFERROR(IF(U13=0,0,U30/U13),0)</f>
        <v>0</v>
      </c>
      <c r="V31" s="62" t="n">
        <f aca="false">IFERROR(IF(V13=0,0,V30/V13),0)</f>
        <v>0</v>
      </c>
      <c r="W31" s="62" t="n">
        <f aca="false">IFERROR(IF(W13=0,0,W30/W13),0)</f>
        <v>0</v>
      </c>
      <c r="X31" s="62" t="n">
        <f aca="false">IFERROR(IF(X13=0,0,X30/X13),0)</f>
        <v>0</v>
      </c>
      <c r="Y31" s="62" t="n">
        <f aca="false">IFERROR(IF(Y13=0,0,Y30/Y13),0)</f>
        <v>0</v>
      </c>
      <c r="Z31" s="62" t="n">
        <f aca="false">IFERROR(IF(Z13=0,0,Z30/Z13),0)</f>
        <v>0</v>
      </c>
      <c r="AA31" s="62" t="n">
        <f aca="false">IFERROR(IF(AA13=0,0,AA30/AA13),0)</f>
        <v>0</v>
      </c>
      <c r="AB31" s="62" t="n">
        <f aca="false">IFERROR(IF(AB13=0,0,AB30/AB13),0)</f>
        <v>0</v>
      </c>
      <c r="AC31" s="62" t="n">
        <f aca="false">IFERROR(IF(AC13=0,0,AC30/AC13),0)</f>
        <v>0</v>
      </c>
      <c r="AD31" s="62" t="n">
        <f aca="false">IFERROR(IF(AD13=0,0,AD30/AD13),0)</f>
        <v>0</v>
      </c>
      <c r="AE31" s="62" t="n">
        <f aca="false">IFERROR(IF(AE13=0,0,AE30/AE13),0)</f>
        <v>0</v>
      </c>
      <c r="AF31" s="62" t="n">
        <f aca="false">IFERROR(IF(AF13=0,0,AF30/AF13),0)</f>
        <v>0</v>
      </c>
      <c r="AG31" s="62" t="n">
        <f aca="false">IFERROR(IF(AG13=0,0,AG30/AG13),0)</f>
        <v>0</v>
      </c>
      <c r="AH31" s="62" t="n">
        <f aca="false">IFERROR(IF(AH13=0,0,AH30/AH13),0)</f>
        <v>0</v>
      </c>
      <c r="AI31" s="62" t="n">
        <f aca="false">IFERROR(IF(AI13=0,0,AI30/AI13),0)</f>
        <v>0</v>
      </c>
      <c r="AJ31" s="62" t="n">
        <f aca="false">IFERROR(IF(AJ13=0,0,AJ30/AJ13),0)</f>
        <v>0</v>
      </c>
      <c r="AK31" s="62" t="n">
        <f aca="false">IFERROR(IF(AK13=0,0,AK30/AK13),0)</f>
        <v>0</v>
      </c>
      <c r="AL31" s="62" t="n">
        <f aca="false">IFERROR(IF(AL13=0,0,AL30/AL13),0)</f>
        <v>0</v>
      </c>
      <c r="AM31" s="62" t="n">
        <f aca="false">IFERROR(IF(AM13=0,0,AM30/AM13),0)</f>
        <v>0</v>
      </c>
      <c r="AN31" s="62" t="n">
        <f aca="false">IFERROR(IF(AN13=0,0,AN30/AN13),0)</f>
        <v>0</v>
      </c>
      <c r="AO31" s="62" t="n">
        <f aca="false">IFERROR(IF(AO13=0,0,AO30/AO13),0)</f>
        <v>0</v>
      </c>
      <c r="AP31" s="62" t="n">
        <f aca="false">IFERROR(IF(AP13=0,0,AP30/AP13),0)</f>
        <v>0</v>
      </c>
      <c r="AQ31" s="62" t="n">
        <f aca="false">IFERROR(IF(AQ13=0,0,AQ30/AQ13),0)</f>
        <v>0</v>
      </c>
      <c r="AR31" s="62" t="n">
        <f aca="false">IFERROR(IF(AR13=0,0,AR30/AR13),0)</f>
        <v>0</v>
      </c>
      <c r="AS31" s="62" t="n">
        <f aca="false">IFERROR(IF(AS13=0,0,AS30/AS13),0)</f>
        <v>0</v>
      </c>
      <c r="AT31" s="62" t="n">
        <f aca="false">IFERROR(IF(AT13=0,0,AT30/AT13),0)</f>
        <v>0</v>
      </c>
      <c r="AU31" s="62" t="n">
        <f aca="false">IFERROR(IF(AU13=0,0,AU30/AU13),0)</f>
        <v>0</v>
      </c>
      <c r="AV31" s="62" t="n">
        <f aca="false">IFERROR(IF(AV13=0,0,AV30/AV13),0)</f>
        <v>0</v>
      </c>
      <c r="AW31" s="62" t="n">
        <f aca="false">IFERROR(IF(AW13=0,0,AW30/AW13),0)</f>
        <v>0</v>
      </c>
      <c r="AX31" s="62" t="n">
        <f aca="false">IFERROR(IF(AX13=0,0,AX30/AX13),0)</f>
        <v>0</v>
      </c>
      <c r="AY31" s="62" t="n">
        <f aca="false">IFERROR(IF(AY13=0,0,AY30/AY13),0)</f>
        <v>0</v>
      </c>
      <c r="AZ31" s="62" t="n">
        <f aca="false">IFERROR(IF(AZ13=0,0,AZ30/AZ13),0)</f>
        <v>0</v>
      </c>
      <c r="BA31" s="62" t="n">
        <f aca="false">IFERROR(IF(BA13=0,0,BA30/BA13),0)</f>
        <v>0</v>
      </c>
      <c r="BB31" s="62" t="n">
        <f aca="false">IFERROR(IF(BB13=0,0,BB30/BB13),0)</f>
        <v>0</v>
      </c>
      <c r="BC31" s="62" t="n">
        <f aca="false">IFERROR(IF(BC13=0,0,BC30/BC13),0)</f>
        <v>0</v>
      </c>
      <c r="BD31" s="62" t="n">
        <f aca="false">IFERROR(IF(BD13=0,0,BD30/BD13),0)</f>
        <v>0</v>
      </c>
      <c r="BE31" s="62" t="n">
        <f aca="false">IFERROR(IF(BE13=0,0,BE30/BE13),0)</f>
        <v>0</v>
      </c>
      <c r="BF31" s="62" t="n">
        <f aca="false">IFERROR(IF(BF13=0,0,BF30/BF13),0)</f>
        <v>0</v>
      </c>
      <c r="BG31" s="62" t="n">
        <f aca="false">IFERROR(IF(BG13=0,0,BG30/BG13),0)</f>
        <v>0</v>
      </c>
      <c r="BH31" s="62" t="n">
        <f aca="false">IFERROR(IF(BH13=0,0,BH30/BH13),0)</f>
        <v>0</v>
      </c>
      <c r="BI31" s="62" t="n">
        <f aca="false">IFERROR(IF(BI13=0,0,BI30/BI13),0)</f>
        <v>0</v>
      </c>
      <c r="BJ31" s="62" t="n">
        <f aca="false">IFERROR(IF(BJ13=0,0,BJ30/BJ13),0)</f>
        <v>0</v>
      </c>
    </row>
    <row r="32" customFormat="false" ht="15" hidden="false" customHeight="false" outlineLevel="0" collapsed="false">
      <c r="A32" s="42" t="s">
        <v>29</v>
      </c>
      <c r="B32" s="49" t="s">
        <v>88</v>
      </c>
      <c r="C32" s="55" t="n">
        <f aca="false">IFERROR(Depreciation!C9,0)</f>
        <v>0</v>
      </c>
      <c r="D32" s="55" t="n">
        <f aca="false">IFERROR(Depreciation!D9,0)</f>
        <v>0</v>
      </c>
      <c r="E32" s="55" t="n">
        <f aca="false">IFERROR(Depreciation!E9,0)</f>
        <v>0</v>
      </c>
      <c r="F32" s="55" t="n">
        <f aca="false">IFERROR(Depreciation!F9,0)</f>
        <v>0</v>
      </c>
      <c r="G32" s="55" t="n">
        <f aca="false">IFERROR(Depreciation!G9,0)</f>
        <v>0</v>
      </c>
      <c r="H32" s="55" t="n">
        <f aca="false">IFERROR(Depreciation!H9,0)</f>
        <v>0</v>
      </c>
      <c r="I32" s="55" t="n">
        <f aca="false">IFERROR(Depreciation!I9,0)</f>
        <v>0</v>
      </c>
      <c r="J32" s="55" t="n">
        <f aca="false">IFERROR(Depreciation!J9,0)</f>
        <v>0</v>
      </c>
      <c r="K32" s="55" t="n">
        <f aca="false">IFERROR(Depreciation!K9,0)</f>
        <v>0</v>
      </c>
      <c r="L32" s="55" t="n">
        <f aca="false">IFERROR(Depreciation!L9,0)</f>
        <v>0</v>
      </c>
      <c r="M32" s="55" t="n">
        <f aca="false">IFERROR(Depreciation!M9,0)</f>
        <v>0</v>
      </c>
      <c r="N32" s="55" t="n">
        <f aca="false">IFERROR(Depreciation!N9,0)</f>
        <v>0</v>
      </c>
      <c r="O32" s="55" t="n">
        <f aca="false">IFERROR(Depreciation!O9,0)</f>
        <v>0</v>
      </c>
      <c r="P32" s="55" t="n">
        <f aca="false">IFERROR(Depreciation!P9,0)</f>
        <v>0</v>
      </c>
      <c r="Q32" s="55" t="n">
        <f aca="false">IFERROR(Depreciation!Q9,0)</f>
        <v>0</v>
      </c>
      <c r="R32" s="55" t="n">
        <f aca="false">IFERROR(Depreciation!R9,0)</f>
        <v>0</v>
      </c>
      <c r="S32" s="55" t="n">
        <f aca="false">IFERROR(Depreciation!S9,0)</f>
        <v>0</v>
      </c>
      <c r="T32" s="55" t="n">
        <f aca="false">IFERROR(Depreciation!T9,0)</f>
        <v>0</v>
      </c>
      <c r="U32" s="55" t="n">
        <f aca="false">IFERROR(Depreciation!U9,0)</f>
        <v>0</v>
      </c>
      <c r="V32" s="55" t="n">
        <f aca="false">IFERROR(Depreciation!V9,0)</f>
        <v>0</v>
      </c>
      <c r="W32" s="55" t="n">
        <f aca="false">IFERROR(Depreciation!W9,0)</f>
        <v>0</v>
      </c>
      <c r="X32" s="55" t="n">
        <f aca="false">IFERROR(Depreciation!X9,0)</f>
        <v>0</v>
      </c>
      <c r="Y32" s="55" t="n">
        <f aca="false">IFERROR(Depreciation!Y9,0)</f>
        <v>0</v>
      </c>
      <c r="Z32" s="55" t="n">
        <f aca="false">IFERROR(Depreciation!Z9,0)</f>
        <v>0</v>
      </c>
      <c r="AA32" s="55" t="n">
        <f aca="false">IFERROR(Depreciation!AA9,0)</f>
        <v>0</v>
      </c>
      <c r="AB32" s="55" t="n">
        <f aca="false">IFERROR(Depreciation!AB9,0)</f>
        <v>0</v>
      </c>
      <c r="AC32" s="55" t="n">
        <f aca="false">IFERROR(Depreciation!AC9,0)</f>
        <v>0</v>
      </c>
      <c r="AD32" s="55" t="n">
        <f aca="false">IFERROR(Depreciation!AD9,0)</f>
        <v>0</v>
      </c>
      <c r="AE32" s="55" t="n">
        <f aca="false">IFERROR(Depreciation!AE9,0)</f>
        <v>0</v>
      </c>
      <c r="AF32" s="55" t="n">
        <f aca="false">IFERROR(Depreciation!AF9,0)</f>
        <v>0</v>
      </c>
      <c r="AG32" s="55" t="n">
        <f aca="false">IFERROR(Depreciation!AG9,0)</f>
        <v>0</v>
      </c>
      <c r="AH32" s="55" t="n">
        <f aca="false">IFERROR(Depreciation!AH9,0)</f>
        <v>0</v>
      </c>
      <c r="AI32" s="55" t="n">
        <f aca="false">IFERROR(Depreciation!AI9,0)</f>
        <v>0</v>
      </c>
      <c r="AJ32" s="55" t="n">
        <f aca="false">IFERROR(Depreciation!AJ9,0)</f>
        <v>0</v>
      </c>
      <c r="AK32" s="55" t="n">
        <f aca="false">IFERROR(Depreciation!AK9,0)</f>
        <v>0</v>
      </c>
      <c r="AL32" s="55" t="n">
        <f aca="false">IFERROR(Depreciation!AL9,0)</f>
        <v>0</v>
      </c>
      <c r="AM32" s="55" t="n">
        <f aca="false">IFERROR(Depreciation!AM9,0)</f>
        <v>0</v>
      </c>
      <c r="AN32" s="55" t="n">
        <f aca="false">IFERROR(Depreciation!AN9,0)</f>
        <v>0</v>
      </c>
      <c r="AO32" s="55" t="n">
        <f aca="false">IFERROR(Depreciation!AO9,0)</f>
        <v>0</v>
      </c>
      <c r="AP32" s="55" t="n">
        <f aca="false">IFERROR(Depreciation!AP9,0)</f>
        <v>0</v>
      </c>
      <c r="AQ32" s="55" t="n">
        <f aca="false">IFERROR(Depreciation!AQ9,0)</f>
        <v>0</v>
      </c>
      <c r="AR32" s="55" t="n">
        <f aca="false">IFERROR(Depreciation!AR9,0)</f>
        <v>0</v>
      </c>
      <c r="AS32" s="55" t="n">
        <f aca="false">IFERROR(Depreciation!AS9,0)</f>
        <v>0</v>
      </c>
      <c r="AT32" s="55" t="n">
        <f aca="false">IFERROR(Depreciation!AT9,0)</f>
        <v>0</v>
      </c>
      <c r="AU32" s="55" t="n">
        <f aca="false">IFERROR(Depreciation!AU9,0)</f>
        <v>0</v>
      </c>
      <c r="AV32" s="55" t="n">
        <f aca="false">IFERROR(Depreciation!AV9,0)</f>
        <v>0</v>
      </c>
      <c r="AW32" s="55" t="n">
        <f aca="false">IFERROR(Depreciation!AW9,0)</f>
        <v>0</v>
      </c>
      <c r="AX32" s="55" t="n">
        <f aca="false">IFERROR(Depreciation!AX9,0)</f>
        <v>0</v>
      </c>
      <c r="AY32" s="55" t="n">
        <f aca="false">IFERROR(Depreciation!AY9,0)</f>
        <v>0</v>
      </c>
      <c r="AZ32" s="55" t="n">
        <f aca="false">IFERROR(Depreciation!AZ9,0)</f>
        <v>0</v>
      </c>
      <c r="BA32" s="55" t="n">
        <f aca="false">IFERROR(Depreciation!BA9,0)</f>
        <v>0</v>
      </c>
      <c r="BB32" s="55" t="n">
        <f aca="false">IFERROR(Depreciation!BB9,0)</f>
        <v>0</v>
      </c>
      <c r="BC32" s="55" t="n">
        <f aca="false">IFERROR(Depreciation!BC9,0)</f>
        <v>0</v>
      </c>
      <c r="BD32" s="55" t="n">
        <f aca="false">IFERROR(Depreciation!BD9,0)</f>
        <v>0</v>
      </c>
      <c r="BE32" s="55" t="n">
        <f aca="false">IFERROR(Depreciation!BE9,0)</f>
        <v>0</v>
      </c>
      <c r="BF32" s="55" t="n">
        <f aca="false">IFERROR(Depreciation!BF9,0)</f>
        <v>0</v>
      </c>
      <c r="BG32" s="55" t="n">
        <f aca="false">IFERROR(Depreciation!BG9,0)</f>
        <v>0</v>
      </c>
      <c r="BH32" s="55" t="n">
        <f aca="false">IFERROR(Depreciation!BH9,0)</f>
        <v>0</v>
      </c>
      <c r="BI32" s="55" t="n">
        <f aca="false">IFERROR(Depreciation!BI9,0)</f>
        <v>0</v>
      </c>
      <c r="BJ32" s="55" t="n">
        <f aca="false">IFERROR(Depreciation!BJ9,0)</f>
        <v>0</v>
      </c>
    </row>
    <row r="33" customFormat="false" ht="15" hidden="false" customHeight="false" outlineLevel="0" collapsed="false">
      <c r="A33" s="6" t="s">
        <v>249</v>
      </c>
      <c r="B33" s="49" t="s">
        <v>88</v>
      </c>
      <c r="C33" s="50" t="n">
        <f aca="false">IFERROR(C30-C32,0)</f>
        <v>0</v>
      </c>
      <c r="D33" s="50" t="n">
        <f aca="false">IFERROR(D30-D32,0)</f>
        <v>0</v>
      </c>
      <c r="E33" s="50" t="n">
        <f aca="false">IFERROR(E30-E32,0)</f>
        <v>0</v>
      </c>
      <c r="F33" s="50" t="n">
        <f aca="false">IFERROR(F30-F32,0)</f>
        <v>0</v>
      </c>
      <c r="G33" s="50" t="n">
        <f aca="false">IFERROR(G30-G32,0)</f>
        <v>0</v>
      </c>
      <c r="H33" s="50" t="n">
        <f aca="false">IFERROR(H30-H32,0)</f>
        <v>0</v>
      </c>
      <c r="I33" s="50" t="n">
        <f aca="false">IFERROR(I30-I32,0)</f>
        <v>0</v>
      </c>
      <c r="J33" s="50" t="n">
        <f aca="false">IFERROR(J30-J32,0)</f>
        <v>0</v>
      </c>
      <c r="K33" s="50" t="n">
        <f aca="false">IFERROR(K30-K32,0)</f>
        <v>0</v>
      </c>
      <c r="L33" s="50" t="n">
        <f aca="false">IFERROR(L30-L32,0)</f>
        <v>0</v>
      </c>
      <c r="M33" s="50" t="n">
        <f aca="false">IFERROR(M30-M32,0)</f>
        <v>0</v>
      </c>
      <c r="N33" s="50" t="n">
        <f aca="false">IFERROR(N30-N32,0)</f>
        <v>0</v>
      </c>
      <c r="O33" s="50" t="n">
        <f aca="false">IFERROR(O30-O32,0)</f>
        <v>0</v>
      </c>
      <c r="P33" s="50" t="n">
        <f aca="false">IFERROR(P30-P32,0)</f>
        <v>0</v>
      </c>
      <c r="Q33" s="50" t="n">
        <f aca="false">IFERROR(Q30-Q32,0)</f>
        <v>0</v>
      </c>
      <c r="R33" s="50" t="n">
        <f aca="false">IFERROR(R30-R32,0)</f>
        <v>0</v>
      </c>
      <c r="S33" s="50" t="n">
        <f aca="false">IFERROR(S30-S32,0)</f>
        <v>0</v>
      </c>
      <c r="T33" s="50" t="n">
        <f aca="false">IFERROR(T30-T32,0)</f>
        <v>0</v>
      </c>
      <c r="U33" s="50" t="n">
        <f aca="false">IFERROR(U30-U32,0)</f>
        <v>0</v>
      </c>
      <c r="V33" s="50" t="n">
        <f aca="false">IFERROR(V30-V32,0)</f>
        <v>0</v>
      </c>
      <c r="W33" s="50" t="n">
        <f aca="false">IFERROR(W30-W32,0)</f>
        <v>0</v>
      </c>
      <c r="X33" s="50" t="n">
        <f aca="false">IFERROR(X30-X32,0)</f>
        <v>0</v>
      </c>
      <c r="Y33" s="50" t="n">
        <f aca="false">IFERROR(Y30-Y32,0)</f>
        <v>0</v>
      </c>
      <c r="Z33" s="50" t="n">
        <f aca="false">IFERROR(Z30-Z32,0)</f>
        <v>0</v>
      </c>
      <c r="AA33" s="50" t="n">
        <f aca="false">IFERROR(AA30-AA32,0)</f>
        <v>0</v>
      </c>
      <c r="AB33" s="50" t="n">
        <f aca="false">IFERROR(AB30-AB32,0)</f>
        <v>0</v>
      </c>
      <c r="AC33" s="50" t="n">
        <f aca="false">IFERROR(AC30-AC32,0)</f>
        <v>0</v>
      </c>
      <c r="AD33" s="50" t="n">
        <f aca="false">IFERROR(AD30-AD32,0)</f>
        <v>0</v>
      </c>
      <c r="AE33" s="50" t="n">
        <f aca="false">IFERROR(AE30-AE32,0)</f>
        <v>0</v>
      </c>
      <c r="AF33" s="50" t="n">
        <f aca="false">IFERROR(AF30-AF32,0)</f>
        <v>0</v>
      </c>
      <c r="AG33" s="50" t="n">
        <f aca="false">IFERROR(AG30-AG32,0)</f>
        <v>0</v>
      </c>
      <c r="AH33" s="50" t="n">
        <f aca="false">IFERROR(AH30-AH32,0)</f>
        <v>0</v>
      </c>
      <c r="AI33" s="50" t="n">
        <f aca="false">IFERROR(AI30-AI32,0)</f>
        <v>0</v>
      </c>
      <c r="AJ33" s="50" t="n">
        <f aca="false">IFERROR(AJ30-AJ32,0)</f>
        <v>0</v>
      </c>
      <c r="AK33" s="50" t="n">
        <f aca="false">IFERROR(AK30-AK32,0)</f>
        <v>0</v>
      </c>
      <c r="AL33" s="50" t="n">
        <f aca="false">IFERROR(AL30-AL32,0)</f>
        <v>0</v>
      </c>
      <c r="AM33" s="50" t="n">
        <f aca="false">IFERROR(AM30-AM32,0)</f>
        <v>0</v>
      </c>
      <c r="AN33" s="50" t="n">
        <f aca="false">IFERROR(AN30-AN32,0)</f>
        <v>0</v>
      </c>
      <c r="AO33" s="50" t="n">
        <f aca="false">IFERROR(AO30-AO32,0)</f>
        <v>0</v>
      </c>
      <c r="AP33" s="50" t="n">
        <f aca="false">IFERROR(AP30-AP32,0)</f>
        <v>0</v>
      </c>
      <c r="AQ33" s="50" t="n">
        <f aca="false">IFERROR(AQ30-AQ32,0)</f>
        <v>0</v>
      </c>
      <c r="AR33" s="50" t="n">
        <f aca="false">IFERROR(AR30-AR32,0)</f>
        <v>0</v>
      </c>
      <c r="AS33" s="50" t="n">
        <f aca="false">IFERROR(AS30-AS32,0)</f>
        <v>0</v>
      </c>
      <c r="AT33" s="50" t="n">
        <f aca="false">IFERROR(AT30-AT32,0)</f>
        <v>0</v>
      </c>
      <c r="AU33" s="50" t="n">
        <f aca="false">IFERROR(AU30-AU32,0)</f>
        <v>0</v>
      </c>
      <c r="AV33" s="50" t="n">
        <f aca="false">IFERROR(AV30-AV32,0)</f>
        <v>0</v>
      </c>
      <c r="AW33" s="50" t="n">
        <f aca="false">IFERROR(AW30-AW32,0)</f>
        <v>0</v>
      </c>
      <c r="AX33" s="50" t="n">
        <f aca="false">IFERROR(AX30-AX32,0)</f>
        <v>0</v>
      </c>
      <c r="AY33" s="50" t="n">
        <f aca="false">IFERROR(AY30-AY32,0)</f>
        <v>0</v>
      </c>
      <c r="AZ33" s="50" t="n">
        <f aca="false">IFERROR(AZ30-AZ32,0)</f>
        <v>0</v>
      </c>
      <c r="BA33" s="50" t="n">
        <f aca="false">IFERROR(BA30-BA32,0)</f>
        <v>0</v>
      </c>
      <c r="BB33" s="50" t="n">
        <f aca="false">IFERROR(BB30-BB32,0)</f>
        <v>0</v>
      </c>
      <c r="BC33" s="50" t="n">
        <f aca="false">IFERROR(BC30-BC32,0)</f>
        <v>0</v>
      </c>
      <c r="BD33" s="50" t="n">
        <f aca="false">IFERROR(BD30-BD32,0)</f>
        <v>0</v>
      </c>
      <c r="BE33" s="50" t="n">
        <f aca="false">IFERROR(BE30-BE32,0)</f>
        <v>0</v>
      </c>
      <c r="BF33" s="50" t="n">
        <f aca="false">IFERROR(BF30-BF32,0)</f>
        <v>0</v>
      </c>
      <c r="BG33" s="50" t="n">
        <f aca="false">IFERROR(BG30-BG32,0)</f>
        <v>0</v>
      </c>
      <c r="BH33" s="50" t="n">
        <f aca="false">IFERROR(BH30-BH32,0)</f>
        <v>0</v>
      </c>
      <c r="BI33" s="50" t="n">
        <f aca="false">IFERROR(BI30-BI32,0)</f>
        <v>0</v>
      </c>
      <c r="BJ33" s="50" t="n">
        <f aca="false">IFERROR(BJ30-BJ32,0)</f>
        <v>0</v>
      </c>
    </row>
    <row r="34" customFormat="false" ht="15" hidden="false" customHeight="false" outlineLevel="0" collapsed="false">
      <c r="A34" s="59" t="s">
        <v>250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</row>
    <row r="35" customFormat="false" ht="15" hidden="false" customHeight="false" outlineLevel="0" collapsed="false">
      <c r="A35" s="42" t="s">
        <v>251</v>
      </c>
      <c r="B35" s="49" t="s">
        <v>88</v>
      </c>
      <c r="C35" s="51" t="n">
        <f aca="false">IFERROR(C13*Assumptions!$C$57/30,0)</f>
        <v>0</v>
      </c>
      <c r="D35" s="51" t="n">
        <f aca="false">IFERROR(D13*Assumptions!$C$57/30,0)</f>
        <v>0</v>
      </c>
      <c r="E35" s="51" t="n">
        <f aca="false">IFERROR(E13*Assumptions!$C$57/30,0)</f>
        <v>0</v>
      </c>
      <c r="F35" s="51" t="n">
        <f aca="false">IFERROR(F13*Assumptions!$C$57/30,0)</f>
        <v>0</v>
      </c>
      <c r="G35" s="51" t="n">
        <f aca="false">IFERROR(G13*Assumptions!$C$57/30,0)</f>
        <v>0</v>
      </c>
      <c r="H35" s="51" t="n">
        <f aca="false">IFERROR(H13*Assumptions!$C$57/30,0)</f>
        <v>0</v>
      </c>
      <c r="I35" s="51" t="n">
        <f aca="false">IFERROR(I13*Assumptions!$C$57/30,0)</f>
        <v>0</v>
      </c>
      <c r="J35" s="51" t="n">
        <f aca="false">IFERROR(J13*Assumptions!$C$57/30,0)</f>
        <v>0</v>
      </c>
      <c r="K35" s="51" t="n">
        <f aca="false">IFERROR(K13*Assumptions!$C$57/30,0)</f>
        <v>0</v>
      </c>
      <c r="L35" s="51" t="n">
        <f aca="false">IFERROR(L13*Assumptions!$C$57/30,0)</f>
        <v>0</v>
      </c>
      <c r="M35" s="51" t="n">
        <f aca="false">IFERROR(M13*Assumptions!$C$57/30,0)</f>
        <v>0</v>
      </c>
      <c r="N35" s="51" t="n">
        <f aca="false">IFERROR(N13*Assumptions!$C$57/30,0)</f>
        <v>0</v>
      </c>
      <c r="O35" s="51" t="n">
        <f aca="false">IFERROR(O13*Assumptions!$C$57/30,0)</f>
        <v>0</v>
      </c>
      <c r="P35" s="51" t="n">
        <f aca="false">IFERROR(P13*Assumptions!$C$57/30,0)</f>
        <v>0</v>
      </c>
      <c r="Q35" s="51" t="n">
        <f aca="false">IFERROR(Q13*Assumptions!$C$57/30,0)</f>
        <v>0</v>
      </c>
      <c r="R35" s="51" t="n">
        <f aca="false">IFERROR(R13*Assumptions!$C$57/30,0)</f>
        <v>0</v>
      </c>
      <c r="S35" s="51" t="n">
        <f aca="false">IFERROR(S13*Assumptions!$C$57/30,0)</f>
        <v>0</v>
      </c>
      <c r="T35" s="51" t="n">
        <f aca="false">IFERROR(T13*Assumptions!$C$57/30,0)</f>
        <v>0</v>
      </c>
      <c r="U35" s="51" t="n">
        <f aca="false">IFERROR(U13*Assumptions!$C$57/30,0)</f>
        <v>0</v>
      </c>
      <c r="V35" s="51" t="n">
        <f aca="false">IFERROR(V13*Assumptions!$C$57/30,0)</f>
        <v>0</v>
      </c>
      <c r="W35" s="51" t="n">
        <f aca="false">IFERROR(W13*Assumptions!$C$57/30,0)</f>
        <v>0</v>
      </c>
      <c r="X35" s="51" t="n">
        <f aca="false">IFERROR(X13*Assumptions!$C$57/30,0)</f>
        <v>0</v>
      </c>
      <c r="Y35" s="51" t="n">
        <f aca="false">IFERROR(Y13*Assumptions!$C$57/30,0)</f>
        <v>0</v>
      </c>
      <c r="Z35" s="51" t="n">
        <f aca="false">IFERROR(Z13*Assumptions!$C$57/30,0)</f>
        <v>0</v>
      </c>
      <c r="AA35" s="51" t="n">
        <f aca="false">IFERROR(AA13*Assumptions!$C$57/30,0)</f>
        <v>0</v>
      </c>
      <c r="AB35" s="51" t="n">
        <f aca="false">IFERROR(AB13*Assumptions!$C$57/30,0)</f>
        <v>0</v>
      </c>
      <c r="AC35" s="51" t="n">
        <f aca="false">IFERROR(AC13*Assumptions!$C$57/30,0)</f>
        <v>0</v>
      </c>
      <c r="AD35" s="51" t="n">
        <f aca="false">IFERROR(AD13*Assumptions!$C$57/30,0)</f>
        <v>0</v>
      </c>
      <c r="AE35" s="51" t="n">
        <f aca="false">IFERROR(AE13*Assumptions!$C$57/30,0)</f>
        <v>0</v>
      </c>
      <c r="AF35" s="51" t="n">
        <f aca="false">IFERROR(AF13*Assumptions!$C$57/30,0)</f>
        <v>0</v>
      </c>
      <c r="AG35" s="51" t="n">
        <f aca="false">IFERROR(AG13*Assumptions!$C$57/30,0)</f>
        <v>0</v>
      </c>
      <c r="AH35" s="51" t="n">
        <f aca="false">IFERROR(AH13*Assumptions!$C$57/30,0)</f>
        <v>0</v>
      </c>
      <c r="AI35" s="51" t="n">
        <f aca="false">IFERROR(AI13*Assumptions!$C$57/30,0)</f>
        <v>0</v>
      </c>
      <c r="AJ35" s="51" t="n">
        <f aca="false">IFERROR(AJ13*Assumptions!$C$57/30,0)</f>
        <v>0</v>
      </c>
      <c r="AK35" s="51" t="n">
        <f aca="false">IFERROR(AK13*Assumptions!$C$57/30,0)</f>
        <v>0</v>
      </c>
      <c r="AL35" s="51" t="n">
        <f aca="false">IFERROR(AL13*Assumptions!$C$57/30,0)</f>
        <v>0</v>
      </c>
      <c r="AM35" s="51" t="n">
        <f aca="false">IFERROR(AM13*Assumptions!$C$57/30,0)</f>
        <v>0</v>
      </c>
      <c r="AN35" s="51" t="n">
        <f aca="false">IFERROR(AN13*Assumptions!$C$57/30,0)</f>
        <v>0</v>
      </c>
      <c r="AO35" s="51" t="n">
        <f aca="false">IFERROR(AO13*Assumptions!$C$57/30,0)</f>
        <v>0</v>
      </c>
      <c r="AP35" s="51" t="n">
        <f aca="false">IFERROR(AP13*Assumptions!$C$57/30,0)</f>
        <v>0</v>
      </c>
      <c r="AQ35" s="51" t="n">
        <f aca="false">IFERROR(AQ13*Assumptions!$C$57/30,0)</f>
        <v>0</v>
      </c>
      <c r="AR35" s="51" t="n">
        <f aca="false">IFERROR(AR13*Assumptions!$C$57/30,0)</f>
        <v>0</v>
      </c>
      <c r="AS35" s="51" t="n">
        <f aca="false">IFERROR(AS13*Assumptions!$C$57/30,0)</f>
        <v>0</v>
      </c>
      <c r="AT35" s="51" t="n">
        <f aca="false">IFERROR(AT13*Assumptions!$C$57/30,0)</f>
        <v>0</v>
      </c>
      <c r="AU35" s="51" t="n">
        <f aca="false">IFERROR(AU13*Assumptions!$C$57/30,0)</f>
        <v>0</v>
      </c>
      <c r="AV35" s="51" t="n">
        <f aca="false">IFERROR(AV13*Assumptions!$C$57/30,0)</f>
        <v>0</v>
      </c>
      <c r="AW35" s="51" t="n">
        <f aca="false">IFERROR(AW13*Assumptions!$C$57/30,0)</f>
        <v>0</v>
      </c>
      <c r="AX35" s="51" t="n">
        <f aca="false">IFERROR(AX13*Assumptions!$C$57/30,0)</f>
        <v>0</v>
      </c>
      <c r="AY35" s="51" t="n">
        <f aca="false">IFERROR(AY13*Assumptions!$C$57/30,0)</f>
        <v>0</v>
      </c>
      <c r="AZ35" s="51" t="n">
        <f aca="false">IFERROR(AZ13*Assumptions!$C$57/30,0)</f>
        <v>0</v>
      </c>
      <c r="BA35" s="51" t="n">
        <f aca="false">IFERROR(BA13*Assumptions!$C$57/30,0)</f>
        <v>0</v>
      </c>
      <c r="BB35" s="51" t="n">
        <f aca="false">IFERROR(BB13*Assumptions!$C$57/30,0)</f>
        <v>0</v>
      </c>
      <c r="BC35" s="51" t="n">
        <f aca="false">IFERROR(BC13*Assumptions!$C$57/30,0)</f>
        <v>0</v>
      </c>
      <c r="BD35" s="51" t="n">
        <f aca="false">IFERROR(BD13*Assumptions!$C$57/30,0)</f>
        <v>0</v>
      </c>
      <c r="BE35" s="51" t="n">
        <f aca="false">IFERROR(BE13*Assumptions!$C$57/30,0)</f>
        <v>0</v>
      </c>
      <c r="BF35" s="51" t="n">
        <f aca="false">IFERROR(BF13*Assumptions!$C$57/30,0)</f>
        <v>0</v>
      </c>
      <c r="BG35" s="51" t="n">
        <f aca="false">IFERROR(BG13*Assumptions!$C$57/30,0)</f>
        <v>0</v>
      </c>
      <c r="BH35" s="51" t="n">
        <f aca="false">IFERROR(BH13*Assumptions!$C$57/30,0)</f>
        <v>0</v>
      </c>
      <c r="BI35" s="51" t="n">
        <f aca="false">IFERROR(BI13*Assumptions!$C$57/30,0)</f>
        <v>0</v>
      </c>
      <c r="BJ35" s="51" t="n">
        <f aca="false">IFERROR(BJ13*Assumptions!$C$57/30,0)</f>
        <v>0</v>
      </c>
    </row>
    <row r="36" customFormat="false" ht="15" hidden="false" customHeight="false" outlineLevel="0" collapsed="false">
      <c r="A36" s="42" t="s">
        <v>252</v>
      </c>
      <c r="B36" s="49" t="s">
        <v>88</v>
      </c>
      <c r="C36" s="51" t="n">
        <f aca="false">IFERROR(C19*Assumptions!$C$58/30,0)</f>
        <v>0</v>
      </c>
      <c r="D36" s="51" t="n">
        <f aca="false">IFERROR(D19*Assumptions!$C$58/30,0)</f>
        <v>0</v>
      </c>
      <c r="E36" s="51" t="n">
        <f aca="false">IFERROR(E19*Assumptions!$C$58/30,0)</f>
        <v>0</v>
      </c>
      <c r="F36" s="51" t="n">
        <f aca="false">IFERROR(F19*Assumptions!$C$58/30,0)</f>
        <v>0</v>
      </c>
      <c r="G36" s="51" t="n">
        <f aca="false">IFERROR(G19*Assumptions!$C$58/30,0)</f>
        <v>0</v>
      </c>
      <c r="H36" s="51" t="n">
        <f aca="false">IFERROR(H19*Assumptions!$C$58/30,0)</f>
        <v>0</v>
      </c>
      <c r="I36" s="51" t="n">
        <f aca="false">IFERROR(I19*Assumptions!$C$58/30,0)</f>
        <v>0</v>
      </c>
      <c r="J36" s="51" t="n">
        <f aca="false">IFERROR(J19*Assumptions!$C$58/30,0)</f>
        <v>0</v>
      </c>
      <c r="K36" s="51" t="n">
        <f aca="false">IFERROR(K19*Assumptions!$C$58/30,0)</f>
        <v>0</v>
      </c>
      <c r="L36" s="51" t="n">
        <f aca="false">IFERROR(L19*Assumptions!$C$58/30,0)</f>
        <v>0</v>
      </c>
      <c r="M36" s="51" t="n">
        <f aca="false">IFERROR(M19*Assumptions!$C$58/30,0)</f>
        <v>0</v>
      </c>
      <c r="N36" s="51" t="n">
        <f aca="false">IFERROR(N19*Assumptions!$C$58/30,0)</f>
        <v>0</v>
      </c>
      <c r="O36" s="51" t="n">
        <f aca="false">IFERROR(O19*Assumptions!$C$58/30,0)</f>
        <v>0</v>
      </c>
      <c r="P36" s="51" t="n">
        <f aca="false">IFERROR(P19*Assumptions!$C$58/30,0)</f>
        <v>0</v>
      </c>
      <c r="Q36" s="51" t="n">
        <f aca="false">IFERROR(Q19*Assumptions!$C$58/30,0)</f>
        <v>0</v>
      </c>
      <c r="R36" s="51" t="n">
        <f aca="false">IFERROR(R19*Assumptions!$C$58/30,0)</f>
        <v>0</v>
      </c>
      <c r="S36" s="51" t="n">
        <f aca="false">IFERROR(S19*Assumptions!$C$58/30,0)</f>
        <v>0</v>
      </c>
      <c r="T36" s="51" t="n">
        <f aca="false">IFERROR(T19*Assumptions!$C$58/30,0)</f>
        <v>0</v>
      </c>
      <c r="U36" s="51" t="n">
        <f aca="false">IFERROR(U19*Assumptions!$C$58/30,0)</f>
        <v>0</v>
      </c>
      <c r="V36" s="51" t="n">
        <f aca="false">IFERROR(V19*Assumptions!$C$58/30,0)</f>
        <v>0</v>
      </c>
      <c r="W36" s="51" t="n">
        <f aca="false">IFERROR(W19*Assumptions!$C$58/30,0)</f>
        <v>0</v>
      </c>
      <c r="X36" s="51" t="n">
        <f aca="false">IFERROR(X19*Assumptions!$C$58/30,0)</f>
        <v>0</v>
      </c>
      <c r="Y36" s="51" t="n">
        <f aca="false">IFERROR(Y19*Assumptions!$C$58/30,0)</f>
        <v>0</v>
      </c>
      <c r="Z36" s="51" t="n">
        <f aca="false">IFERROR(Z19*Assumptions!$C$58/30,0)</f>
        <v>0</v>
      </c>
      <c r="AA36" s="51" t="n">
        <f aca="false">IFERROR(AA19*Assumptions!$C$58/30,0)</f>
        <v>0</v>
      </c>
      <c r="AB36" s="51" t="n">
        <f aca="false">IFERROR(AB19*Assumptions!$C$58/30,0)</f>
        <v>0</v>
      </c>
      <c r="AC36" s="51" t="n">
        <f aca="false">IFERROR(AC19*Assumptions!$C$58/30,0)</f>
        <v>0</v>
      </c>
      <c r="AD36" s="51" t="n">
        <f aca="false">IFERROR(AD19*Assumptions!$C$58/30,0)</f>
        <v>0</v>
      </c>
      <c r="AE36" s="51" t="n">
        <f aca="false">IFERROR(AE19*Assumptions!$C$58/30,0)</f>
        <v>0</v>
      </c>
      <c r="AF36" s="51" t="n">
        <f aca="false">IFERROR(AF19*Assumptions!$C$58/30,0)</f>
        <v>0</v>
      </c>
      <c r="AG36" s="51" t="n">
        <f aca="false">IFERROR(AG19*Assumptions!$C$58/30,0)</f>
        <v>0</v>
      </c>
      <c r="AH36" s="51" t="n">
        <f aca="false">IFERROR(AH19*Assumptions!$C$58/30,0)</f>
        <v>0</v>
      </c>
      <c r="AI36" s="51" t="n">
        <f aca="false">IFERROR(AI19*Assumptions!$C$58/30,0)</f>
        <v>0</v>
      </c>
      <c r="AJ36" s="51" t="n">
        <f aca="false">IFERROR(AJ19*Assumptions!$C$58/30,0)</f>
        <v>0</v>
      </c>
      <c r="AK36" s="51" t="n">
        <f aca="false">IFERROR(AK19*Assumptions!$C$58/30,0)</f>
        <v>0</v>
      </c>
      <c r="AL36" s="51" t="n">
        <f aca="false">IFERROR(AL19*Assumptions!$C$58/30,0)</f>
        <v>0</v>
      </c>
      <c r="AM36" s="51" t="n">
        <f aca="false">IFERROR(AM19*Assumptions!$C$58/30,0)</f>
        <v>0</v>
      </c>
      <c r="AN36" s="51" t="n">
        <f aca="false">IFERROR(AN19*Assumptions!$C$58/30,0)</f>
        <v>0</v>
      </c>
      <c r="AO36" s="51" t="n">
        <f aca="false">IFERROR(AO19*Assumptions!$C$58/30,0)</f>
        <v>0</v>
      </c>
      <c r="AP36" s="51" t="n">
        <f aca="false">IFERROR(AP19*Assumptions!$C$58/30,0)</f>
        <v>0</v>
      </c>
      <c r="AQ36" s="51" t="n">
        <f aca="false">IFERROR(AQ19*Assumptions!$C$58/30,0)</f>
        <v>0</v>
      </c>
      <c r="AR36" s="51" t="n">
        <f aca="false">IFERROR(AR19*Assumptions!$C$58/30,0)</f>
        <v>0</v>
      </c>
      <c r="AS36" s="51" t="n">
        <f aca="false">IFERROR(AS19*Assumptions!$C$58/30,0)</f>
        <v>0</v>
      </c>
      <c r="AT36" s="51" t="n">
        <f aca="false">IFERROR(AT19*Assumptions!$C$58/30,0)</f>
        <v>0</v>
      </c>
      <c r="AU36" s="51" t="n">
        <f aca="false">IFERROR(AU19*Assumptions!$C$58/30,0)</f>
        <v>0</v>
      </c>
      <c r="AV36" s="51" t="n">
        <f aca="false">IFERROR(AV19*Assumptions!$C$58/30,0)</f>
        <v>0</v>
      </c>
      <c r="AW36" s="51" t="n">
        <f aca="false">IFERROR(AW19*Assumptions!$C$58/30,0)</f>
        <v>0</v>
      </c>
      <c r="AX36" s="51" t="n">
        <f aca="false">IFERROR(AX19*Assumptions!$C$58/30,0)</f>
        <v>0</v>
      </c>
      <c r="AY36" s="51" t="n">
        <f aca="false">IFERROR(AY19*Assumptions!$C$58/30,0)</f>
        <v>0</v>
      </c>
      <c r="AZ36" s="51" t="n">
        <f aca="false">IFERROR(AZ19*Assumptions!$C$58/30,0)</f>
        <v>0</v>
      </c>
      <c r="BA36" s="51" t="n">
        <f aca="false">IFERROR(BA19*Assumptions!$C$58/30,0)</f>
        <v>0</v>
      </c>
      <c r="BB36" s="51" t="n">
        <f aca="false">IFERROR(BB19*Assumptions!$C$58/30,0)</f>
        <v>0</v>
      </c>
      <c r="BC36" s="51" t="n">
        <f aca="false">IFERROR(BC19*Assumptions!$C$58/30,0)</f>
        <v>0</v>
      </c>
      <c r="BD36" s="51" t="n">
        <f aca="false">IFERROR(BD19*Assumptions!$C$58/30,0)</f>
        <v>0</v>
      </c>
      <c r="BE36" s="51" t="n">
        <f aca="false">IFERROR(BE19*Assumptions!$C$58/30,0)</f>
        <v>0</v>
      </c>
      <c r="BF36" s="51" t="n">
        <f aca="false">IFERROR(BF19*Assumptions!$C$58/30,0)</f>
        <v>0</v>
      </c>
      <c r="BG36" s="51" t="n">
        <f aca="false">IFERROR(BG19*Assumptions!$C$58/30,0)</f>
        <v>0</v>
      </c>
      <c r="BH36" s="51" t="n">
        <f aca="false">IFERROR(BH19*Assumptions!$C$58/30,0)</f>
        <v>0</v>
      </c>
      <c r="BI36" s="51" t="n">
        <f aca="false">IFERROR(BI19*Assumptions!$C$58/30,0)</f>
        <v>0</v>
      </c>
      <c r="BJ36" s="51" t="n">
        <f aca="false">IFERROR(BJ19*Assumptions!$C$58/30,0)</f>
        <v>0</v>
      </c>
    </row>
    <row r="37" customFormat="false" ht="15" hidden="false" customHeight="false" outlineLevel="0" collapsed="false">
      <c r="A37" s="42" t="s">
        <v>253</v>
      </c>
      <c r="B37" s="49" t="s">
        <v>88</v>
      </c>
      <c r="C37" s="51" t="n">
        <f aca="false">IFERROR((C15+C16)*Assumptions!$C$59/30,0)</f>
        <v>0</v>
      </c>
      <c r="D37" s="51" t="n">
        <f aca="false">IFERROR((D15+D16)*Assumptions!$C$59/30,0)</f>
        <v>0</v>
      </c>
      <c r="E37" s="51" t="n">
        <f aca="false">IFERROR((E15+E16)*Assumptions!$C$59/30,0)</f>
        <v>0</v>
      </c>
      <c r="F37" s="51" t="n">
        <f aca="false">IFERROR((F15+F16)*Assumptions!$C$59/30,0)</f>
        <v>0</v>
      </c>
      <c r="G37" s="51" t="n">
        <f aca="false">IFERROR((G15+G16)*Assumptions!$C$59/30,0)</f>
        <v>0</v>
      </c>
      <c r="H37" s="51" t="n">
        <f aca="false">IFERROR((H15+H16)*Assumptions!$C$59/30,0)</f>
        <v>0</v>
      </c>
      <c r="I37" s="51" t="n">
        <f aca="false">IFERROR((I15+I16)*Assumptions!$C$59/30,0)</f>
        <v>0</v>
      </c>
      <c r="J37" s="51" t="n">
        <f aca="false">IFERROR((J15+J16)*Assumptions!$C$59/30,0)</f>
        <v>0</v>
      </c>
      <c r="K37" s="51" t="n">
        <f aca="false">IFERROR((K15+K16)*Assumptions!$C$59/30,0)</f>
        <v>0</v>
      </c>
      <c r="L37" s="51" t="n">
        <f aca="false">IFERROR((L15+L16)*Assumptions!$C$59/30,0)</f>
        <v>0</v>
      </c>
      <c r="M37" s="51" t="n">
        <f aca="false">IFERROR((M15+M16)*Assumptions!$C$59/30,0)</f>
        <v>0</v>
      </c>
      <c r="N37" s="51" t="n">
        <f aca="false">IFERROR((N15+N16)*Assumptions!$C$59/30,0)</f>
        <v>0</v>
      </c>
      <c r="O37" s="51" t="n">
        <f aca="false">IFERROR((O15+O16)*Assumptions!$C$59/30,0)</f>
        <v>0</v>
      </c>
      <c r="P37" s="51" t="n">
        <f aca="false">IFERROR((P15+P16)*Assumptions!$C$59/30,0)</f>
        <v>0</v>
      </c>
      <c r="Q37" s="51" t="n">
        <f aca="false">IFERROR((Q15+Q16)*Assumptions!$C$59/30,0)</f>
        <v>0</v>
      </c>
      <c r="R37" s="51" t="n">
        <f aca="false">IFERROR((R15+R16)*Assumptions!$C$59/30,0)</f>
        <v>0</v>
      </c>
      <c r="S37" s="51" t="n">
        <f aca="false">IFERROR((S15+S16)*Assumptions!$C$59/30,0)</f>
        <v>0</v>
      </c>
      <c r="T37" s="51" t="n">
        <f aca="false">IFERROR((T15+T16)*Assumptions!$C$59/30,0)</f>
        <v>0</v>
      </c>
      <c r="U37" s="51" t="n">
        <f aca="false">IFERROR((U15+U16)*Assumptions!$C$59/30,0)</f>
        <v>0</v>
      </c>
      <c r="V37" s="51" t="n">
        <f aca="false">IFERROR((V15+V16)*Assumptions!$C$59/30,0)</f>
        <v>0</v>
      </c>
      <c r="W37" s="51" t="n">
        <f aca="false">IFERROR((W15+W16)*Assumptions!$C$59/30,0)</f>
        <v>0</v>
      </c>
      <c r="X37" s="51" t="n">
        <f aca="false">IFERROR((X15+X16)*Assumptions!$C$59/30,0)</f>
        <v>0</v>
      </c>
      <c r="Y37" s="51" t="n">
        <f aca="false">IFERROR((Y15+Y16)*Assumptions!$C$59/30,0)</f>
        <v>0</v>
      </c>
      <c r="Z37" s="51" t="n">
        <f aca="false">IFERROR((Z15+Z16)*Assumptions!$C$59/30,0)</f>
        <v>0</v>
      </c>
      <c r="AA37" s="51" t="n">
        <f aca="false">IFERROR((AA15+AA16)*Assumptions!$C$59/30,0)</f>
        <v>0</v>
      </c>
      <c r="AB37" s="51" t="n">
        <f aca="false">IFERROR((AB15+AB16)*Assumptions!$C$59/30,0)</f>
        <v>0</v>
      </c>
      <c r="AC37" s="51" t="n">
        <f aca="false">IFERROR((AC15+AC16)*Assumptions!$C$59/30,0)</f>
        <v>0</v>
      </c>
      <c r="AD37" s="51" t="n">
        <f aca="false">IFERROR((AD15+AD16)*Assumptions!$C$59/30,0)</f>
        <v>0</v>
      </c>
      <c r="AE37" s="51" t="n">
        <f aca="false">IFERROR((AE15+AE16)*Assumptions!$C$59/30,0)</f>
        <v>0</v>
      </c>
      <c r="AF37" s="51" t="n">
        <f aca="false">IFERROR((AF15+AF16)*Assumptions!$C$59/30,0)</f>
        <v>0</v>
      </c>
      <c r="AG37" s="51" t="n">
        <f aca="false">IFERROR((AG15+AG16)*Assumptions!$C$59/30,0)</f>
        <v>0</v>
      </c>
      <c r="AH37" s="51" t="n">
        <f aca="false">IFERROR((AH15+AH16)*Assumptions!$C$59/30,0)</f>
        <v>0</v>
      </c>
      <c r="AI37" s="51" t="n">
        <f aca="false">IFERROR((AI15+AI16)*Assumptions!$C$59/30,0)</f>
        <v>0</v>
      </c>
      <c r="AJ37" s="51" t="n">
        <f aca="false">IFERROR((AJ15+AJ16)*Assumptions!$C$59/30,0)</f>
        <v>0</v>
      </c>
      <c r="AK37" s="51" t="n">
        <f aca="false">IFERROR((AK15+AK16)*Assumptions!$C$59/30,0)</f>
        <v>0</v>
      </c>
      <c r="AL37" s="51" t="n">
        <f aca="false">IFERROR((AL15+AL16)*Assumptions!$C$59/30,0)</f>
        <v>0</v>
      </c>
      <c r="AM37" s="51" t="n">
        <f aca="false">IFERROR((AM15+AM16)*Assumptions!$C$59/30,0)</f>
        <v>0</v>
      </c>
      <c r="AN37" s="51" t="n">
        <f aca="false">IFERROR((AN15+AN16)*Assumptions!$C$59/30,0)</f>
        <v>0</v>
      </c>
      <c r="AO37" s="51" t="n">
        <f aca="false">IFERROR((AO15+AO16)*Assumptions!$C$59/30,0)</f>
        <v>0</v>
      </c>
      <c r="AP37" s="51" t="n">
        <f aca="false">IFERROR((AP15+AP16)*Assumptions!$C$59/30,0)</f>
        <v>0</v>
      </c>
      <c r="AQ37" s="51" t="n">
        <f aca="false">IFERROR((AQ15+AQ16)*Assumptions!$C$59/30,0)</f>
        <v>0</v>
      </c>
      <c r="AR37" s="51" t="n">
        <f aca="false">IFERROR((AR15+AR16)*Assumptions!$C$59/30,0)</f>
        <v>0</v>
      </c>
      <c r="AS37" s="51" t="n">
        <f aca="false">IFERROR((AS15+AS16)*Assumptions!$C$59/30,0)</f>
        <v>0</v>
      </c>
      <c r="AT37" s="51" t="n">
        <f aca="false">IFERROR((AT15+AT16)*Assumptions!$C$59/30,0)</f>
        <v>0</v>
      </c>
      <c r="AU37" s="51" t="n">
        <f aca="false">IFERROR((AU15+AU16)*Assumptions!$C$59/30,0)</f>
        <v>0</v>
      </c>
      <c r="AV37" s="51" t="n">
        <f aca="false">IFERROR((AV15+AV16)*Assumptions!$C$59/30,0)</f>
        <v>0</v>
      </c>
      <c r="AW37" s="51" t="n">
        <f aca="false">IFERROR((AW15+AW16)*Assumptions!$C$59/30,0)</f>
        <v>0</v>
      </c>
      <c r="AX37" s="51" t="n">
        <f aca="false">IFERROR((AX15+AX16)*Assumptions!$C$59/30,0)</f>
        <v>0</v>
      </c>
      <c r="AY37" s="51" t="n">
        <f aca="false">IFERROR((AY15+AY16)*Assumptions!$C$59/30,0)</f>
        <v>0</v>
      </c>
      <c r="AZ37" s="51" t="n">
        <f aca="false">IFERROR((AZ15+AZ16)*Assumptions!$C$59/30,0)</f>
        <v>0</v>
      </c>
      <c r="BA37" s="51" t="n">
        <f aca="false">IFERROR((BA15+BA16)*Assumptions!$C$59/30,0)</f>
        <v>0</v>
      </c>
      <c r="BB37" s="51" t="n">
        <f aca="false">IFERROR((BB15+BB16)*Assumptions!$C$59/30,0)</f>
        <v>0</v>
      </c>
      <c r="BC37" s="51" t="n">
        <f aca="false">IFERROR((BC15+BC16)*Assumptions!$C$59/30,0)</f>
        <v>0</v>
      </c>
      <c r="BD37" s="51" t="n">
        <f aca="false">IFERROR((BD15+BD16)*Assumptions!$C$59/30,0)</f>
        <v>0</v>
      </c>
      <c r="BE37" s="51" t="n">
        <f aca="false">IFERROR((BE15+BE16)*Assumptions!$C$59/30,0)</f>
        <v>0</v>
      </c>
      <c r="BF37" s="51" t="n">
        <f aca="false">IFERROR((BF15+BF16)*Assumptions!$C$59/30,0)</f>
        <v>0</v>
      </c>
      <c r="BG37" s="51" t="n">
        <f aca="false">IFERROR((BG15+BG16)*Assumptions!$C$59/30,0)</f>
        <v>0</v>
      </c>
      <c r="BH37" s="51" t="n">
        <f aca="false">IFERROR((BH15+BH16)*Assumptions!$C$59/30,0)</f>
        <v>0</v>
      </c>
      <c r="BI37" s="51" t="n">
        <f aca="false">IFERROR((BI15+BI16)*Assumptions!$C$59/30,0)</f>
        <v>0</v>
      </c>
      <c r="BJ37" s="51" t="n">
        <f aca="false">IFERROR((BJ15+BJ16)*Assumptions!$C$59/30,0)</f>
        <v>0</v>
      </c>
    </row>
    <row r="38" customFormat="false" ht="15" hidden="false" customHeight="false" outlineLevel="0" collapsed="false">
      <c r="A38" s="6" t="s">
        <v>254</v>
      </c>
      <c r="B38" s="49" t="s">
        <v>88</v>
      </c>
      <c r="C38" s="50" t="n">
        <f aca="false">IFERROR(C35+C36-C37,0)</f>
        <v>0</v>
      </c>
      <c r="D38" s="50" t="n">
        <f aca="false">IFERROR(D35+D36-D37,0)</f>
        <v>0</v>
      </c>
      <c r="E38" s="50" t="n">
        <f aca="false">IFERROR(E35+E36-E37,0)</f>
        <v>0</v>
      </c>
      <c r="F38" s="50" t="n">
        <f aca="false">IFERROR(F35+F36-F37,0)</f>
        <v>0</v>
      </c>
      <c r="G38" s="50" t="n">
        <f aca="false">IFERROR(G35+G36-G37,0)</f>
        <v>0</v>
      </c>
      <c r="H38" s="50" t="n">
        <f aca="false">IFERROR(H35+H36-H37,0)</f>
        <v>0</v>
      </c>
      <c r="I38" s="50" t="n">
        <f aca="false">IFERROR(I35+I36-I37,0)</f>
        <v>0</v>
      </c>
      <c r="J38" s="50" t="n">
        <f aca="false">IFERROR(J35+J36-J37,0)</f>
        <v>0</v>
      </c>
      <c r="K38" s="50" t="n">
        <f aca="false">IFERROR(K35+K36-K37,0)</f>
        <v>0</v>
      </c>
      <c r="L38" s="50" t="n">
        <f aca="false">IFERROR(L35+L36-L37,0)</f>
        <v>0</v>
      </c>
      <c r="M38" s="50" t="n">
        <f aca="false">IFERROR(M35+M36-M37,0)</f>
        <v>0</v>
      </c>
      <c r="N38" s="50" t="n">
        <f aca="false">IFERROR(N35+N36-N37,0)</f>
        <v>0</v>
      </c>
      <c r="O38" s="50" t="n">
        <f aca="false">IFERROR(O35+O36-O37,0)</f>
        <v>0</v>
      </c>
      <c r="P38" s="50" t="n">
        <f aca="false">IFERROR(P35+P36-P37,0)</f>
        <v>0</v>
      </c>
      <c r="Q38" s="50" t="n">
        <f aca="false">IFERROR(Q35+Q36-Q37,0)</f>
        <v>0</v>
      </c>
      <c r="R38" s="50" t="n">
        <f aca="false">IFERROR(R35+R36-R37,0)</f>
        <v>0</v>
      </c>
      <c r="S38" s="50" t="n">
        <f aca="false">IFERROR(S35+S36-S37,0)</f>
        <v>0</v>
      </c>
      <c r="T38" s="50" t="n">
        <f aca="false">IFERROR(T35+T36-T37,0)</f>
        <v>0</v>
      </c>
      <c r="U38" s="50" t="n">
        <f aca="false">IFERROR(U35+U36-U37,0)</f>
        <v>0</v>
      </c>
      <c r="V38" s="50" t="n">
        <f aca="false">IFERROR(V35+V36-V37,0)</f>
        <v>0</v>
      </c>
      <c r="W38" s="50" t="n">
        <f aca="false">IFERROR(W35+W36-W37,0)</f>
        <v>0</v>
      </c>
      <c r="X38" s="50" t="n">
        <f aca="false">IFERROR(X35+X36-X37,0)</f>
        <v>0</v>
      </c>
      <c r="Y38" s="50" t="n">
        <f aca="false">IFERROR(Y35+Y36-Y37,0)</f>
        <v>0</v>
      </c>
      <c r="Z38" s="50" t="n">
        <f aca="false">IFERROR(Z35+Z36-Z37,0)</f>
        <v>0</v>
      </c>
      <c r="AA38" s="50" t="n">
        <f aca="false">IFERROR(AA35+AA36-AA37,0)</f>
        <v>0</v>
      </c>
      <c r="AB38" s="50" t="n">
        <f aca="false">IFERROR(AB35+AB36-AB37,0)</f>
        <v>0</v>
      </c>
      <c r="AC38" s="50" t="n">
        <f aca="false">IFERROR(AC35+AC36-AC37,0)</f>
        <v>0</v>
      </c>
      <c r="AD38" s="50" t="n">
        <f aca="false">IFERROR(AD35+AD36-AD37,0)</f>
        <v>0</v>
      </c>
      <c r="AE38" s="50" t="n">
        <f aca="false">IFERROR(AE35+AE36-AE37,0)</f>
        <v>0</v>
      </c>
      <c r="AF38" s="50" t="n">
        <f aca="false">IFERROR(AF35+AF36-AF37,0)</f>
        <v>0</v>
      </c>
      <c r="AG38" s="50" t="n">
        <f aca="false">IFERROR(AG35+AG36-AG37,0)</f>
        <v>0</v>
      </c>
      <c r="AH38" s="50" t="n">
        <f aca="false">IFERROR(AH35+AH36-AH37,0)</f>
        <v>0</v>
      </c>
      <c r="AI38" s="50" t="n">
        <f aca="false">IFERROR(AI35+AI36-AI37,0)</f>
        <v>0</v>
      </c>
      <c r="AJ38" s="50" t="n">
        <f aca="false">IFERROR(AJ35+AJ36-AJ37,0)</f>
        <v>0</v>
      </c>
      <c r="AK38" s="50" t="n">
        <f aca="false">IFERROR(AK35+AK36-AK37,0)</f>
        <v>0</v>
      </c>
      <c r="AL38" s="50" t="n">
        <f aca="false">IFERROR(AL35+AL36-AL37,0)</f>
        <v>0</v>
      </c>
      <c r="AM38" s="50" t="n">
        <f aca="false">IFERROR(AM35+AM36-AM37,0)</f>
        <v>0</v>
      </c>
      <c r="AN38" s="50" t="n">
        <f aca="false">IFERROR(AN35+AN36-AN37,0)</f>
        <v>0</v>
      </c>
      <c r="AO38" s="50" t="n">
        <f aca="false">IFERROR(AO35+AO36-AO37,0)</f>
        <v>0</v>
      </c>
      <c r="AP38" s="50" t="n">
        <f aca="false">IFERROR(AP35+AP36-AP37,0)</f>
        <v>0</v>
      </c>
      <c r="AQ38" s="50" t="n">
        <f aca="false">IFERROR(AQ35+AQ36-AQ37,0)</f>
        <v>0</v>
      </c>
      <c r="AR38" s="50" t="n">
        <f aca="false">IFERROR(AR35+AR36-AR37,0)</f>
        <v>0</v>
      </c>
      <c r="AS38" s="50" t="n">
        <f aca="false">IFERROR(AS35+AS36-AS37,0)</f>
        <v>0</v>
      </c>
      <c r="AT38" s="50" t="n">
        <f aca="false">IFERROR(AT35+AT36-AT37,0)</f>
        <v>0</v>
      </c>
      <c r="AU38" s="50" t="n">
        <f aca="false">IFERROR(AU35+AU36-AU37,0)</f>
        <v>0</v>
      </c>
      <c r="AV38" s="50" t="n">
        <f aca="false">IFERROR(AV35+AV36-AV37,0)</f>
        <v>0</v>
      </c>
      <c r="AW38" s="50" t="n">
        <f aca="false">IFERROR(AW35+AW36-AW37,0)</f>
        <v>0</v>
      </c>
      <c r="AX38" s="50" t="n">
        <f aca="false">IFERROR(AX35+AX36-AX37,0)</f>
        <v>0</v>
      </c>
      <c r="AY38" s="50" t="n">
        <f aca="false">IFERROR(AY35+AY36-AY37,0)</f>
        <v>0</v>
      </c>
      <c r="AZ38" s="50" t="n">
        <f aca="false">IFERROR(AZ35+AZ36-AZ37,0)</f>
        <v>0</v>
      </c>
      <c r="BA38" s="50" t="n">
        <f aca="false">IFERROR(BA35+BA36-BA37,0)</f>
        <v>0</v>
      </c>
      <c r="BB38" s="50" t="n">
        <f aca="false">IFERROR(BB35+BB36-BB37,0)</f>
        <v>0</v>
      </c>
      <c r="BC38" s="50" t="n">
        <f aca="false">IFERROR(BC35+BC36-BC37,0)</f>
        <v>0</v>
      </c>
      <c r="BD38" s="50" t="n">
        <f aca="false">IFERROR(BD35+BD36-BD37,0)</f>
        <v>0</v>
      </c>
      <c r="BE38" s="50" t="n">
        <f aca="false">IFERROR(BE35+BE36-BE37,0)</f>
        <v>0</v>
      </c>
      <c r="BF38" s="50" t="n">
        <f aca="false">IFERROR(BF35+BF36-BF37,0)</f>
        <v>0</v>
      </c>
      <c r="BG38" s="50" t="n">
        <f aca="false">IFERROR(BG35+BG36-BG37,0)</f>
        <v>0</v>
      </c>
      <c r="BH38" s="50" t="n">
        <f aca="false">IFERROR(BH35+BH36-BH37,0)</f>
        <v>0</v>
      </c>
      <c r="BI38" s="50" t="n">
        <f aca="false">IFERROR(BI35+BI36-BI37,0)</f>
        <v>0</v>
      </c>
      <c r="BJ38" s="50" t="n">
        <f aca="false">IFERROR(BJ35+BJ36-BJ37,0)</f>
        <v>0</v>
      </c>
    </row>
    <row r="39" customFormat="false" ht="15" hidden="false" customHeight="false" outlineLevel="0" collapsed="false">
      <c r="A39" s="42" t="s">
        <v>255</v>
      </c>
      <c r="B39" s="49" t="s">
        <v>88</v>
      </c>
      <c r="C39" s="51" t="n">
        <f aca="false">IFERROR(C38*Assumptions!$C$28,0)</f>
        <v>0</v>
      </c>
      <c r="D39" s="51" t="n">
        <f aca="false">IFERROR(D38*Assumptions!$C$28,0)</f>
        <v>0</v>
      </c>
      <c r="E39" s="51" t="n">
        <f aca="false">IFERROR(E38*Assumptions!$C$28,0)</f>
        <v>0</v>
      </c>
      <c r="F39" s="51" t="n">
        <f aca="false">IFERROR(F38*Assumptions!$C$28,0)</f>
        <v>0</v>
      </c>
      <c r="G39" s="51" t="n">
        <f aca="false">IFERROR(G38*Assumptions!$C$28,0)</f>
        <v>0</v>
      </c>
      <c r="H39" s="51" t="n">
        <f aca="false">IFERROR(H38*Assumptions!$C$28,0)</f>
        <v>0</v>
      </c>
      <c r="I39" s="51" t="n">
        <f aca="false">IFERROR(I38*Assumptions!$C$28,0)</f>
        <v>0</v>
      </c>
      <c r="J39" s="51" t="n">
        <f aca="false">IFERROR(J38*Assumptions!$C$28,0)</f>
        <v>0</v>
      </c>
      <c r="K39" s="51" t="n">
        <f aca="false">IFERROR(K38*Assumptions!$C$28,0)</f>
        <v>0</v>
      </c>
      <c r="L39" s="51" t="n">
        <f aca="false">IFERROR(L38*Assumptions!$C$28,0)</f>
        <v>0</v>
      </c>
      <c r="M39" s="51" t="n">
        <f aca="false">IFERROR(M38*Assumptions!$C$28,0)</f>
        <v>0</v>
      </c>
      <c r="N39" s="51" t="n">
        <f aca="false">IFERROR(N38*Assumptions!$C$28,0)</f>
        <v>0</v>
      </c>
      <c r="O39" s="51" t="n">
        <f aca="false">IFERROR(O38*Assumptions!$C$28,0)</f>
        <v>0</v>
      </c>
      <c r="P39" s="51" t="n">
        <f aca="false">IFERROR(P38*Assumptions!$C$28,0)</f>
        <v>0</v>
      </c>
      <c r="Q39" s="51" t="n">
        <f aca="false">IFERROR(Q38*Assumptions!$C$28,0)</f>
        <v>0</v>
      </c>
      <c r="R39" s="51" t="n">
        <f aca="false">IFERROR(R38*Assumptions!$C$28,0)</f>
        <v>0</v>
      </c>
      <c r="S39" s="51" t="n">
        <f aca="false">IFERROR(S38*Assumptions!$C$28,0)</f>
        <v>0</v>
      </c>
      <c r="T39" s="51" t="n">
        <f aca="false">IFERROR(T38*Assumptions!$C$28,0)</f>
        <v>0</v>
      </c>
      <c r="U39" s="51" t="n">
        <f aca="false">IFERROR(U38*Assumptions!$C$28,0)</f>
        <v>0</v>
      </c>
      <c r="V39" s="51" t="n">
        <f aca="false">IFERROR(V38*Assumptions!$C$28,0)</f>
        <v>0</v>
      </c>
      <c r="W39" s="51" t="n">
        <f aca="false">IFERROR(W38*Assumptions!$C$28,0)</f>
        <v>0</v>
      </c>
      <c r="X39" s="51" t="n">
        <f aca="false">IFERROR(X38*Assumptions!$C$28,0)</f>
        <v>0</v>
      </c>
      <c r="Y39" s="51" t="n">
        <f aca="false">IFERROR(Y38*Assumptions!$C$28,0)</f>
        <v>0</v>
      </c>
      <c r="Z39" s="51" t="n">
        <f aca="false">IFERROR(Z38*Assumptions!$C$28,0)</f>
        <v>0</v>
      </c>
      <c r="AA39" s="51" t="n">
        <f aca="false">IFERROR(AA38*Assumptions!$C$28,0)</f>
        <v>0</v>
      </c>
      <c r="AB39" s="51" t="n">
        <f aca="false">IFERROR(AB38*Assumptions!$C$28,0)</f>
        <v>0</v>
      </c>
      <c r="AC39" s="51" t="n">
        <f aca="false">IFERROR(AC38*Assumptions!$C$28,0)</f>
        <v>0</v>
      </c>
      <c r="AD39" s="51" t="n">
        <f aca="false">IFERROR(AD38*Assumptions!$C$28,0)</f>
        <v>0</v>
      </c>
      <c r="AE39" s="51" t="n">
        <f aca="false">IFERROR(AE38*Assumptions!$C$28,0)</f>
        <v>0</v>
      </c>
      <c r="AF39" s="51" t="n">
        <f aca="false">IFERROR(AF38*Assumptions!$C$28,0)</f>
        <v>0</v>
      </c>
      <c r="AG39" s="51" t="n">
        <f aca="false">IFERROR(AG38*Assumptions!$C$28,0)</f>
        <v>0</v>
      </c>
      <c r="AH39" s="51" t="n">
        <f aca="false">IFERROR(AH38*Assumptions!$C$28,0)</f>
        <v>0</v>
      </c>
      <c r="AI39" s="51" t="n">
        <f aca="false">IFERROR(AI38*Assumptions!$C$28,0)</f>
        <v>0</v>
      </c>
      <c r="AJ39" s="51" t="n">
        <f aca="false">IFERROR(AJ38*Assumptions!$C$28,0)</f>
        <v>0</v>
      </c>
      <c r="AK39" s="51" t="n">
        <f aca="false">IFERROR(AK38*Assumptions!$C$28,0)</f>
        <v>0</v>
      </c>
      <c r="AL39" s="51" t="n">
        <f aca="false">IFERROR(AL38*Assumptions!$C$28,0)</f>
        <v>0</v>
      </c>
      <c r="AM39" s="51" t="n">
        <f aca="false">IFERROR(AM38*Assumptions!$C$28,0)</f>
        <v>0</v>
      </c>
      <c r="AN39" s="51" t="n">
        <f aca="false">IFERROR(AN38*Assumptions!$C$28,0)</f>
        <v>0</v>
      </c>
      <c r="AO39" s="51" t="n">
        <f aca="false">IFERROR(AO38*Assumptions!$C$28,0)</f>
        <v>0</v>
      </c>
      <c r="AP39" s="51" t="n">
        <f aca="false">IFERROR(AP38*Assumptions!$C$28,0)</f>
        <v>0</v>
      </c>
      <c r="AQ39" s="51" t="n">
        <f aca="false">IFERROR(AQ38*Assumptions!$C$28,0)</f>
        <v>0</v>
      </c>
      <c r="AR39" s="51" t="n">
        <f aca="false">IFERROR(AR38*Assumptions!$C$28,0)</f>
        <v>0</v>
      </c>
      <c r="AS39" s="51" t="n">
        <f aca="false">IFERROR(AS38*Assumptions!$C$28,0)</f>
        <v>0</v>
      </c>
      <c r="AT39" s="51" t="n">
        <f aca="false">IFERROR(AT38*Assumptions!$C$28,0)</f>
        <v>0</v>
      </c>
      <c r="AU39" s="51" t="n">
        <f aca="false">IFERROR(AU38*Assumptions!$C$28,0)</f>
        <v>0</v>
      </c>
      <c r="AV39" s="51" t="n">
        <f aca="false">IFERROR(AV38*Assumptions!$C$28,0)</f>
        <v>0</v>
      </c>
      <c r="AW39" s="51" t="n">
        <f aca="false">IFERROR(AW38*Assumptions!$C$28,0)</f>
        <v>0</v>
      </c>
      <c r="AX39" s="51" t="n">
        <f aca="false">IFERROR(AX38*Assumptions!$C$28,0)</f>
        <v>0</v>
      </c>
      <c r="AY39" s="51" t="n">
        <f aca="false">IFERROR(AY38*Assumptions!$C$28,0)</f>
        <v>0</v>
      </c>
      <c r="AZ39" s="51" t="n">
        <f aca="false">IFERROR(AZ38*Assumptions!$C$28,0)</f>
        <v>0</v>
      </c>
      <c r="BA39" s="51" t="n">
        <f aca="false">IFERROR(BA38*Assumptions!$C$28,0)</f>
        <v>0</v>
      </c>
      <c r="BB39" s="51" t="n">
        <f aca="false">IFERROR(BB38*Assumptions!$C$28,0)</f>
        <v>0</v>
      </c>
      <c r="BC39" s="51" t="n">
        <f aca="false">IFERROR(BC38*Assumptions!$C$28,0)</f>
        <v>0</v>
      </c>
      <c r="BD39" s="51" t="n">
        <f aca="false">IFERROR(BD38*Assumptions!$C$28,0)</f>
        <v>0</v>
      </c>
      <c r="BE39" s="51" t="n">
        <f aca="false">IFERROR(BE38*Assumptions!$C$28,0)</f>
        <v>0</v>
      </c>
      <c r="BF39" s="51" t="n">
        <f aca="false">IFERROR(BF38*Assumptions!$C$28,0)</f>
        <v>0</v>
      </c>
      <c r="BG39" s="51" t="n">
        <f aca="false">IFERROR(BG38*Assumptions!$C$28,0)</f>
        <v>0</v>
      </c>
      <c r="BH39" s="51" t="n">
        <f aca="false">IFERROR(BH38*Assumptions!$C$28,0)</f>
        <v>0</v>
      </c>
      <c r="BI39" s="51" t="n">
        <f aca="false">IFERROR(BI38*Assumptions!$C$28,0)</f>
        <v>0</v>
      </c>
      <c r="BJ39" s="51" t="n">
        <f aca="false">IFERROR(BJ38*Assumptions!$C$28,0)</f>
        <v>0</v>
      </c>
    </row>
    <row r="40" customFormat="false" ht="15" hidden="false" customHeight="false" outlineLevel="0" collapsed="false">
      <c r="A40" s="59" t="s">
        <v>256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</row>
    <row r="41" customFormat="false" ht="15" hidden="false" customHeight="false" outlineLevel="0" collapsed="false">
      <c r="A41" s="42" t="s">
        <v>257</v>
      </c>
      <c r="B41" s="49" t="s">
        <v>88</v>
      </c>
      <c r="C41" s="55" t="n">
        <f aca="false">IFERROR('Loan Schedule'!C13,0)</f>
        <v>0</v>
      </c>
      <c r="D41" s="55" t="n">
        <f aca="false">IFERROR('Loan Schedule'!D13,0)</f>
        <v>0</v>
      </c>
      <c r="E41" s="55" t="n">
        <f aca="false">IFERROR('Loan Schedule'!E13,0)</f>
        <v>0</v>
      </c>
      <c r="F41" s="55" t="n">
        <f aca="false">IFERROR('Loan Schedule'!F13,0)</f>
        <v>0</v>
      </c>
      <c r="G41" s="55" t="n">
        <f aca="false">IFERROR('Loan Schedule'!G13,0)</f>
        <v>0</v>
      </c>
      <c r="H41" s="55" t="n">
        <f aca="false">IFERROR('Loan Schedule'!H13,0)</f>
        <v>0</v>
      </c>
      <c r="I41" s="55" t="n">
        <f aca="false">IFERROR('Loan Schedule'!I13,0)</f>
        <v>0</v>
      </c>
      <c r="J41" s="55" t="n">
        <f aca="false">IFERROR('Loan Schedule'!J13,0)</f>
        <v>0</v>
      </c>
      <c r="K41" s="55" t="n">
        <f aca="false">IFERROR('Loan Schedule'!K13,0)</f>
        <v>0</v>
      </c>
      <c r="L41" s="55" t="n">
        <f aca="false">IFERROR('Loan Schedule'!L13,0)</f>
        <v>0</v>
      </c>
      <c r="M41" s="55" t="n">
        <f aca="false">IFERROR('Loan Schedule'!M13,0)</f>
        <v>0</v>
      </c>
      <c r="N41" s="55" t="n">
        <f aca="false">IFERROR('Loan Schedule'!N13,0)</f>
        <v>0</v>
      </c>
      <c r="O41" s="55" t="n">
        <f aca="false">IFERROR('Loan Schedule'!O13,0)</f>
        <v>0</v>
      </c>
      <c r="P41" s="55" t="n">
        <f aca="false">IFERROR('Loan Schedule'!P13,0)</f>
        <v>0</v>
      </c>
      <c r="Q41" s="55" t="n">
        <f aca="false">IFERROR('Loan Schedule'!Q13,0)</f>
        <v>0</v>
      </c>
      <c r="R41" s="55" t="n">
        <f aca="false">IFERROR('Loan Schedule'!R13,0)</f>
        <v>0</v>
      </c>
      <c r="S41" s="55" t="n">
        <f aca="false">IFERROR('Loan Schedule'!S13,0)</f>
        <v>0</v>
      </c>
      <c r="T41" s="55" t="n">
        <f aca="false">IFERROR('Loan Schedule'!T13,0)</f>
        <v>0</v>
      </c>
      <c r="U41" s="55" t="n">
        <f aca="false">IFERROR('Loan Schedule'!U13,0)</f>
        <v>0</v>
      </c>
      <c r="V41" s="55" t="n">
        <f aca="false">IFERROR('Loan Schedule'!V13,0)</f>
        <v>0</v>
      </c>
      <c r="W41" s="55" t="n">
        <f aca="false">IFERROR('Loan Schedule'!W13,0)</f>
        <v>0</v>
      </c>
      <c r="X41" s="55" t="n">
        <f aca="false">IFERROR('Loan Schedule'!X13,0)</f>
        <v>0</v>
      </c>
      <c r="Y41" s="55" t="n">
        <f aca="false">IFERROR('Loan Schedule'!Y13,0)</f>
        <v>0</v>
      </c>
      <c r="Z41" s="55" t="n">
        <f aca="false">IFERROR('Loan Schedule'!Z13,0)</f>
        <v>0</v>
      </c>
      <c r="AA41" s="55" t="n">
        <f aca="false">IFERROR('Loan Schedule'!AA13,0)</f>
        <v>0</v>
      </c>
      <c r="AB41" s="55" t="n">
        <f aca="false">IFERROR('Loan Schedule'!AB13,0)</f>
        <v>0</v>
      </c>
      <c r="AC41" s="55" t="n">
        <f aca="false">IFERROR('Loan Schedule'!AC13,0)</f>
        <v>0</v>
      </c>
      <c r="AD41" s="55" t="n">
        <f aca="false">IFERROR('Loan Schedule'!AD13,0)</f>
        <v>0</v>
      </c>
      <c r="AE41" s="55" t="n">
        <f aca="false">IFERROR('Loan Schedule'!AE13,0)</f>
        <v>0</v>
      </c>
      <c r="AF41" s="55" t="n">
        <f aca="false">IFERROR('Loan Schedule'!AF13,0)</f>
        <v>0</v>
      </c>
      <c r="AG41" s="55" t="n">
        <f aca="false">IFERROR('Loan Schedule'!AG13,0)</f>
        <v>0</v>
      </c>
      <c r="AH41" s="55" t="n">
        <f aca="false">IFERROR('Loan Schedule'!AH13,0)</f>
        <v>0</v>
      </c>
      <c r="AI41" s="55" t="n">
        <f aca="false">IFERROR('Loan Schedule'!AI13,0)</f>
        <v>0</v>
      </c>
      <c r="AJ41" s="55" t="n">
        <f aca="false">IFERROR('Loan Schedule'!AJ13,0)</f>
        <v>0</v>
      </c>
      <c r="AK41" s="55" t="n">
        <f aca="false">IFERROR('Loan Schedule'!AK13,0)</f>
        <v>0</v>
      </c>
      <c r="AL41" s="55" t="n">
        <f aca="false">IFERROR('Loan Schedule'!AL13,0)</f>
        <v>0</v>
      </c>
      <c r="AM41" s="55" t="n">
        <f aca="false">IFERROR('Loan Schedule'!AM13,0)</f>
        <v>0</v>
      </c>
      <c r="AN41" s="55" t="n">
        <f aca="false">IFERROR('Loan Schedule'!AN13,0)</f>
        <v>0</v>
      </c>
      <c r="AO41" s="55" t="n">
        <f aca="false">IFERROR('Loan Schedule'!AO13,0)</f>
        <v>0</v>
      </c>
      <c r="AP41" s="55" t="n">
        <f aca="false">IFERROR('Loan Schedule'!AP13,0)</f>
        <v>0</v>
      </c>
      <c r="AQ41" s="55" t="n">
        <f aca="false">IFERROR('Loan Schedule'!AQ13,0)</f>
        <v>0</v>
      </c>
      <c r="AR41" s="55" t="n">
        <f aca="false">IFERROR('Loan Schedule'!AR13,0)</f>
        <v>0</v>
      </c>
      <c r="AS41" s="55" t="n">
        <f aca="false">IFERROR('Loan Schedule'!AS13,0)</f>
        <v>0</v>
      </c>
      <c r="AT41" s="55" t="n">
        <f aca="false">IFERROR('Loan Schedule'!AT13,0)</f>
        <v>0</v>
      </c>
      <c r="AU41" s="55" t="n">
        <f aca="false">IFERROR('Loan Schedule'!AU13,0)</f>
        <v>0</v>
      </c>
      <c r="AV41" s="55" t="n">
        <f aca="false">IFERROR('Loan Schedule'!AV13,0)</f>
        <v>0</v>
      </c>
      <c r="AW41" s="55" t="n">
        <f aca="false">IFERROR('Loan Schedule'!AW13,0)</f>
        <v>0</v>
      </c>
      <c r="AX41" s="55" t="n">
        <f aca="false">IFERROR('Loan Schedule'!AX13,0)</f>
        <v>0</v>
      </c>
      <c r="AY41" s="55" t="n">
        <f aca="false">IFERROR('Loan Schedule'!AY13,0)</f>
        <v>0</v>
      </c>
      <c r="AZ41" s="55" t="n">
        <f aca="false">IFERROR('Loan Schedule'!AZ13,0)</f>
        <v>0</v>
      </c>
      <c r="BA41" s="55" t="n">
        <f aca="false">IFERROR('Loan Schedule'!BA13,0)</f>
        <v>0</v>
      </c>
      <c r="BB41" s="55" t="n">
        <f aca="false">IFERROR('Loan Schedule'!BB13,0)</f>
        <v>0</v>
      </c>
      <c r="BC41" s="55" t="n">
        <f aca="false">IFERROR('Loan Schedule'!BC13,0)</f>
        <v>0</v>
      </c>
      <c r="BD41" s="55" t="n">
        <f aca="false">IFERROR('Loan Schedule'!BD13,0)</f>
        <v>0</v>
      </c>
      <c r="BE41" s="55" t="n">
        <f aca="false">IFERROR('Loan Schedule'!BE13,0)</f>
        <v>0</v>
      </c>
      <c r="BF41" s="55" t="n">
        <f aca="false">IFERROR('Loan Schedule'!BF13,0)</f>
        <v>0</v>
      </c>
      <c r="BG41" s="55" t="n">
        <f aca="false">IFERROR('Loan Schedule'!BG13,0)</f>
        <v>0</v>
      </c>
      <c r="BH41" s="55" t="n">
        <f aca="false">IFERROR('Loan Schedule'!BH13,0)</f>
        <v>0</v>
      </c>
      <c r="BI41" s="55" t="n">
        <f aca="false">IFERROR('Loan Schedule'!BI13,0)</f>
        <v>0</v>
      </c>
      <c r="BJ41" s="55" t="n">
        <f aca="false">IFERROR('Loan Schedule'!BJ13,0)</f>
        <v>0</v>
      </c>
    </row>
    <row r="42" customFormat="false" ht="15" hidden="false" customHeight="false" outlineLevel="0" collapsed="false">
      <c r="A42" s="42" t="s">
        <v>258</v>
      </c>
      <c r="B42" s="49" t="s">
        <v>88</v>
      </c>
      <c r="C42" s="51" t="n">
        <f aca="false">IFERROR(C39*Assumptions!$C$27/12,0)</f>
        <v>0</v>
      </c>
      <c r="D42" s="51" t="n">
        <f aca="false">IFERROR(D39*Assumptions!$C$27/12,0)</f>
        <v>0</v>
      </c>
      <c r="E42" s="51" t="n">
        <f aca="false">IFERROR(E39*Assumptions!$C$27/12,0)</f>
        <v>0</v>
      </c>
      <c r="F42" s="51" t="n">
        <f aca="false">IFERROR(F39*Assumptions!$C$27/12,0)</f>
        <v>0</v>
      </c>
      <c r="G42" s="51" t="n">
        <f aca="false">IFERROR(G39*Assumptions!$C$27/12,0)</f>
        <v>0</v>
      </c>
      <c r="H42" s="51" t="n">
        <f aca="false">IFERROR(H39*Assumptions!$C$27/12,0)</f>
        <v>0</v>
      </c>
      <c r="I42" s="51" t="n">
        <f aca="false">IFERROR(I39*Assumptions!$C$27/12,0)</f>
        <v>0</v>
      </c>
      <c r="J42" s="51" t="n">
        <f aca="false">IFERROR(J39*Assumptions!$C$27/12,0)</f>
        <v>0</v>
      </c>
      <c r="K42" s="51" t="n">
        <f aca="false">IFERROR(K39*Assumptions!$C$27/12,0)</f>
        <v>0</v>
      </c>
      <c r="L42" s="51" t="n">
        <f aca="false">IFERROR(L39*Assumptions!$C$27/12,0)</f>
        <v>0</v>
      </c>
      <c r="M42" s="51" t="n">
        <f aca="false">IFERROR(M39*Assumptions!$C$27/12,0)</f>
        <v>0</v>
      </c>
      <c r="N42" s="51" t="n">
        <f aca="false">IFERROR(N39*Assumptions!$C$27/12,0)</f>
        <v>0</v>
      </c>
      <c r="O42" s="51" t="n">
        <f aca="false">IFERROR(O39*Assumptions!$C$27/12,0)</f>
        <v>0</v>
      </c>
      <c r="P42" s="51" t="n">
        <f aca="false">IFERROR(P39*Assumptions!$C$27/12,0)</f>
        <v>0</v>
      </c>
      <c r="Q42" s="51" t="n">
        <f aca="false">IFERROR(Q39*Assumptions!$C$27/12,0)</f>
        <v>0</v>
      </c>
      <c r="R42" s="51" t="n">
        <f aca="false">IFERROR(R39*Assumptions!$C$27/12,0)</f>
        <v>0</v>
      </c>
      <c r="S42" s="51" t="n">
        <f aca="false">IFERROR(S39*Assumptions!$C$27/12,0)</f>
        <v>0</v>
      </c>
      <c r="T42" s="51" t="n">
        <f aca="false">IFERROR(T39*Assumptions!$C$27/12,0)</f>
        <v>0</v>
      </c>
      <c r="U42" s="51" t="n">
        <f aca="false">IFERROR(U39*Assumptions!$C$27/12,0)</f>
        <v>0</v>
      </c>
      <c r="V42" s="51" t="n">
        <f aca="false">IFERROR(V39*Assumptions!$C$27/12,0)</f>
        <v>0</v>
      </c>
      <c r="W42" s="51" t="n">
        <f aca="false">IFERROR(W39*Assumptions!$C$27/12,0)</f>
        <v>0</v>
      </c>
      <c r="X42" s="51" t="n">
        <f aca="false">IFERROR(X39*Assumptions!$C$27/12,0)</f>
        <v>0</v>
      </c>
      <c r="Y42" s="51" t="n">
        <f aca="false">IFERROR(Y39*Assumptions!$C$27/12,0)</f>
        <v>0</v>
      </c>
      <c r="Z42" s="51" t="n">
        <f aca="false">IFERROR(Z39*Assumptions!$C$27/12,0)</f>
        <v>0</v>
      </c>
      <c r="AA42" s="51" t="n">
        <f aca="false">IFERROR(AA39*Assumptions!$C$27/12,0)</f>
        <v>0</v>
      </c>
      <c r="AB42" s="51" t="n">
        <f aca="false">IFERROR(AB39*Assumptions!$C$27/12,0)</f>
        <v>0</v>
      </c>
      <c r="AC42" s="51" t="n">
        <f aca="false">IFERROR(AC39*Assumptions!$C$27/12,0)</f>
        <v>0</v>
      </c>
      <c r="AD42" s="51" t="n">
        <f aca="false">IFERROR(AD39*Assumptions!$C$27/12,0)</f>
        <v>0</v>
      </c>
      <c r="AE42" s="51" t="n">
        <f aca="false">IFERROR(AE39*Assumptions!$C$27/12,0)</f>
        <v>0</v>
      </c>
      <c r="AF42" s="51" t="n">
        <f aca="false">IFERROR(AF39*Assumptions!$C$27/12,0)</f>
        <v>0</v>
      </c>
      <c r="AG42" s="51" t="n">
        <f aca="false">IFERROR(AG39*Assumptions!$C$27/12,0)</f>
        <v>0</v>
      </c>
      <c r="AH42" s="51" t="n">
        <f aca="false">IFERROR(AH39*Assumptions!$C$27/12,0)</f>
        <v>0</v>
      </c>
      <c r="AI42" s="51" t="n">
        <f aca="false">IFERROR(AI39*Assumptions!$C$27/12,0)</f>
        <v>0</v>
      </c>
      <c r="AJ42" s="51" t="n">
        <f aca="false">IFERROR(AJ39*Assumptions!$C$27/12,0)</f>
        <v>0</v>
      </c>
      <c r="AK42" s="51" t="n">
        <f aca="false">IFERROR(AK39*Assumptions!$C$27/12,0)</f>
        <v>0</v>
      </c>
      <c r="AL42" s="51" t="n">
        <f aca="false">IFERROR(AL39*Assumptions!$C$27/12,0)</f>
        <v>0</v>
      </c>
      <c r="AM42" s="51" t="n">
        <f aca="false">IFERROR(AM39*Assumptions!$C$27/12,0)</f>
        <v>0</v>
      </c>
      <c r="AN42" s="51" t="n">
        <f aca="false">IFERROR(AN39*Assumptions!$C$27/12,0)</f>
        <v>0</v>
      </c>
      <c r="AO42" s="51" t="n">
        <f aca="false">IFERROR(AO39*Assumptions!$C$27/12,0)</f>
        <v>0</v>
      </c>
      <c r="AP42" s="51" t="n">
        <f aca="false">IFERROR(AP39*Assumptions!$C$27/12,0)</f>
        <v>0</v>
      </c>
      <c r="AQ42" s="51" t="n">
        <f aca="false">IFERROR(AQ39*Assumptions!$C$27/12,0)</f>
        <v>0</v>
      </c>
      <c r="AR42" s="51" t="n">
        <f aca="false">IFERROR(AR39*Assumptions!$C$27/12,0)</f>
        <v>0</v>
      </c>
      <c r="AS42" s="51" t="n">
        <f aca="false">IFERROR(AS39*Assumptions!$C$27/12,0)</f>
        <v>0</v>
      </c>
      <c r="AT42" s="51" t="n">
        <f aca="false">IFERROR(AT39*Assumptions!$C$27/12,0)</f>
        <v>0</v>
      </c>
      <c r="AU42" s="51" t="n">
        <f aca="false">IFERROR(AU39*Assumptions!$C$27/12,0)</f>
        <v>0</v>
      </c>
      <c r="AV42" s="51" t="n">
        <f aca="false">IFERROR(AV39*Assumptions!$C$27/12,0)</f>
        <v>0</v>
      </c>
      <c r="AW42" s="51" t="n">
        <f aca="false">IFERROR(AW39*Assumptions!$C$27/12,0)</f>
        <v>0</v>
      </c>
      <c r="AX42" s="51" t="n">
        <f aca="false">IFERROR(AX39*Assumptions!$C$27/12,0)</f>
        <v>0</v>
      </c>
      <c r="AY42" s="51" t="n">
        <f aca="false">IFERROR(AY39*Assumptions!$C$27/12,0)</f>
        <v>0</v>
      </c>
      <c r="AZ42" s="51" t="n">
        <f aca="false">IFERROR(AZ39*Assumptions!$C$27/12,0)</f>
        <v>0</v>
      </c>
      <c r="BA42" s="51" t="n">
        <f aca="false">IFERROR(BA39*Assumptions!$C$27/12,0)</f>
        <v>0</v>
      </c>
      <c r="BB42" s="51" t="n">
        <f aca="false">IFERROR(BB39*Assumptions!$C$27/12,0)</f>
        <v>0</v>
      </c>
      <c r="BC42" s="51" t="n">
        <f aca="false">IFERROR(BC39*Assumptions!$C$27/12,0)</f>
        <v>0</v>
      </c>
      <c r="BD42" s="51" t="n">
        <f aca="false">IFERROR(BD39*Assumptions!$C$27/12,0)</f>
        <v>0</v>
      </c>
      <c r="BE42" s="51" t="n">
        <f aca="false">IFERROR(BE39*Assumptions!$C$27/12,0)</f>
        <v>0</v>
      </c>
      <c r="BF42" s="51" t="n">
        <f aca="false">IFERROR(BF39*Assumptions!$C$27/12,0)</f>
        <v>0</v>
      </c>
      <c r="BG42" s="51" t="n">
        <f aca="false">IFERROR(BG39*Assumptions!$C$27/12,0)</f>
        <v>0</v>
      </c>
      <c r="BH42" s="51" t="n">
        <f aca="false">IFERROR(BH39*Assumptions!$C$27/12,0)</f>
        <v>0</v>
      </c>
      <c r="BI42" s="51" t="n">
        <f aca="false">IFERROR(BI39*Assumptions!$C$27/12,0)</f>
        <v>0</v>
      </c>
      <c r="BJ42" s="51" t="n">
        <f aca="false">IFERROR(BJ39*Assumptions!$C$27/12,0)</f>
        <v>0</v>
      </c>
    </row>
    <row r="43" customFormat="false" ht="15" hidden="false" customHeight="false" outlineLevel="0" collapsed="false">
      <c r="A43" s="52" t="s">
        <v>259</v>
      </c>
      <c r="B43" s="53" t="s">
        <v>88</v>
      </c>
      <c r="C43" s="54" t="n">
        <f aca="false">IFERROR(C33-C41-C42,0)</f>
        <v>0</v>
      </c>
      <c r="D43" s="54" t="n">
        <f aca="false">IFERROR(D33-D41-D42,0)</f>
        <v>0</v>
      </c>
      <c r="E43" s="54" t="n">
        <f aca="false">IFERROR(E33-E41-E42,0)</f>
        <v>0</v>
      </c>
      <c r="F43" s="54" t="n">
        <f aca="false">IFERROR(F33-F41-F42,0)</f>
        <v>0</v>
      </c>
      <c r="G43" s="54" t="n">
        <f aca="false">IFERROR(G33-G41-G42,0)</f>
        <v>0</v>
      </c>
      <c r="H43" s="54" t="n">
        <f aca="false">IFERROR(H33-H41-H42,0)</f>
        <v>0</v>
      </c>
      <c r="I43" s="54" t="n">
        <f aca="false">IFERROR(I33-I41-I42,0)</f>
        <v>0</v>
      </c>
      <c r="J43" s="54" t="n">
        <f aca="false">IFERROR(J33-J41-J42,0)</f>
        <v>0</v>
      </c>
      <c r="K43" s="54" t="n">
        <f aca="false">IFERROR(K33-K41-K42,0)</f>
        <v>0</v>
      </c>
      <c r="L43" s="54" t="n">
        <f aca="false">IFERROR(L33-L41-L42,0)</f>
        <v>0</v>
      </c>
      <c r="M43" s="54" t="n">
        <f aca="false">IFERROR(M33-M41-M42,0)</f>
        <v>0</v>
      </c>
      <c r="N43" s="54" t="n">
        <f aca="false">IFERROR(N33-N41-N42,0)</f>
        <v>0</v>
      </c>
      <c r="O43" s="54" t="n">
        <f aca="false">IFERROR(O33-O41-O42,0)</f>
        <v>0</v>
      </c>
      <c r="P43" s="54" t="n">
        <f aca="false">IFERROR(P33-P41-P42,0)</f>
        <v>0</v>
      </c>
      <c r="Q43" s="54" t="n">
        <f aca="false">IFERROR(Q33-Q41-Q42,0)</f>
        <v>0</v>
      </c>
      <c r="R43" s="54" t="n">
        <f aca="false">IFERROR(R33-R41-R42,0)</f>
        <v>0</v>
      </c>
      <c r="S43" s="54" t="n">
        <f aca="false">IFERROR(S33-S41-S42,0)</f>
        <v>0</v>
      </c>
      <c r="T43" s="54" t="n">
        <f aca="false">IFERROR(T33-T41-T42,0)</f>
        <v>0</v>
      </c>
      <c r="U43" s="54" t="n">
        <f aca="false">IFERROR(U33-U41-U42,0)</f>
        <v>0</v>
      </c>
      <c r="V43" s="54" t="n">
        <f aca="false">IFERROR(V33-V41-V42,0)</f>
        <v>0</v>
      </c>
      <c r="W43" s="54" t="n">
        <f aca="false">IFERROR(W33-W41-W42,0)</f>
        <v>0</v>
      </c>
      <c r="X43" s="54" t="n">
        <f aca="false">IFERROR(X33-X41-X42,0)</f>
        <v>0</v>
      </c>
      <c r="Y43" s="54" t="n">
        <f aca="false">IFERROR(Y33-Y41-Y42,0)</f>
        <v>0</v>
      </c>
      <c r="Z43" s="54" t="n">
        <f aca="false">IFERROR(Z33-Z41-Z42,0)</f>
        <v>0</v>
      </c>
      <c r="AA43" s="54" t="n">
        <f aca="false">IFERROR(AA33-AA41-AA42,0)</f>
        <v>0</v>
      </c>
      <c r="AB43" s="54" t="n">
        <f aca="false">IFERROR(AB33-AB41-AB42,0)</f>
        <v>0</v>
      </c>
      <c r="AC43" s="54" t="n">
        <f aca="false">IFERROR(AC33-AC41-AC42,0)</f>
        <v>0</v>
      </c>
      <c r="AD43" s="54" t="n">
        <f aca="false">IFERROR(AD33-AD41-AD42,0)</f>
        <v>0</v>
      </c>
      <c r="AE43" s="54" t="n">
        <f aca="false">IFERROR(AE33-AE41-AE42,0)</f>
        <v>0</v>
      </c>
      <c r="AF43" s="54" t="n">
        <f aca="false">IFERROR(AF33-AF41-AF42,0)</f>
        <v>0</v>
      </c>
      <c r="AG43" s="54" t="n">
        <f aca="false">IFERROR(AG33-AG41-AG42,0)</f>
        <v>0</v>
      </c>
      <c r="AH43" s="54" t="n">
        <f aca="false">IFERROR(AH33-AH41-AH42,0)</f>
        <v>0</v>
      </c>
      <c r="AI43" s="54" t="n">
        <f aca="false">IFERROR(AI33-AI41-AI42,0)</f>
        <v>0</v>
      </c>
      <c r="AJ43" s="54" t="n">
        <f aca="false">IFERROR(AJ33-AJ41-AJ42,0)</f>
        <v>0</v>
      </c>
      <c r="AK43" s="54" t="n">
        <f aca="false">IFERROR(AK33-AK41-AK42,0)</f>
        <v>0</v>
      </c>
      <c r="AL43" s="54" t="n">
        <f aca="false">IFERROR(AL33-AL41-AL42,0)</f>
        <v>0</v>
      </c>
      <c r="AM43" s="54" t="n">
        <f aca="false">IFERROR(AM33-AM41-AM42,0)</f>
        <v>0</v>
      </c>
      <c r="AN43" s="54" t="n">
        <f aca="false">IFERROR(AN33-AN41-AN42,0)</f>
        <v>0</v>
      </c>
      <c r="AO43" s="54" t="n">
        <f aca="false">IFERROR(AO33-AO41-AO42,0)</f>
        <v>0</v>
      </c>
      <c r="AP43" s="54" t="n">
        <f aca="false">IFERROR(AP33-AP41-AP42,0)</f>
        <v>0</v>
      </c>
      <c r="AQ43" s="54" t="n">
        <f aca="false">IFERROR(AQ33-AQ41-AQ42,0)</f>
        <v>0</v>
      </c>
      <c r="AR43" s="54" t="n">
        <f aca="false">IFERROR(AR33-AR41-AR42,0)</f>
        <v>0</v>
      </c>
      <c r="AS43" s="54" t="n">
        <f aca="false">IFERROR(AS33-AS41-AS42,0)</f>
        <v>0</v>
      </c>
      <c r="AT43" s="54" t="n">
        <f aca="false">IFERROR(AT33-AT41-AT42,0)</f>
        <v>0</v>
      </c>
      <c r="AU43" s="54" t="n">
        <f aca="false">IFERROR(AU33-AU41-AU42,0)</f>
        <v>0</v>
      </c>
      <c r="AV43" s="54" t="n">
        <f aca="false">IFERROR(AV33-AV41-AV42,0)</f>
        <v>0</v>
      </c>
      <c r="AW43" s="54" t="n">
        <f aca="false">IFERROR(AW33-AW41-AW42,0)</f>
        <v>0</v>
      </c>
      <c r="AX43" s="54" t="n">
        <f aca="false">IFERROR(AX33-AX41-AX42,0)</f>
        <v>0</v>
      </c>
      <c r="AY43" s="54" t="n">
        <f aca="false">IFERROR(AY33-AY41-AY42,0)</f>
        <v>0</v>
      </c>
      <c r="AZ43" s="54" t="n">
        <f aca="false">IFERROR(AZ33-AZ41-AZ42,0)</f>
        <v>0</v>
      </c>
      <c r="BA43" s="54" t="n">
        <f aca="false">IFERROR(BA33-BA41-BA42,0)</f>
        <v>0</v>
      </c>
      <c r="BB43" s="54" t="n">
        <f aca="false">IFERROR(BB33-BB41-BB42,0)</f>
        <v>0</v>
      </c>
      <c r="BC43" s="54" t="n">
        <f aca="false">IFERROR(BC33-BC41-BC42,0)</f>
        <v>0</v>
      </c>
      <c r="BD43" s="54" t="n">
        <f aca="false">IFERROR(BD33-BD41-BD42,0)</f>
        <v>0</v>
      </c>
      <c r="BE43" s="54" t="n">
        <f aca="false">IFERROR(BE33-BE41-BE42,0)</f>
        <v>0</v>
      </c>
      <c r="BF43" s="54" t="n">
        <f aca="false">IFERROR(BF33-BF41-BF42,0)</f>
        <v>0</v>
      </c>
      <c r="BG43" s="54" t="n">
        <f aca="false">IFERROR(BG33-BG41-BG42,0)</f>
        <v>0</v>
      </c>
      <c r="BH43" s="54" t="n">
        <f aca="false">IFERROR(BH33-BH41-BH42,0)</f>
        <v>0</v>
      </c>
      <c r="BI43" s="54" t="n">
        <f aca="false">IFERROR(BI33-BI41-BI42,0)</f>
        <v>0</v>
      </c>
      <c r="BJ43" s="54" t="n">
        <f aca="false">IFERROR(BJ33-BJ41-BJ42,0)</f>
        <v>0</v>
      </c>
    </row>
    <row r="44" customFormat="false" ht="15" hidden="false" customHeight="false" outlineLevel="0" collapsed="false">
      <c r="A44" s="42" t="s">
        <v>260</v>
      </c>
      <c r="B44" s="49" t="s">
        <v>88</v>
      </c>
      <c r="C44" s="63" t="n">
        <f aca="false">IFERROR(C43,0)</f>
        <v>0</v>
      </c>
      <c r="D44" s="63" t="n">
        <f aca="false">C44+D43</f>
        <v>0</v>
      </c>
      <c r="E44" s="63" t="n">
        <f aca="false">D44+E43</f>
        <v>0</v>
      </c>
      <c r="F44" s="63" t="n">
        <f aca="false">E44+F43</f>
        <v>0</v>
      </c>
      <c r="G44" s="63" t="n">
        <f aca="false">F44+G43</f>
        <v>0</v>
      </c>
      <c r="H44" s="63" t="n">
        <f aca="false">G44+H43</f>
        <v>0</v>
      </c>
      <c r="I44" s="63" t="n">
        <f aca="false">H44+I43</f>
        <v>0</v>
      </c>
      <c r="J44" s="63" t="n">
        <f aca="false">I44+J43</f>
        <v>0</v>
      </c>
      <c r="K44" s="63" t="n">
        <f aca="false">J44+K43</f>
        <v>0</v>
      </c>
      <c r="L44" s="63" t="n">
        <f aca="false">K44+L43</f>
        <v>0</v>
      </c>
      <c r="M44" s="63" t="n">
        <f aca="false">L44+M43</f>
        <v>0</v>
      </c>
      <c r="N44" s="63" t="n">
        <f aca="false">M44+N43</f>
        <v>0</v>
      </c>
      <c r="O44" s="63" t="n">
        <f aca="false">N44+O43</f>
        <v>0</v>
      </c>
      <c r="P44" s="63" t="n">
        <f aca="false">O44+P43</f>
        <v>0</v>
      </c>
      <c r="Q44" s="63" t="n">
        <f aca="false">P44+Q43</f>
        <v>0</v>
      </c>
      <c r="R44" s="63" t="n">
        <f aca="false">Q44+R43</f>
        <v>0</v>
      </c>
      <c r="S44" s="63" t="n">
        <f aca="false">R44+S43</f>
        <v>0</v>
      </c>
      <c r="T44" s="63" t="n">
        <f aca="false">S44+T43</f>
        <v>0</v>
      </c>
      <c r="U44" s="63" t="n">
        <f aca="false">T44+U43</f>
        <v>0</v>
      </c>
      <c r="V44" s="63" t="n">
        <f aca="false">U44+V43</f>
        <v>0</v>
      </c>
      <c r="W44" s="63" t="n">
        <f aca="false">V44+W43</f>
        <v>0</v>
      </c>
      <c r="X44" s="63" t="n">
        <f aca="false">W44+X43</f>
        <v>0</v>
      </c>
      <c r="Y44" s="63" t="n">
        <f aca="false">X44+Y43</f>
        <v>0</v>
      </c>
      <c r="Z44" s="63" t="n">
        <f aca="false">Y44+Z43</f>
        <v>0</v>
      </c>
      <c r="AA44" s="63" t="n">
        <f aca="false">Z44+AA43</f>
        <v>0</v>
      </c>
      <c r="AB44" s="63" t="n">
        <f aca="false">AA44+AB43</f>
        <v>0</v>
      </c>
      <c r="AC44" s="63" t="n">
        <f aca="false">AB44+AC43</f>
        <v>0</v>
      </c>
      <c r="AD44" s="63" t="n">
        <f aca="false">AC44+AD43</f>
        <v>0</v>
      </c>
      <c r="AE44" s="63" t="n">
        <f aca="false">AD44+AE43</f>
        <v>0</v>
      </c>
      <c r="AF44" s="63" t="n">
        <f aca="false">AE44+AF43</f>
        <v>0</v>
      </c>
      <c r="AG44" s="63" t="n">
        <f aca="false">AF44+AG43</f>
        <v>0</v>
      </c>
      <c r="AH44" s="63" t="n">
        <f aca="false">AG44+AH43</f>
        <v>0</v>
      </c>
      <c r="AI44" s="63" t="n">
        <f aca="false">AH44+AI43</f>
        <v>0</v>
      </c>
      <c r="AJ44" s="63" t="n">
        <f aca="false">AI44+AJ43</f>
        <v>0</v>
      </c>
      <c r="AK44" s="63" t="n">
        <f aca="false">AJ44+AK43</f>
        <v>0</v>
      </c>
      <c r="AL44" s="63" t="n">
        <f aca="false">AK44+AL43</f>
        <v>0</v>
      </c>
      <c r="AM44" s="63" t="n">
        <f aca="false">AL44+AM43</f>
        <v>0</v>
      </c>
      <c r="AN44" s="63" t="n">
        <f aca="false">AM44+AN43</f>
        <v>0</v>
      </c>
      <c r="AO44" s="63" t="n">
        <f aca="false">AN44+AO43</f>
        <v>0</v>
      </c>
      <c r="AP44" s="63" t="n">
        <f aca="false">AO44+AP43</f>
        <v>0</v>
      </c>
      <c r="AQ44" s="63" t="n">
        <f aca="false">AP44+AQ43</f>
        <v>0</v>
      </c>
      <c r="AR44" s="63" t="n">
        <f aca="false">AQ44+AR43</f>
        <v>0</v>
      </c>
      <c r="AS44" s="63" t="n">
        <f aca="false">AR44+AS43</f>
        <v>0</v>
      </c>
      <c r="AT44" s="63" t="n">
        <f aca="false">AS44+AT43</f>
        <v>0</v>
      </c>
      <c r="AU44" s="63" t="n">
        <f aca="false">AT44+AU43</f>
        <v>0</v>
      </c>
      <c r="AV44" s="63" t="n">
        <f aca="false">AU44+AV43</f>
        <v>0</v>
      </c>
      <c r="AW44" s="63" t="n">
        <f aca="false">AV44+AW43</f>
        <v>0</v>
      </c>
      <c r="AX44" s="63" t="n">
        <f aca="false">AW44+AX43</f>
        <v>0</v>
      </c>
      <c r="AY44" s="63" t="n">
        <f aca="false">AX44+AY43</f>
        <v>0</v>
      </c>
      <c r="AZ44" s="63" t="n">
        <f aca="false">AY44+AZ43</f>
        <v>0</v>
      </c>
      <c r="BA44" s="63" t="n">
        <f aca="false">AZ44+BA43</f>
        <v>0</v>
      </c>
      <c r="BB44" s="63" t="n">
        <f aca="false">BA44+BB43</f>
        <v>0</v>
      </c>
      <c r="BC44" s="63" t="n">
        <f aca="false">BB44+BC43</f>
        <v>0</v>
      </c>
      <c r="BD44" s="63" t="n">
        <f aca="false">BC44+BD43</f>
        <v>0</v>
      </c>
      <c r="BE44" s="63" t="n">
        <f aca="false">BD44+BE43</f>
        <v>0</v>
      </c>
      <c r="BF44" s="63" t="n">
        <f aca="false">BE44+BF43</f>
        <v>0</v>
      </c>
      <c r="BG44" s="63" t="n">
        <f aca="false">BF44+BG43</f>
        <v>0</v>
      </c>
      <c r="BH44" s="63" t="n">
        <f aca="false">BG44+BH43</f>
        <v>0</v>
      </c>
      <c r="BI44" s="63" t="n">
        <f aca="false">BH44+BI43</f>
        <v>0</v>
      </c>
      <c r="BJ44" s="63" t="n">
        <f aca="false">BI44+BJ43</f>
        <v>0</v>
      </c>
    </row>
    <row r="45" customFormat="false" ht="15" hidden="false" customHeight="false" outlineLevel="0" collapsed="false">
      <c r="A45" s="42" t="s">
        <v>261</v>
      </c>
      <c r="B45" s="49" t="s">
        <v>88</v>
      </c>
      <c r="C45" s="63" t="n">
        <f aca="false">IFERROR(MAX(0,C44)*Assumptions!$C$6,0)</f>
        <v>0</v>
      </c>
      <c r="D45" s="63" t="n">
        <f aca="false">IFERROR(MAX(0,D44)*Assumptions!$C$6,0)</f>
        <v>0</v>
      </c>
      <c r="E45" s="63" t="n">
        <f aca="false">IFERROR(MAX(0,E44)*Assumptions!$C$6,0)</f>
        <v>0</v>
      </c>
      <c r="F45" s="63" t="n">
        <f aca="false">IFERROR(MAX(0,F44)*Assumptions!$C$6,0)</f>
        <v>0</v>
      </c>
      <c r="G45" s="63" t="n">
        <f aca="false">IFERROR(MAX(0,G44)*Assumptions!$C$6,0)</f>
        <v>0</v>
      </c>
      <c r="H45" s="63" t="n">
        <f aca="false">IFERROR(MAX(0,H44)*Assumptions!$C$6,0)</f>
        <v>0</v>
      </c>
      <c r="I45" s="63" t="n">
        <f aca="false">IFERROR(MAX(0,I44)*Assumptions!$C$6,0)</f>
        <v>0</v>
      </c>
      <c r="J45" s="63" t="n">
        <f aca="false">IFERROR(MAX(0,J44)*Assumptions!$C$6,0)</f>
        <v>0</v>
      </c>
      <c r="K45" s="63" t="n">
        <f aca="false">IFERROR(MAX(0,K44)*Assumptions!$C$6,0)</f>
        <v>0</v>
      </c>
      <c r="L45" s="63" t="n">
        <f aca="false">IFERROR(MAX(0,L44)*Assumptions!$C$6,0)</f>
        <v>0</v>
      </c>
      <c r="M45" s="63" t="n">
        <f aca="false">IFERROR(MAX(0,M44)*Assumptions!$C$6,0)</f>
        <v>0</v>
      </c>
      <c r="N45" s="63" t="n">
        <f aca="false">IFERROR(MAX(0,N44)*Assumptions!$C$6,0)</f>
        <v>0</v>
      </c>
      <c r="O45" s="63" t="n">
        <f aca="false">IFERROR(MAX(0,O44)*Assumptions!$C$6,0)</f>
        <v>0</v>
      </c>
      <c r="P45" s="63" t="n">
        <f aca="false">IFERROR(MAX(0,P44)*Assumptions!$C$6,0)</f>
        <v>0</v>
      </c>
      <c r="Q45" s="63" t="n">
        <f aca="false">IFERROR(MAX(0,Q44)*Assumptions!$C$6,0)</f>
        <v>0</v>
      </c>
      <c r="R45" s="63" t="n">
        <f aca="false">IFERROR(MAX(0,R44)*Assumptions!$C$6,0)</f>
        <v>0</v>
      </c>
      <c r="S45" s="63" t="n">
        <f aca="false">IFERROR(MAX(0,S44)*Assumptions!$C$6,0)</f>
        <v>0</v>
      </c>
      <c r="T45" s="63" t="n">
        <f aca="false">IFERROR(MAX(0,T44)*Assumptions!$C$6,0)</f>
        <v>0</v>
      </c>
      <c r="U45" s="63" t="n">
        <f aca="false">IFERROR(MAX(0,U44)*Assumptions!$C$6,0)</f>
        <v>0</v>
      </c>
      <c r="V45" s="63" t="n">
        <f aca="false">IFERROR(MAX(0,V44)*Assumptions!$C$6,0)</f>
        <v>0</v>
      </c>
      <c r="W45" s="63" t="n">
        <f aca="false">IFERROR(MAX(0,W44)*Assumptions!$C$6,0)</f>
        <v>0</v>
      </c>
      <c r="X45" s="63" t="n">
        <f aca="false">IFERROR(MAX(0,X44)*Assumptions!$C$6,0)</f>
        <v>0</v>
      </c>
      <c r="Y45" s="63" t="n">
        <f aca="false">IFERROR(MAX(0,Y44)*Assumptions!$C$6,0)</f>
        <v>0</v>
      </c>
      <c r="Z45" s="63" t="n">
        <f aca="false">IFERROR(MAX(0,Z44)*Assumptions!$C$6,0)</f>
        <v>0</v>
      </c>
      <c r="AA45" s="63" t="n">
        <f aca="false">IFERROR(MAX(0,AA44)*Assumptions!$C$6,0)</f>
        <v>0</v>
      </c>
      <c r="AB45" s="63" t="n">
        <f aca="false">IFERROR(MAX(0,AB44)*Assumptions!$C$6,0)</f>
        <v>0</v>
      </c>
      <c r="AC45" s="63" t="n">
        <f aca="false">IFERROR(MAX(0,AC44)*Assumptions!$C$6,0)</f>
        <v>0</v>
      </c>
      <c r="AD45" s="63" t="n">
        <f aca="false">IFERROR(MAX(0,AD44)*Assumptions!$C$6,0)</f>
        <v>0</v>
      </c>
      <c r="AE45" s="63" t="n">
        <f aca="false">IFERROR(MAX(0,AE44)*Assumptions!$C$6,0)</f>
        <v>0</v>
      </c>
      <c r="AF45" s="63" t="n">
        <f aca="false">IFERROR(MAX(0,AF44)*Assumptions!$C$6,0)</f>
        <v>0</v>
      </c>
      <c r="AG45" s="63" t="n">
        <f aca="false">IFERROR(MAX(0,AG44)*Assumptions!$C$6,0)</f>
        <v>0</v>
      </c>
      <c r="AH45" s="63" t="n">
        <f aca="false">IFERROR(MAX(0,AH44)*Assumptions!$C$6,0)</f>
        <v>0</v>
      </c>
      <c r="AI45" s="63" t="n">
        <f aca="false">IFERROR(MAX(0,AI44)*Assumptions!$C$6,0)</f>
        <v>0</v>
      </c>
      <c r="AJ45" s="63" t="n">
        <f aca="false">IFERROR(MAX(0,AJ44)*Assumptions!$C$6,0)</f>
        <v>0</v>
      </c>
      <c r="AK45" s="63" t="n">
        <f aca="false">IFERROR(MAX(0,AK44)*Assumptions!$C$6,0)</f>
        <v>0</v>
      </c>
      <c r="AL45" s="63" t="n">
        <f aca="false">IFERROR(MAX(0,AL44)*Assumptions!$C$6,0)</f>
        <v>0</v>
      </c>
      <c r="AM45" s="63" t="n">
        <f aca="false">IFERROR(MAX(0,AM44)*Assumptions!$C$6,0)</f>
        <v>0</v>
      </c>
      <c r="AN45" s="63" t="n">
        <f aca="false">IFERROR(MAX(0,AN44)*Assumptions!$C$6,0)</f>
        <v>0</v>
      </c>
      <c r="AO45" s="63" t="n">
        <f aca="false">IFERROR(MAX(0,AO44)*Assumptions!$C$6,0)</f>
        <v>0</v>
      </c>
      <c r="AP45" s="63" t="n">
        <f aca="false">IFERROR(MAX(0,AP44)*Assumptions!$C$6,0)</f>
        <v>0</v>
      </c>
      <c r="AQ45" s="63" t="n">
        <f aca="false">IFERROR(MAX(0,AQ44)*Assumptions!$C$6,0)</f>
        <v>0</v>
      </c>
      <c r="AR45" s="63" t="n">
        <f aca="false">IFERROR(MAX(0,AR44)*Assumptions!$C$6,0)</f>
        <v>0</v>
      </c>
      <c r="AS45" s="63" t="n">
        <f aca="false">IFERROR(MAX(0,AS44)*Assumptions!$C$6,0)</f>
        <v>0</v>
      </c>
      <c r="AT45" s="63" t="n">
        <f aca="false">IFERROR(MAX(0,AT44)*Assumptions!$C$6,0)</f>
        <v>0</v>
      </c>
      <c r="AU45" s="63" t="n">
        <f aca="false">IFERROR(MAX(0,AU44)*Assumptions!$C$6,0)</f>
        <v>0</v>
      </c>
      <c r="AV45" s="63" t="n">
        <f aca="false">IFERROR(MAX(0,AV44)*Assumptions!$C$6,0)</f>
        <v>0</v>
      </c>
      <c r="AW45" s="63" t="n">
        <f aca="false">IFERROR(MAX(0,AW44)*Assumptions!$C$6,0)</f>
        <v>0</v>
      </c>
      <c r="AX45" s="63" t="n">
        <f aca="false">IFERROR(MAX(0,AX44)*Assumptions!$C$6,0)</f>
        <v>0</v>
      </c>
      <c r="AY45" s="63" t="n">
        <f aca="false">IFERROR(MAX(0,AY44)*Assumptions!$C$6,0)</f>
        <v>0</v>
      </c>
      <c r="AZ45" s="63" t="n">
        <f aca="false">IFERROR(MAX(0,AZ44)*Assumptions!$C$6,0)</f>
        <v>0</v>
      </c>
      <c r="BA45" s="63" t="n">
        <f aca="false">IFERROR(MAX(0,BA44)*Assumptions!$C$6,0)</f>
        <v>0</v>
      </c>
      <c r="BB45" s="63" t="n">
        <f aca="false">IFERROR(MAX(0,BB44)*Assumptions!$C$6,0)</f>
        <v>0</v>
      </c>
      <c r="BC45" s="63" t="n">
        <f aca="false">IFERROR(MAX(0,BC44)*Assumptions!$C$6,0)</f>
        <v>0</v>
      </c>
      <c r="BD45" s="63" t="n">
        <f aca="false">IFERROR(MAX(0,BD44)*Assumptions!$C$6,0)</f>
        <v>0</v>
      </c>
      <c r="BE45" s="63" t="n">
        <f aca="false">IFERROR(MAX(0,BE44)*Assumptions!$C$6,0)</f>
        <v>0</v>
      </c>
      <c r="BF45" s="63" t="n">
        <f aca="false">IFERROR(MAX(0,BF44)*Assumptions!$C$6,0)</f>
        <v>0</v>
      </c>
      <c r="BG45" s="63" t="n">
        <f aca="false">IFERROR(MAX(0,BG44)*Assumptions!$C$6,0)</f>
        <v>0</v>
      </c>
      <c r="BH45" s="63" t="n">
        <f aca="false">IFERROR(MAX(0,BH44)*Assumptions!$C$6,0)</f>
        <v>0</v>
      </c>
      <c r="BI45" s="63" t="n">
        <f aca="false">IFERROR(MAX(0,BI44)*Assumptions!$C$6,0)</f>
        <v>0</v>
      </c>
      <c r="BJ45" s="63" t="n">
        <f aca="false">IFERROR(MAX(0,BJ44)*Assumptions!$C$6,0)</f>
        <v>0</v>
      </c>
    </row>
    <row r="46" customFormat="false" ht="15" hidden="false" customHeight="false" outlineLevel="0" collapsed="false">
      <c r="A46" s="42" t="s">
        <v>262</v>
      </c>
      <c r="B46" s="49" t="s">
        <v>88</v>
      </c>
      <c r="C46" s="51" t="n">
        <f aca="false">IFERROR(MAX(0,C45),0)</f>
        <v>0</v>
      </c>
      <c r="D46" s="51" t="n">
        <f aca="false">IFERROR(MAX(0,D45-C45),0)</f>
        <v>0</v>
      </c>
      <c r="E46" s="51" t="n">
        <f aca="false">IFERROR(MAX(0,E45-D45),0)</f>
        <v>0</v>
      </c>
      <c r="F46" s="51" t="n">
        <f aca="false">IFERROR(MAX(0,F45-E45),0)</f>
        <v>0</v>
      </c>
      <c r="G46" s="51" t="n">
        <f aca="false">IFERROR(MAX(0,G45-F45),0)</f>
        <v>0</v>
      </c>
      <c r="H46" s="51" t="n">
        <f aca="false">IFERROR(MAX(0,H45-G45),0)</f>
        <v>0</v>
      </c>
      <c r="I46" s="51" t="n">
        <f aca="false">IFERROR(MAX(0,I45-H45),0)</f>
        <v>0</v>
      </c>
      <c r="J46" s="51" t="n">
        <f aca="false">IFERROR(MAX(0,J45-I45),0)</f>
        <v>0</v>
      </c>
      <c r="K46" s="51" t="n">
        <f aca="false">IFERROR(MAX(0,K45-J45),0)</f>
        <v>0</v>
      </c>
      <c r="L46" s="51" t="n">
        <f aca="false">IFERROR(MAX(0,L45-K45),0)</f>
        <v>0</v>
      </c>
      <c r="M46" s="51" t="n">
        <f aca="false">IFERROR(MAX(0,M45-L45),0)</f>
        <v>0</v>
      </c>
      <c r="N46" s="51" t="n">
        <f aca="false">IFERROR(MAX(0,N45-M45),0)</f>
        <v>0</v>
      </c>
      <c r="O46" s="51" t="n">
        <f aca="false">IFERROR(MAX(0,O45-N45),0)</f>
        <v>0</v>
      </c>
      <c r="P46" s="51" t="n">
        <f aca="false">IFERROR(MAX(0,P45-O45),0)</f>
        <v>0</v>
      </c>
      <c r="Q46" s="51" t="n">
        <f aca="false">IFERROR(MAX(0,Q45-P45),0)</f>
        <v>0</v>
      </c>
      <c r="R46" s="51" t="n">
        <f aca="false">IFERROR(MAX(0,R45-Q45),0)</f>
        <v>0</v>
      </c>
      <c r="S46" s="51" t="n">
        <f aca="false">IFERROR(MAX(0,S45-R45),0)</f>
        <v>0</v>
      </c>
      <c r="T46" s="51" t="n">
        <f aca="false">IFERROR(MAX(0,T45-S45),0)</f>
        <v>0</v>
      </c>
      <c r="U46" s="51" t="n">
        <f aca="false">IFERROR(MAX(0,U45-T45),0)</f>
        <v>0</v>
      </c>
      <c r="V46" s="51" t="n">
        <f aca="false">IFERROR(MAX(0,V45-U45),0)</f>
        <v>0</v>
      </c>
      <c r="W46" s="51" t="n">
        <f aca="false">IFERROR(MAX(0,W45-V45),0)</f>
        <v>0</v>
      </c>
      <c r="X46" s="51" t="n">
        <f aca="false">IFERROR(MAX(0,X45-W45),0)</f>
        <v>0</v>
      </c>
      <c r="Y46" s="51" t="n">
        <f aca="false">IFERROR(MAX(0,Y45-X45),0)</f>
        <v>0</v>
      </c>
      <c r="Z46" s="51" t="n">
        <f aca="false">IFERROR(MAX(0,Z45-Y45),0)</f>
        <v>0</v>
      </c>
      <c r="AA46" s="51" t="n">
        <f aca="false">IFERROR(MAX(0,AA45-Z45),0)</f>
        <v>0</v>
      </c>
      <c r="AB46" s="51" t="n">
        <f aca="false">IFERROR(MAX(0,AB45-AA45),0)</f>
        <v>0</v>
      </c>
      <c r="AC46" s="51" t="n">
        <f aca="false">IFERROR(MAX(0,AC45-AB45),0)</f>
        <v>0</v>
      </c>
      <c r="AD46" s="51" t="n">
        <f aca="false">IFERROR(MAX(0,AD45-AC45),0)</f>
        <v>0</v>
      </c>
      <c r="AE46" s="51" t="n">
        <f aca="false">IFERROR(MAX(0,AE45-AD45),0)</f>
        <v>0</v>
      </c>
      <c r="AF46" s="51" t="n">
        <f aca="false">IFERROR(MAX(0,AF45-AE45),0)</f>
        <v>0</v>
      </c>
      <c r="AG46" s="51" t="n">
        <f aca="false">IFERROR(MAX(0,AG45-AF45),0)</f>
        <v>0</v>
      </c>
      <c r="AH46" s="51" t="n">
        <f aca="false">IFERROR(MAX(0,AH45-AG45),0)</f>
        <v>0</v>
      </c>
      <c r="AI46" s="51" t="n">
        <f aca="false">IFERROR(MAX(0,AI45-AH45),0)</f>
        <v>0</v>
      </c>
      <c r="AJ46" s="51" t="n">
        <f aca="false">IFERROR(MAX(0,AJ45-AI45),0)</f>
        <v>0</v>
      </c>
      <c r="AK46" s="51" t="n">
        <f aca="false">IFERROR(MAX(0,AK45-AJ45),0)</f>
        <v>0</v>
      </c>
      <c r="AL46" s="51" t="n">
        <f aca="false">IFERROR(MAX(0,AL45-AK45),0)</f>
        <v>0</v>
      </c>
      <c r="AM46" s="51" t="n">
        <f aca="false">IFERROR(MAX(0,AM45-AL45),0)</f>
        <v>0</v>
      </c>
      <c r="AN46" s="51" t="n">
        <f aca="false">IFERROR(MAX(0,AN45-AM45),0)</f>
        <v>0</v>
      </c>
      <c r="AO46" s="51" t="n">
        <f aca="false">IFERROR(MAX(0,AO45-AN45),0)</f>
        <v>0</v>
      </c>
      <c r="AP46" s="51" t="n">
        <f aca="false">IFERROR(MAX(0,AP45-AO45),0)</f>
        <v>0</v>
      </c>
      <c r="AQ46" s="51" t="n">
        <f aca="false">IFERROR(MAX(0,AQ45-AP45),0)</f>
        <v>0</v>
      </c>
      <c r="AR46" s="51" t="n">
        <f aca="false">IFERROR(MAX(0,AR45-AQ45),0)</f>
        <v>0</v>
      </c>
      <c r="AS46" s="51" t="n">
        <f aca="false">IFERROR(MAX(0,AS45-AR45),0)</f>
        <v>0</v>
      </c>
      <c r="AT46" s="51" t="n">
        <f aca="false">IFERROR(MAX(0,AT45-AS45),0)</f>
        <v>0</v>
      </c>
      <c r="AU46" s="51" t="n">
        <f aca="false">IFERROR(MAX(0,AU45-AT45),0)</f>
        <v>0</v>
      </c>
      <c r="AV46" s="51" t="n">
        <f aca="false">IFERROR(MAX(0,AV45-AU45),0)</f>
        <v>0</v>
      </c>
      <c r="AW46" s="51" t="n">
        <f aca="false">IFERROR(MAX(0,AW45-AV45),0)</f>
        <v>0</v>
      </c>
      <c r="AX46" s="51" t="n">
        <f aca="false">IFERROR(MAX(0,AX45-AW45),0)</f>
        <v>0</v>
      </c>
      <c r="AY46" s="51" t="n">
        <f aca="false">IFERROR(MAX(0,AY45-AX45),0)</f>
        <v>0</v>
      </c>
      <c r="AZ46" s="51" t="n">
        <f aca="false">IFERROR(MAX(0,AZ45-AY45),0)</f>
        <v>0</v>
      </c>
      <c r="BA46" s="51" t="n">
        <f aca="false">IFERROR(MAX(0,BA45-AZ45),0)</f>
        <v>0</v>
      </c>
      <c r="BB46" s="51" t="n">
        <f aca="false">IFERROR(MAX(0,BB45-BA45),0)</f>
        <v>0</v>
      </c>
      <c r="BC46" s="51" t="n">
        <f aca="false">IFERROR(MAX(0,BC45-BB45),0)</f>
        <v>0</v>
      </c>
      <c r="BD46" s="51" t="n">
        <f aca="false">IFERROR(MAX(0,BD45-BC45),0)</f>
        <v>0</v>
      </c>
      <c r="BE46" s="51" t="n">
        <f aca="false">IFERROR(MAX(0,BE45-BD45),0)</f>
        <v>0</v>
      </c>
      <c r="BF46" s="51" t="n">
        <f aca="false">IFERROR(MAX(0,BF45-BE45),0)</f>
        <v>0</v>
      </c>
      <c r="BG46" s="51" t="n">
        <f aca="false">IFERROR(MAX(0,BG45-BF45),0)</f>
        <v>0</v>
      </c>
      <c r="BH46" s="51" t="n">
        <f aca="false">IFERROR(MAX(0,BH45-BG45),0)</f>
        <v>0</v>
      </c>
      <c r="BI46" s="51" t="n">
        <f aca="false">IFERROR(MAX(0,BI45-BH45),0)</f>
        <v>0</v>
      </c>
      <c r="BJ46" s="51" t="n">
        <f aca="false">IFERROR(MAX(0,BJ45-BI45),0)</f>
        <v>0</v>
      </c>
    </row>
    <row r="47" customFormat="false" ht="15" hidden="false" customHeight="false" outlineLevel="0" collapsed="false">
      <c r="A47" s="52" t="s">
        <v>263</v>
      </c>
      <c r="B47" s="53" t="s">
        <v>88</v>
      </c>
      <c r="C47" s="54" t="n">
        <f aca="false">IFERROR(C43-C46,0)</f>
        <v>0</v>
      </c>
      <c r="D47" s="54" t="n">
        <f aca="false">IFERROR(D43-D46,0)</f>
        <v>0</v>
      </c>
      <c r="E47" s="54" t="n">
        <f aca="false">IFERROR(E43-E46,0)</f>
        <v>0</v>
      </c>
      <c r="F47" s="54" t="n">
        <f aca="false">IFERROR(F43-F46,0)</f>
        <v>0</v>
      </c>
      <c r="G47" s="54" t="n">
        <f aca="false">IFERROR(G43-G46,0)</f>
        <v>0</v>
      </c>
      <c r="H47" s="54" t="n">
        <f aca="false">IFERROR(H43-H46,0)</f>
        <v>0</v>
      </c>
      <c r="I47" s="54" t="n">
        <f aca="false">IFERROR(I43-I46,0)</f>
        <v>0</v>
      </c>
      <c r="J47" s="54" t="n">
        <f aca="false">IFERROR(J43-J46,0)</f>
        <v>0</v>
      </c>
      <c r="K47" s="54" t="n">
        <f aca="false">IFERROR(K43-K46,0)</f>
        <v>0</v>
      </c>
      <c r="L47" s="54" t="n">
        <f aca="false">IFERROR(L43-L46,0)</f>
        <v>0</v>
      </c>
      <c r="M47" s="54" t="n">
        <f aca="false">IFERROR(M43-M46,0)</f>
        <v>0</v>
      </c>
      <c r="N47" s="54" t="n">
        <f aca="false">IFERROR(N43-N46,0)</f>
        <v>0</v>
      </c>
      <c r="O47" s="54" t="n">
        <f aca="false">IFERROR(O43-O46,0)</f>
        <v>0</v>
      </c>
      <c r="P47" s="54" t="n">
        <f aca="false">IFERROR(P43-P46,0)</f>
        <v>0</v>
      </c>
      <c r="Q47" s="54" t="n">
        <f aca="false">IFERROR(Q43-Q46,0)</f>
        <v>0</v>
      </c>
      <c r="R47" s="54" t="n">
        <f aca="false">IFERROR(R43-R46,0)</f>
        <v>0</v>
      </c>
      <c r="S47" s="54" t="n">
        <f aca="false">IFERROR(S43-S46,0)</f>
        <v>0</v>
      </c>
      <c r="T47" s="54" t="n">
        <f aca="false">IFERROR(T43-T46,0)</f>
        <v>0</v>
      </c>
      <c r="U47" s="54" t="n">
        <f aca="false">IFERROR(U43-U46,0)</f>
        <v>0</v>
      </c>
      <c r="V47" s="54" t="n">
        <f aca="false">IFERROR(V43-V46,0)</f>
        <v>0</v>
      </c>
      <c r="W47" s="54" t="n">
        <f aca="false">IFERROR(W43-W46,0)</f>
        <v>0</v>
      </c>
      <c r="X47" s="54" t="n">
        <f aca="false">IFERROR(X43-X46,0)</f>
        <v>0</v>
      </c>
      <c r="Y47" s="54" t="n">
        <f aca="false">IFERROR(Y43-Y46,0)</f>
        <v>0</v>
      </c>
      <c r="Z47" s="54" t="n">
        <f aca="false">IFERROR(Z43-Z46,0)</f>
        <v>0</v>
      </c>
      <c r="AA47" s="54" t="n">
        <f aca="false">IFERROR(AA43-AA46,0)</f>
        <v>0</v>
      </c>
      <c r="AB47" s="54" t="n">
        <f aca="false">IFERROR(AB43-AB46,0)</f>
        <v>0</v>
      </c>
      <c r="AC47" s="54" t="n">
        <f aca="false">IFERROR(AC43-AC46,0)</f>
        <v>0</v>
      </c>
      <c r="AD47" s="54" t="n">
        <f aca="false">IFERROR(AD43-AD46,0)</f>
        <v>0</v>
      </c>
      <c r="AE47" s="54" t="n">
        <f aca="false">IFERROR(AE43-AE46,0)</f>
        <v>0</v>
      </c>
      <c r="AF47" s="54" t="n">
        <f aca="false">IFERROR(AF43-AF46,0)</f>
        <v>0</v>
      </c>
      <c r="AG47" s="54" t="n">
        <f aca="false">IFERROR(AG43-AG46,0)</f>
        <v>0</v>
      </c>
      <c r="AH47" s="54" t="n">
        <f aca="false">IFERROR(AH43-AH46,0)</f>
        <v>0</v>
      </c>
      <c r="AI47" s="54" t="n">
        <f aca="false">IFERROR(AI43-AI46,0)</f>
        <v>0</v>
      </c>
      <c r="AJ47" s="54" t="n">
        <f aca="false">IFERROR(AJ43-AJ46,0)</f>
        <v>0</v>
      </c>
      <c r="AK47" s="54" t="n">
        <f aca="false">IFERROR(AK43-AK46,0)</f>
        <v>0</v>
      </c>
      <c r="AL47" s="54" t="n">
        <f aca="false">IFERROR(AL43-AL46,0)</f>
        <v>0</v>
      </c>
      <c r="AM47" s="54" t="n">
        <f aca="false">IFERROR(AM43-AM46,0)</f>
        <v>0</v>
      </c>
      <c r="AN47" s="54" t="n">
        <f aca="false">IFERROR(AN43-AN46,0)</f>
        <v>0</v>
      </c>
      <c r="AO47" s="54" t="n">
        <f aca="false">IFERROR(AO43-AO46,0)</f>
        <v>0</v>
      </c>
      <c r="AP47" s="54" t="n">
        <f aca="false">IFERROR(AP43-AP46,0)</f>
        <v>0</v>
      </c>
      <c r="AQ47" s="54" t="n">
        <f aca="false">IFERROR(AQ43-AQ46,0)</f>
        <v>0</v>
      </c>
      <c r="AR47" s="54" t="n">
        <f aca="false">IFERROR(AR43-AR46,0)</f>
        <v>0</v>
      </c>
      <c r="AS47" s="54" t="n">
        <f aca="false">IFERROR(AS43-AS46,0)</f>
        <v>0</v>
      </c>
      <c r="AT47" s="54" t="n">
        <f aca="false">IFERROR(AT43-AT46,0)</f>
        <v>0</v>
      </c>
      <c r="AU47" s="54" t="n">
        <f aca="false">IFERROR(AU43-AU46,0)</f>
        <v>0</v>
      </c>
      <c r="AV47" s="54" t="n">
        <f aca="false">IFERROR(AV43-AV46,0)</f>
        <v>0</v>
      </c>
      <c r="AW47" s="54" t="n">
        <f aca="false">IFERROR(AW43-AW46,0)</f>
        <v>0</v>
      </c>
      <c r="AX47" s="54" t="n">
        <f aca="false">IFERROR(AX43-AX46,0)</f>
        <v>0</v>
      </c>
      <c r="AY47" s="54" t="n">
        <f aca="false">IFERROR(AY43-AY46,0)</f>
        <v>0</v>
      </c>
      <c r="AZ47" s="54" t="n">
        <f aca="false">IFERROR(AZ43-AZ46,0)</f>
        <v>0</v>
      </c>
      <c r="BA47" s="54" t="n">
        <f aca="false">IFERROR(BA43-BA46,0)</f>
        <v>0</v>
      </c>
      <c r="BB47" s="54" t="n">
        <f aca="false">IFERROR(BB43-BB46,0)</f>
        <v>0</v>
      </c>
      <c r="BC47" s="54" t="n">
        <f aca="false">IFERROR(BC43-BC46,0)</f>
        <v>0</v>
      </c>
      <c r="BD47" s="54" t="n">
        <f aca="false">IFERROR(BD43-BD46,0)</f>
        <v>0</v>
      </c>
      <c r="BE47" s="54" t="n">
        <f aca="false">IFERROR(BE43-BE46,0)</f>
        <v>0</v>
      </c>
      <c r="BF47" s="54" t="n">
        <f aca="false">IFERROR(BF43-BF46,0)</f>
        <v>0</v>
      </c>
      <c r="BG47" s="54" t="n">
        <f aca="false">IFERROR(BG43-BG46,0)</f>
        <v>0</v>
      </c>
      <c r="BH47" s="54" t="n">
        <f aca="false">IFERROR(BH43-BH46,0)</f>
        <v>0</v>
      </c>
      <c r="BI47" s="54" t="n">
        <f aca="false">IFERROR(BI43-BI46,0)</f>
        <v>0</v>
      </c>
      <c r="BJ47" s="54" t="n">
        <f aca="false">IFERROR(BJ43-BJ46,0)</f>
        <v>0</v>
      </c>
    </row>
    <row r="48" customFormat="false" ht="15" hidden="false" customHeight="false" outlineLevel="0" collapsed="false">
      <c r="A48" s="42" t="s">
        <v>264</v>
      </c>
      <c r="B48" s="49" t="s">
        <v>73</v>
      </c>
      <c r="C48" s="62" t="n">
        <f aca="false">IFERROR(IF(C13=0,0,C47/C13),0)</f>
        <v>0</v>
      </c>
      <c r="D48" s="62" t="n">
        <f aca="false">IFERROR(IF(D13=0,0,D47/D13),0)</f>
        <v>0</v>
      </c>
      <c r="E48" s="62" t="n">
        <f aca="false">IFERROR(IF(E13=0,0,E47/E13),0)</f>
        <v>0</v>
      </c>
      <c r="F48" s="62" t="n">
        <f aca="false">IFERROR(IF(F13=0,0,F47/F13),0)</f>
        <v>0</v>
      </c>
      <c r="G48" s="62" t="n">
        <f aca="false">IFERROR(IF(G13=0,0,G47/G13),0)</f>
        <v>0</v>
      </c>
      <c r="H48" s="62" t="n">
        <f aca="false">IFERROR(IF(H13=0,0,H47/H13),0)</f>
        <v>0</v>
      </c>
      <c r="I48" s="62" t="n">
        <f aca="false">IFERROR(IF(I13=0,0,I47/I13),0)</f>
        <v>0</v>
      </c>
      <c r="J48" s="62" t="n">
        <f aca="false">IFERROR(IF(J13=0,0,J47/J13),0)</f>
        <v>0</v>
      </c>
      <c r="K48" s="62" t="n">
        <f aca="false">IFERROR(IF(K13=0,0,K47/K13),0)</f>
        <v>0</v>
      </c>
      <c r="L48" s="62" t="n">
        <f aca="false">IFERROR(IF(L13=0,0,L47/L13),0)</f>
        <v>0</v>
      </c>
      <c r="M48" s="62" t="n">
        <f aca="false">IFERROR(IF(M13=0,0,M47/M13),0)</f>
        <v>0</v>
      </c>
      <c r="N48" s="62" t="n">
        <f aca="false">IFERROR(IF(N13=0,0,N47/N13),0)</f>
        <v>0</v>
      </c>
      <c r="O48" s="62" t="n">
        <f aca="false">IFERROR(IF(O13=0,0,O47/O13),0)</f>
        <v>0</v>
      </c>
      <c r="P48" s="62" t="n">
        <f aca="false">IFERROR(IF(P13=0,0,P47/P13),0)</f>
        <v>0</v>
      </c>
      <c r="Q48" s="62" t="n">
        <f aca="false">IFERROR(IF(Q13=0,0,Q47/Q13),0)</f>
        <v>0</v>
      </c>
      <c r="R48" s="62" t="n">
        <f aca="false">IFERROR(IF(R13=0,0,R47/R13),0)</f>
        <v>0</v>
      </c>
      <c r="S48" s="62" t="n">
        <f aca="false">IFERROR(IF(S13=0,0,S47/S13),0)</f>
        <v>0</v>
      </c>
      <c r="T48" s="62" t="n">
        <f aca="false">IFERROR(IF(T13=0,0,T47/T13),0)</f>
        <v>0</v>
      </c>
      <c r="U48" s="62" t="n">
        <f aca="false">IFERROR(IF(U13=0,0,U47/U13),0)</f>
        <v>0</v>
      </c>
      <c r="V48" s="62" t="n">
        <f aca="false">IFERROR(IF(V13=0,0,V47/V13),0)</f>
        <v>0</v>
      </c>
      <c r="W48" s="62" t="n">
        <f aca="false">IFERROR(IF(W13=0,0,W47/W13),0)</f>
        <v>0</v>
      </c>
      <c r="X48" s="62" t="n">
        <f aca="false">IFERROR(IF(X13=0,0,X47/X13),0)</f>
        <v>0</v>
      </c>
      <c r="Y48" s="62" t="n">
        <f aca="false">IFERROR(IF(Y13=0,0,Y47/Y13),0)</f>
        <v>0</v>
      </c>
      <c r="Z48" s="62" t="n">
        <f aca="false">IFERROR(IF(Z13=0,0,Z47/Z13),0)</f>
        <v>0</v>
      </c>
      <c r="AA48" s="62" t="n">
        <f aca="false">IFERROR(IF(AA13=0,0,AA47/AA13),0)</f>
        <v>0</v>
      </c>
      <c r="AB48" s="62" t="n">
        <f aca="false">IFERROR(IF(AB13=0,0,AB47/AB13),0)</f>
        <v>0</v>
      </c>
      <c r="AC48" s="62" t="n">
        <f aca="false">IFERROR(IF(AC13=0,0,AC47/AC13),0)</f>
        <v>0</v>
      </c>
      <c r="AD48" s="62" t="n">
        <f aca="false">IFERROR(IF(AD13=0,0,AD47/AD13),0)</f>
        <v>0</v>
      </c>
      <c r="AE48" s="62" t="n">
        <f aca="false">IFERROR(IF(AE13=0,0,AE47/AE13),0)</f>
        <v>0</v>
      </c>
      <c r="AF48" s="62" t="n">
        <f aca="false">IFERROR(IF(AF13=0,0,AF47/AF13),0)</f>
        <v>0</v>
      </c>
      <c r="AG48" s="62" t="n">
        <f aca="false">IFERROR(IF(AG13=0,0,AG47/AG13),0)</f>
        <v>0</v>
      </c>
      <c r="AH48" s="62" t="n">
        <f aca="false">IFERROR(IF(AH13=0,0,AH47/AH13),0)</f>
        <v>0</v>
      </c>
      <c r="AI48" s="62" t="n">
        <f aca="false">IFERROR(IF(AI13=0,0,AI47/AI13),0)</f>
        <v>0</v>
      </c>
      <c r="AJ48" s="62" t="n">
        <f aca="false">IFERROR(IF(AJ13=0,0,AJ47/AJ13),0)</f>
        <v>0</v>
      </c>
      <c r="AK48" s="62" t="n">
        <f aca="false">IFERROR(IF(AK13=0,0,AK47/AK13),0)</f>
        <v>0</v>
      </c>
      <c r="AL48" s="62" t="n">
        <f aca="false">IFERROR(IF(AL13=0,0,AL47/AL13),0)</f>
        <v>0</v>
      </c>
      <c r="AM48" s="62" t="n">
        <f aca="false">IFERROR(IF(AM13=0,0,AM47/AM13),0)</f>
        <v>0</v>
      </c>
      <c r="AN48" s="62" t="n">
        <f aca="false">IFERROR(IF(AN13=0,0,AN47/AN13),0)</f>
        <v>0</v>
      </c>
      <c r="AO48" s="62" t="n">
        <f aca="false">IFERROR(IF(AO13=0,0,AO47/AO13),0)</f>
        <v>0</v>
      </c>
      <c r="AP48" s="62" t="n">
        <f aca="false">IFERROR(IF(AP13=0,0,AP47/AP13),0)</f>
        <v>0</v>
      </c>
      <c r="AQ48" s="62" t="n">
        <f aca="false">IFERROR(IF(AQ13=0,0,AQ47/AQ13),0)</f>
        <v>0</v>
      </c>
      <c r="AR48" s="62" t="n">
        <f aca="false">IFERROR(IF(AR13=0,0,AR47/AR13),0)</f>
        <v>0</v>
      </c>
      <c r="AS48" s="62" t="n">
        <f aca="false">IFERROR(IF(AS13=0,0,AS47/AS13),0)</f>
        <v>0</v>
      </c>
      <c r="AT48" s="62" t="n">
        <f aca="false">IFERROR(IF(AT13=0,0,AT47/AT13),0)</f>
        <v>0</v>
      </c>
      <c r="AU48" s="62" t="n">
        <f aca="false">IFERROR(IF(AU13=0,0,AU47/AU13),0)</f>
        <v>0</v>
      </c>
      <c r="AV48" s="62" t="n">
        <f aca="false">IFERROR(IF(AV13=0,0,AV47/AV13),0)</f>
        <v>0</v>
      </c>
      <c r="AW48" s="62" t="n">
        <f aca="false">IFERROR(IF(AW13=0,0,AW47/AW13),0)</f>
        <v>0</v>
      </c>
      <c r="AX48" s="62" t="n">
        <f aca="false">IFERROR(IF(AX13=0,0,AX47/AX13),0)</f>
        <v>0</v>
      </c>
      <c r="AY48" s="62" t="n">
        <f aca="false">IFERROR(IF(AY13=0,0,AY47/AY13),0)</f>
        <v>0</v>
      </c>
      <c r="AZ48" s="62" t="n">
        <f aca="false">IFERROR(IF(AZ13=0,0,AZ47/AZ13),0)</f>
        <v>0</v>
      </c>
      <c r="BA48" s="62" t="n">
        <f aca="false">IFERROR(IF(BA13=0,0,BA47/BA13),0)</f>
        <v>0</v>
      </c>
      <c r="BB48" s="62" t="n">
        <f aca="false">IFERROR(IF(BB13=0,0,BB47/BB13),0)</f>
        <v>0</v>
      </c>
      <c r="BC48" s="62" t="n">
        <f aca="false">IFERROR(IF(BC13=0,0,BC47/BC13),0)</f>
        <v>0</v>
      </c>
      <c r="BD48" s="62" t="n">
        <f aca="false">IFERROR(IF(BD13=0,0,BD47/BD13),0)</f>
        <v>0</v>
      </c>
      <c r="BE48" s="62" t="n">
        <f aca="false">IFERROR(IF(BE13=0,0,BE47/BE13),0)</f>
        <v>0</v>
      </c>
      <c r="BF48" s="62" t="n">
        <f aca="false">IFERROR(IF(BF13=0,0,BF47/BF13),0)</f>
        <v>0</v>
      </c>
      <c r="BG48" s="62" t="n">
        <f aca="false">IFERROR(IF(BG13=0,0,BG47/BG13),0)</f>
        <v>0</v>
      </c>
      <c r="BH48" s="62" t="n">
        <f aca="false">IFERROR(IF(BH13=0,0,BH47/BH13),0)</f>
        <v>0</v>
      </c>
      <c r="BI48" s="62" t="n">
        <f aca="false">IFERROR(IF(BI13=0,0,BI47/BI13),0)</f>
        <v>0</v>
      </c>
      <c r="BJ48" s="62" t="n">
        <f aca="false">IFERROR(IF(BJ13=0,0,BJ47/BJ13),0)</f>
        <v>0</v>
      </c>
    </row>
    <row r="49" customFormat="false" ht="15" hidden="false" customHeight="false" outlineLevel="0" collapsed="false">
      <c r="A49" s="59" t="s">
        <v>265</v>
      </c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</row>
    <row r="50" customFormat="false" ht="15" hidden="false" customHeight="false" outlineLevel="0" collapsed="false">
      <c r="A50" s="6" t="s">
        <v>266</v>
      </c>
      <c r="B50" s="49" t="s">
        <v>88</v>
      </c>
      <c r="C50" s="50" t="n">
        <f aca="false">IFERROR(C47+C32,0)</f>
        <v>0</v>
      </c>
      <c r="D50" s="50" t="n">
        <f aca="false">IFERROR(D47+D32,0)</f>
        <v>0</v>
      </c>
      <c r="E50" s="50" t="n">
        <f aca="false">IFERROR(E47+E32,0)</f>
        <v>0</v>
      </c>
      <c r="F50" s="50" t="n">
        <f aca="false">IFERROR(F47+F32,0)</f>
        <v>0</v>
      </c>
      <c r="G50" s="50" t="n">
        <f aca="false">IFERROR(G47+G32,0)</f>
        <v>0</v>
      </c>
      <c r="H50" s="50" t="n">
        <f aca="false">IFERROR(H47+H32,0)</f>
        <v>0</v>
      </c>
      <c r="I50" s="50" t="n">
        <f aca="false">IFERROR(I47+I32,0)</f>
        <v>0</v>
      </c>
      <c r="J50" s="50" t="n">
        <f aca="false">IFERROR(J47+J32,0)</f>
        <v>0</v>
      </c>
      <c r="K50" s="50" t="n">
        <f aca="false">IFERROR(K47+K32,0)</f>
        <v>0</v>
      </c>
      <c r="L50" s="50" t="n">
        <f aca="false">IFERROR(L47+L32,0)</f>
        <v>0</v>
      </c>
      <c r="M50" s="50" t="n">
        <f aca="false">IFERROR(M47+M32,0)</f>
        <v>0</v>
      </c>
      <c r="N50" s="50" t="n">
        <f aca="false">IFERROR(N47+N32,0)</f>
        <v>0</v>
      </c>
      <c r="O50" s="50" t="n">
        <f aca="false">IFERROR(O47+O32,0)</f>
        <v>0</v>
      </c>
      <c r="P50" s="50" t="n">
        <f aca="false">IFERROR(P47+P32,0)</f>
        <v>0</v>
      </c>
      <c r="Q50" s="50" t="n">
        <f aca="false">IFERROR(Q47+Q32,0)</f>
        <v>0</v>
      </c>
      <c r="R50" s="50" t="n">
        <f aca="false">IFERROR(R47+R32,0)</f>
        <v>0</v>
      </c>
      <c r="S50" s="50" t="n">
        <f aca="false">IFERROR(S47+S32,0)</f>
        <v>0</v>
      </c>
      <c r="T50" s="50" t="n">
        <f aca="false">IFERROR(T47+T32,0)</f>
        <v>0</v>
      </c>
      <c r="U50" s="50" t="n">
        <f aca="false">IFERROR(U47+U32,0)</f>
        <v>0</v>
      </c>
      <c r="V50" s="50" t="n">
        <f aca="false">IFERROR(V47+V32,0)</f>
        <v>0</v>
      </c>
      <c r="W50" s="50" t="n">
        <f aca="false">IFERROR(W47+W32,0)</f>
        <v>0</v>
      </c>
      <c r="X50" s="50" t="n">
        <f aca="false">IFERROR(X47+X32,0)</f>
        <v>0</v>
      </c>
      <c r="Y50" s="50" t="n">
        <f aca="false">IFERROR(Y47+Y32,0)</f>
        <v>0</v>
      </c>
      <c r="Z50" s="50" t="n">
        <f aca="false">IFERROR(Z47+Z32,0)</f>
        <v>0</v>
      </c>
      <c r="AA50" s="50" t="n">
        <f aca="false">IFERROR(AA47+AA32,0)</f>
        <v>0</v>
      </c>
      <c r="AB50" s="50" t="n">
        <f aca="false">IFERROR(AB47+AB32,0)</f>
        <v>0</v>
      </c>
      <c r="AC50" s="50" t="n">
        <f aca="false">IFERROR(AC47+AC32,0)</f>
        <v>0</v>
      </c>
      <c r="AD50" s="50" t="n">
        <f aca="false">IFERROR(AD47+AD32,0)</f>
        <v>0</v>
      </c>
      <c r="AE50" s="50" t="n">
        <f aca="false">IFERROR(AE47+AE32,0)</f>
        <v>0</v>
      </c>
      <c r="AF50" s="50" t="n">
        <f aca="false">IFERROR(AF47+AF32,0)</f>
        <v>0</v>
      </c>
      <c r="AG50" s="50" t="n">
        <f aca="false">IFERROR(AG47+AG32,0)</f>
        <v>0</v>
      </c>
      <c r="AH50" s="50" t="n">
        <f aca="false">IFERROR(AH47+AH32,0)</f>
        <v>0</v>
      </c>
      <c r="AI50" s="50" t="n">
        <f aca="false">IFERROR(AI47+AI32,0)</f>
        <v>0</v>
      </c>
      <c r="AJ50" s="50" t="n">
        <f aca="false">IFERROR(AJ47+AJ32,0)</f>
        <v>0</v>
      </c>
      <c r="AK50" s="50" t="n">
        <f aca="false">IFERROR(AK47+AK32,0)</f>
        <v>0</v>
      </c>
      <c r="AL50" s="50" t="n">
        <f aca="false">IFERROR(AL47+AL32,0)</f>
        <v>0</v>
      </c>
      <c r="AM50" s="50" t="n">
        <f aca="false">IFERROR(AM47+AM32,0)</f>
        <v>0</v>
      </c>
      <c r="AN50" s="50" t="n">
        <f aca="false">IFERROR(AN47+AN32,0)</f>
        <v>0</v>
      </c>
      <c r="AO50" s="50" t="n">
        <f aca="false">IFERROR(AO47+AO32,0)</f>
        <v>0</v>
      </c>
      <c r="AP50" s="50" t="n">
        <f aca="false">IFERROR(AP47+AP32,0)</f>
        <v>0</v>
      </c>
      <c r="AQ50" s="50" t="n">
        <f aca="false">IFERROR(AQ47+AQ32,0)</f>
        <v>0</v>
      </c>
      <c r="AR50" s="50" t="n">
        <f aca="false">IFERROR(AR47+AR32,0)</f>
        <v>0</v>
      </c>
      <c r="AS50" s="50" t="n">
        <f aca="false">IFERROR(AS47+AS32,0)</f>
        <v>0</v>
      </c>
      <c r="AT50" s="50" t="n">
        <f aca="false">IFERROR(AT47+AT32,0)</f>
        <v>0</v>
      </c>
      <c r="AU50" s="50" t="n">
        <f aca="false">IFERROR(AU47+AU32,0)</f>
        <v>0</v>
      </c>
      <c r="AV50" s="50" t="n">
        <f aca="false">IFERROR(AV47+AV32,0)</f>
        <v>0</v>
      </c>
      <c r="AW50" s="50" t="n">
        <f aca="false">IFERROR(AW47+AW32,0)</f>
        <v>0</v>
      </c>
      <c r="AX50" s="50" t="n">
        <f aca="false">IFERROR(AX47+AX32,0)</f>
        <v>0</v>
      </c>
      <c r="AY50" s="50" t="n">
        <f aca="false">IFERROR(AY47+AY32,0)</f>
        <v>0</v>
      </c>
      <c r="AZ50" s="50" t="n">
        <f aca="false">IFERROR(AZ47+AZ32,0)</f>
        <v>0</v>
      </c>
      <c r="BA50" s="50" t="n">
        <f aca="false">IFERROR(BA47+BA32,0)</f>
        <v>0</v>
      </c>
      <c r="BB50" s="50" t="n">
        <f aca="false">IFERROR(BB47+BB32,0)</f>
        <v>0</v>
      </c>
      <c r="BC50" s="50" t="n">
        <f aca="false">IFERROR(BC47+BC32,0)</f>
        <v>0</v>
      </c>
      <c r="BD50" s="50" t="n">
        <f aca="false">IFERROR(BD47+BD32,0)</f>
        <v>0</v>
      </c>
      <c r="BE50" s="50" t="n">
        <f aca="false">IFERROR(BE47+BE32,0)</f>
        <v>0</v>
      </c>
      <c r="BF50" s="50" t="n">
        <f aca="false">IFERROR(BF47+BF32,0)</f>
        <v>0</v>
      </c>
      <c r="BG50" s="50" t="n">
        <f aca="false">IFERROR(BG47+BG32,0)</f>
        <v>0</v>
      </c>
      <c r="BH50" s="50" t="n">
        <f aca="false">IFERROR(BH47+BH32,0)</f>
        <v>0</v>
      </c>
      <c r="BI50" s="50" t="n">
        <f aca="false">IFERROR(BI47+BI32,0)</f>
        <v>0</v>
      </c>
      <c r="BJ50" s="50" t="n">
        <f aca="false">IFERROR(BJ47+BJ32,0)</f>
        <v>0</v>
      </c>
    </row>
    <row r="51" customFormat="false" ht="15" hidden="false" customHeight="false" outlineLevel="0" collapsed="false">
      <c r="A51" s="42" t="s">
        <v>267</v>
      </c>
      <c r="B51" s="49" t="s">
        <v>88</v>
      </c>
      <c r="C51" s="55" t="n">
        <f aca="false">IFERROR(-'Loan Schedule'!C8,0)</f>
        <v>-0</v>
      </c>
      <c r="D51" s="55" t="n">
        <f aca="false">IFERROR(-'Loan Schedule'!D8,0)</f>
        <v>-0</v>
      </c>
      <c r="E51" s="55" t="n">
        <f aca="false">IFERROR(-'Loan Schedule'!E8,0)</f>
        <v>-0</v>
      </c>
      <c r="F51" s="55" t="n">
        <f aca="false">IFERROR(-'Loan Schedule'!F8,0)</f>
        <v>-0</v>
      </c>
      <c r="G51" s="55" t="n">
        <f aca="false">IFERROR(-'Loan Schedule'!G8,0)</f>
        <v>-0</v>
      </c>
      <c r="H51" s="55" t="n">
        <f aca="false">IFERROR(-'Loan Schedule'!H8,0)</f>
        <v>-0</v>
      </c>
      <c r="I51" s="55" t="n">
        <f aca="false">IFERROR(-'Loan Schedule'!I8,0)</f>
        <v>-0</v>
      </c>
      <c r="J51" s="55" t="n">
        <f aca="false">IFERROR(-'Loan Schedule'!J8,0)</f>
        <v>-0</v>
      </c>
      <c r="K51" s="55" t="n">
        <f aca="false">IFERROR(-'Loan Schedule'!K8,0)</f>
        <v>-0</v>
      </c>
      <c r="L51" s="55" t="n">
        <f aca="false">IFERROR(-'Loan Schedule'!L8,0)</f>
        <v>-0</v>
      </c>
      <c r="M51" s="55" t="n">
        <f aca="false">IFERROR(-'Loan Schedule'!M8,0)</f>
        <v>-0</v>
      </c>
      <c r="N51" s="55" t="n">
        <f aca="false">IFERROR(-'Loan Schedule'!N8,0)</f>
        <v>-0</v>
      </c>
      <c r="O51" s="55" t="n">
        <f aca="false">IFERROR(-'Loan Schedule'!O8,0)</f>
        <v>-0</v>
      </c>
      <c r="P51" s="55" t="n">
        <f aca="false">IFERROR(-'Loan Schedule'!P8,0)</f>
        <v>-0</v>
      </c>
      <c r="Q51" s="55" t="n">
        <f aca="false">IFERROR(-'Loan Schedule'!Q8,0)</f>
        <v>-0</v>
      </c>
      <c r="R51" s="55" t="n">
        <f aca="false">IFERROR(-'Loan Schedule'!R8,0)</f>
        <v>-0</v>
      </c>
      <c r="S51" s="55" t="n">
        <f aca="false">IFERROR(-'Loan Schedule'!S8,0)</f>
        <v>-0</v>
      </c>
      <c r="T51" s="55" t="n">
        <f aca="false">IFERROR(-'Loan Schedule'!T8,0)</f>
        <v>-0</v>
      </c>
      <c r="U51" s="55" t="n">
        <f aca="false">IFERROR(-'Loan Schedule'!U8,0)</f>
        <v>-0</v>
      </c>
      <c r="V51" s="55" t="n">
        <f aca="false">IFERROR(-'Loan Schedule'!V8,0)</f>
        <v>-0</v>
      </c>
      <c r="W51" s="55" t="n">
        <f aca="false">IFERROR(-'Loan Schedule'!W8,0)</f>
        <v>-0</v>
      </c>
      <c r="X51" s="55" t="n">
        <f aca="false">IFERROR(-'Loan Schedule'!X8,0)</f>
        <v>-0</v>
      </c>
      <c r="Y51" s="55" t="n">
        <f aca="false">IFERROR(-'Loan Schedule'!Y8,0)</f>
        <v>-0</v>
      </c>
      <c r="Z51" s="55" t="n">
        <f aca="false">IFERROR(-'Loan Schedule'!Z8,0)</f>
        <v>-0</v>
      </c>
      <c r="AA51" s="55" t="n">
        <f aca="false">IFERROR(-'Loan Schedule'!AA8,0)</f>
        <v>-0</v>
      </c>
      <c r="AB51" s="55" t="n">
        <f aca="false">IFERROR(-'Loan Schedule'!AB8,0)</f>
        <v>-0</v>
      </c>
      <c r="AC51" s="55" t="n">
        <f aca="false">IFERROR(-'Loan Schedule'!AC8,0)</f>
        <v>-0</v>
      </c>
      <c r="AD51" s="55" t="n">
        <f aca="false">IFERROR(-'Loan Schedule'!AD8,0)</f>
        <v>-0</v>
      </c>
      <c r="AE51" s="55" t="n">
        <f aca="false">IFERROR(-'Loan Schedule'!AE8,0)</f>
        <v>-0</v>
      </c>
      <c r="AF51" s="55" t="n">
        <f aca="false">IFERROR(-'Loan Schedule'!AF8,0)</f>
        <v>-0</v>
      </c>
      <c r="AG51" s="55" t="n">
        <f aca="false">IFERROR(-'Loan Schedule'!AG8,0)</f>
        <v>-0</v>
      </c>
      <c r="AH51" s="55" t="n">
        <f aca="false">IFERROR(-'Loan Schedule'!AH8,0)</f>
        <v>-0</v>
      </c>
      <c r="AI51" s="55" t="n">
        <f aca="false">IFERROR(-'Loan Schedule'!AI8,0)</f>
        <v>-0</v>
      </c>
      <c r="AJ51" s="55" t="n">
        <f aca="false">IFERROR(-'Loan Schedule'!AJ8,0)</f>
        <v>-0</v>
      </c>
      <c r="AK51" s="55" t="n">
        <f aca="false">IFERROR(-'Loan Schedule'!AK8,0)</f>
        <v>-0</v>
      </c>
      <c r="AL51" s="55" t="n">
        <f aca="false">IFERROR(-'Loan Schedule'!AL8,0)</f>
        <v>-0</v>
      </c>
      <c r="AM51" s="55" t="n">
        <f aca="false">IFERROR(-'Loan Schedule'!AM8,0)</f>
        <v>-0</v>
      </c>
      <c r="AN51" s="55" t="n">
        <f aca="false">IFERROR(-'Loan Schedule'!AN8,0)</f>
        <v>-0</v>
      </c>
      <c r="AO51" s="55" t="n">
        <f aca="false">IFERROR(-'Loan Schedule'!AO8,0)</f>
        <v>-0</v>
      </c>
      <c r="AP51" s="55" t="n">
        <f aca="false">IFERROR(-'Loan Schedule'!AP8,0)</f>
        <v>-0</v>
      </c>
      <c r="AQ51" s="55" t="n">
        <f aca="false">IFERROR(-'Loan Schedule'!AQ8,0)</f>
        <v>-0</v>
      </c>
      <c r="AR51" s="55" t="n">
        <f aca="false">IFERROR(-'Loan Schedule'!AR8,0)</f>
        <v>-0</v>
      </c>
      <c r="AS51" s="55" t="n">
        <f aca="false">IFERROR(-'Loan Schedule'!AS8,0)</f>
        <v>-0</v>
      </c>
      <c r="AT51" s="55" t="n">
        <f aca="false">IFERROR(-'Loan Schedule'!AT8,0)</f>
        <v>-0</v>
      </c>
      <c r="AU51" s="55" t="n">
        <f aca="false">IFERROR(-'Loan Schedule'!AU8,0)</f>
        <v>-0</v>
      </c>
      <c r="AV51" s="55" t="n">
        <f aca="false">IFERROR(-'Loan Schedule'!AV8,0)</f>
        <v>-0</v>
      </c>
      <c r="AW51" s="55" t="n">
        <f aca="false">IFERROR(-'Loan Schedule'!AW8,0)</f>
        <v>-0</v>
      </c>
      <c r="AX51" s="55" t="n">
        <f aca="false">IFERROR(-'Loan Schedule'!AX8,0)</f>
        <v>-0</v>
      </c>
      <c r="AY51" s="55" t="n">
        <f aca="false">IFERROR(-'Loan Schedule'!AY8,0)</f>
        <v>-0</v>
      </c>
      <c r="AZ51" s="55" t="n">
        <f aca="false">IFERROR(-'Loan Schedule'!AZ8,0)</f>
        <v>-0</v>
      </c>
      <c r="BA51" s="55" t="n">
        <f aca="false">IFERROR(-'Loan Schedule'!BA8,0)</f>
        <v>-0</v>
      </c>
      <c r="BB51" s="55" t="n">
        <f aca="false">IFERROR(-'Loan Schedule'!BB8,0)</f>
        <v>-0</v>
      </c>
      <c r="BC51" s="55" t="n">
        <f aca="false">IFERROR(-'Loan Schedule'!BC8,0)</f>
        <v>-0</v>
      </c>
      <c r="BD51" s="55" t="n">
        <f aca="false">IFERROR(-'Loan Schedule'!BD8,0)</f>
        <v>-0</v>
      </c>
      <c r="BE51" s="55" t="n">
        <f aca="false">IFERROR(-'Loan Schedule'!BE8,0)</f>
        <v>-0</v>
      </c>
      <c r="BF51" s="55" t="n">
        <f aca="false">IFERROR(-'Loan Schedule'!BF8,0)</f>
        <v>-0</v>
      </c>
      <c r="BG51" s="55" t="n">
        <f aca="false">IFERROR(-'Loan Schedule'!BG8,0)</f>
        <v>-0</v>
      </c>
      <c r="BH51" s="55" t="n">
        <f aca="false">IFERROR(-'Loan Schedule'!BH8,0)</f>
        <v>-0</v>
      </c>
      <c r="BI51" s="55" t="n">
        <f aca="false">IFERROR(-'Loan Schedule'!BI8,0)</f>
        <v>-0</v>
      </c>
      <c r="BJ51" s="55" t="n">
        <f aca="false">IFERROR(-'Loan Schedule'!BJ8,0)</f>
        <v>-0</v>
      </c>
    </row>
    <row r="52" customFormat="false" ht="15" hidden="false" customHeight="false" outlineLevel="0" collapsed="false">
      <c r="A52" s="42" t="s">
        <v>268</v>
      </c>
      <c r="B52" s="49" t="s">
        <v>88</v>
      </c>
      <c r="C52" s="51" t="n">
        <f aca="false">IFERROR(-C38,0)</f>
        <v>-0</v>
      </c>
      <c r="D52" s="51" t="n">
        <f aca="false">IFERROR(-(D38-C38),0)</f>
        <v>-0</v>
      </c>
      <c r="E52" s="51" t="n">
        <f aca="false">IFERROR(-(E38-D38),0)</f>
        <v>-0</v>
      </c>
      <c r="F52" s="51" t="n">
        <f aca="false">IFERROR(-(F38-E38),0)</f>
        <v>-0</v>
      </c>
      <c r="G52" s="51" t="n">
        <f aca="false">IFERROR(-(G38-F38),0)</f>
        <v>-0</v>
      </c>
      <c r="H52" s="51" t="n">
        <f aca="false">IFERROR(-(H38-G38),0)</f>
        <v>-0</v>
      </c>
      <c r="I52" s="51" t="n">
        <f aca="false">IFERROR(-(I38-H38),0)</f>
        <v>-0</v>
      </c>
      <c r="J52" s="51" t="n">
        <f aca="false">IFERROR(-(J38-I38),0)</f>
        <v>-0</v>
      </c>
      <c r="K52" s="51" t="n">
        <f aca="false">IFERROR(-(K38-J38),0)</f>
        <v>-0</v>
      </c>
      <c r="L52" s="51" t="n">
        <f aca="false">IFERROR(-(L38-K38),0)</f>
        <v>-0</v>
      </c>
      <c r="M52" s="51" t="n">
        <f aca="false">IFERROR(-(M38-L38),0)</f>
        <v>-0</v>
      </c>
      <c r="N52" s="51" t="n">
        <f aca="false">IFERROR(-(N38-M38),0)</f>
        <v>-0</v>
      </c>
      <c r="O52" s="51" t="n">
        <f aca="false">IFERROR(-(O38-N38),0)</f>
        <v>-0</v>
      </c>
      <c r="P52" s="51" t="n">
        <f aca="false">IFERROR(-(P38-O38),0)</f>
        <v>-0</v>
      </c>
      <c r="Q52" s="51" t="n">
        <f aca="false">IFERROR(-(Q38-P38),0)</f>
        <v>-0</v>
      </c>
      <c r="R52" s="51" t="n">
        <f aca="false">IFERROR(-(R38-Q38),0)</f>
        <v>-0</v>
      </c>
      <c r="S52" s="51" t="n">
        <f aca="false">IFERROR(-(S38-R38),0)</f>
        <v>-0</v>
      </c>
      <c r="T52" s="51" t="n">
        <f aca="false">IFERROR(-(T38-S38),0)</f>
        <v>-0</v>
      </c>
      <c r="U52" s="51" t="n">
        <f aca="false">IFERROR(-(U38-T38),0)</f>
        <v>-0</v>
      </c>
      <c r="V52" s="51" t="n">
        <f aca="false">IFERROR(-(V38-U38),0)</f>
        <v>-0</v>
      </c>
      <c r="W52" s="51" t="n">
        <f aca="false">IFERROR(-(W38-V38),0)</f>
        <v>-0</v>
      </c>
      <c r="X52" s="51" t="n">
        <f aca="false">IFERROR(-(X38-W38),0)</f>
        <v>-0</v>
      </c>
      <c r="Y52" s="51" t="n">
        <f aca="false">IFERROR(-(Y38-X38),0)</f>
        <v>-0</v>
      </c>
      <c r="Z52" s="51" t="n">
        <f aca="false">IFERROR(-(Z38-Y38),0)</f>
        <v>-0</v>
      </c>
      <c r="AA52" s="51" t="n">
        <f aca="false">IFERROR(-(AA38-Z38),0)</f>
        <v>-0</v>
      </c>
      <c r="AB52" s="51" t="n">
        <f aca="false">IFERROR(-(AB38-AA38),0)</f>
        <v>-0</v>
      </c>
      <c r="AC52" s="51" t="n">
        <f aca="false">IFERROR(-(AC38-AB38),0)</f>
        <v>-0</v>
      </c>
      <c r="AD52" s="51" t="n">
        <f aca="false">IFERROR(-(AD38-AC38),0)</f>
        <v>-0</v>
      </c>
      <c r="AE52" s="51" t="n">
        <f aca="false">IFERROR(-(AE38-AD38),0)</f>
        <v>-0</v>
      </c>
      <c r="AF52" s="51" t="n">
        <f aca="false">IFERROR(-(AF38-AE38),0)</f>
        <v>-0</v>
      </c>
      <c r="AG52" s="51" t="n">
        <f aca="false">IFERROR(-(AG38-AF38),0)</f>
        <v>-0</v>
      </c>
      <c r="AH52" s="51" t="n">
        <f aca="false">IFERROR(-(AH38-AG38),0)</f>
        <v>-0</v>
      </c>
      <c r="AI52" s="51" t="n">
        <f aca="false">IFERROR(-(AI38-AH38),0)</f>
        <v>-0</v>
      </c>
      <c r="AJ52" s="51" t="n">
        <f aca="false">IFERROR(-(AJ38-AI38),0)</f>
        <v>-0</v>
      </c>
      <c r="AK52" s="51" t="n">
        <f aca="false">IFERROR(-(AK38-AJ38),0)</f>
        <v>-0</v>
      </c>
      <c r="AL52" s="51" t="n">
        <f aca="false">IFERROR(-(AL38-AK38),0)</f>
        <v>-0</v>
      </c>
      <c r="AM52" s="51" t="n">
        <f aca="false">IFERROR(-(AM38-AL38),0)</f>
        <v>-0</v>
      </c>
      <c r="AN52" s="51" t="n">
        <f aca="false">IFERROR(-(AN38-AM38),0)</f>
        <v>-0</v>
      </c>
      <c r="AO52" s="51" t="n">
        <f aca="false">IFERROR(-(AO38-AN38),0)</f>
        <v>-0</v>
      </c>
      <c r="AP52" s="51" t="n">
        <f aca="false">IFERROR(-(AP38-AO38),0)</f>
        <v>-0</v>
      </c>
      <c r="AQ52" s="51" t="n">
        <f aca="false">IFERROR(-(AQ38-AP38),0)</f>
        <v>-0</v>
      </c>
      <c r="AR52" s="51" t="n">
        <f aca="false">IFERROR(-(AR38-AQ38),0)</f>
        <v>-0</v>
      </c>
      <c r="AS52" s="51" t="n">
        <f aca="false">IFERROR(-(AS38-AR38),0)</f>
        <v>-0</v>
      </c>
      <c r="AT52" s="51" t="n">
        <f aca="false">IFERROR(-(AT38-AS38),0)</f>
        <v>-0</v>
      </c>
      <c r="AU52" s="51" t="n">
        <f aca="false">IFERROR(-(AU38-AT38),0)</f>
        <v>-0</v>
      </c>
      <c r="AV52" s="51" t="n">
        <f aca="false">IFERROR(-(AV38-AU38),0)</f>
        <v>-0</v>
      </c>
      <c r="AW52" s="51" t="n">
        <f aca="false">IFERROR(-(AW38-AV38),0)</f>
        <v>-0</v>
      </c>
      <c r="AX52" s="51" t="n">
        <f aca="false">IFERROR(-(AX38-AW38),0)</f>
        <v>-0</v>
      </c>
      <c r="AY52" s="51" t="n">
        <f aca="false">IFERROR(-(AY38-AX38),0)</f>
        <v>-0</v>
      </c>
      <c r="AZ52" s="51" t="n">
        <f aca="false">IFERROR(-(AZ38-AY38),0)</f>
        <v>-0</v>
      </c>
      <c r="BA52" s="51" t="n">
        <f aca="false">IFERROR(-(BA38-AZ38),0)</f>
        <v>-0</v>
      </c>
      <c r="BB52" s="51" t="n">
        <f aca="false">IFERROR(-(BB38-BA38),0)</f>
        <v>-0</v>
      </c>
      <c r="BC52" s="51" t="n">
        <f aca="false">IFERROR(-(BC38-BB38),0)</f>
        <v>-0</v>
      </c>
      <c r="BD52" s="51" t="n">
        <f aca="false">IFERROR(-(BD38-BC38),0)</f>
        <v>-0</v>
      </c>
      <c r="BE52" s="51" t="n">
        <f aca="false">IFERROR(-(BE38-BD38),0)</f>
        <v>-0</v>
      </c>
      <c r="BF52" s="51" t="n">
        <f aca="false">IFERROR(-(BF38-BE38),0)</f>
        <v>-0</v>
      </c>
      <c r="BG52" s="51" t="n">
        <f aca="false">IFERROR(-(BG38-BF38),0)</f>
        <v>-0</v>
      </c>
      <c r="BH52" s="51" t="n">
        <f aca="false">IFERROR(-(BH38-BG38),0)</f>
        <v>-0</v>
      </c>
      <c r="BI52" s="51" t="n">
        <f aca="false">IFERROR(-(BI38-BH38),0)</f>
        <v>-0</v>
      </c>
      <c r="BJ52" s="51" t="n">
        <f aca="false">IFERROR(-(BJ38-BI38),0)</f>
        <v>-0</v>
      </c>
    </row>
    <row r="53" customFormat="false" ht="15" hidden="false" customHeight="false" outlineLevel="0" collapsed="false">
      <c r="A53" s="6" t="s">
        <v>269</v>
      </c>
      <c r="B53" s="49" t="s">
        <v>88</v>
      </c>
      <c r="C53" s="50" t="n">
        <f aca="false">IFERROR(C50+C51+C52,0)</f>
        <v>0</v>
      </c>
      <c r="D53" s="50" t="n">
        <f aca="false">IFERROR(D50+D51+D52,0)</f>
        <v>0</v>
      </c>
      <c r="E53" s="50" t="n">
        <f aca="false">IFERROR(E50+E51+E52,0)</f>
        <v>0</v>
      </c>
      <c r="F53" s="50" t="n">
        <f aca="false">IFERROR(F50+F51+F52,0)</f>
        <v>0</v>
      </c>
      <c r="G53" s="50" t="n">
        <f aca="false">IFERROR(G50+G51+G52,0)</f>
        <v>0</v>
      </c>
      <c r="H53" s="50" t="n">
        <f aca="false">IFERROR(H50+H51+H52,0)</f>
        <v>0</v>
      </c>
      <c r="I53" s="50" t="n">
        <f aca="false">IFERROR(I50+I51+I52,0)</f>
        <v>0</v>
      </c>
      <c r="J53" s="50" t="n">
        <f aca="false">IFERROR(J50+J51+J52,0)</f>
        <v>0</v>
      </c>
      <c r="K53" s="50" t="n">
        <f aca="false">IFERROR(K50+K51+K52,0)</f>
        <v>0</v>
      </c>
      <c r="L53" s="50" t="n">
        <f aca="false">IFERROR(L50+L51+L52,0)</f>
        <v>0</v>
      </c>
      <c r="M53" s="50" t="n">
        <f aca="false">IFERROR(M50+M51+M52,0)</f>
        <v>0</v>
      </c>
      <c r="N53" s="50" t="n">
        <f aca="false">IFERROR(N50+N51+N52,0)</f>
        <v>0</v>
      </c>
      <c r="O53" s="50" t="n">
        <f aca="false">IFERROR(O50+O51+O52,0)</f>
        <v>0</v>
      </c>
      <c r="P53" s="50" t="n">
        <f aca="false">IFERROR(P50+P51+P52,0)</f>
        <v>0</v>
      </c>
      <c r="Q53" s="50" t="n">
        <f aca="false">IFERROR(Q50+Q51+Q52,0)</f>
        <v>0</v>
      </c>
      <c r="R53" s="50" t="n">
        <f aca="false">IFERROR(R50+R51+R52,0)</f>
        <v>0</v>
      </c>
      <c r="S53" s="50" t="n">
        <f aca="false">IFERROR(S50+S51+S52,0)</f>
        <v>0</v>
      </c>
      <c r="T53" s="50" t="n">
        <f aca="false">IFERROR(T50+T51+T52,0)</f>
        <v>0</v>
      </c>
      <c r="U53" s="50" t="n">
        <f aca="false">IFERROR(U50+U51+U52,0)</f>
        <v>0</v>
      </c>
      <c r="V53" s="50" t="n">
        <f aca="false">IFERROR(V50+V51+V52,0)</f>
        <v>0</v>
      </c>
      <c r="W53" s="50" t="n">
        <f aca="false">IFERROR(W50+W51+W52,0)</f>
        <v>0</v>
      </c>
      <c r="X53" s="50" t="n">
        <f aca="false">IFERROR(X50+X51+X52,0)</f>
        <v>0</v>
      </c>
      <c r="Y53" s="50" t="n">
        <f aca="false">IFERROR(Y50+Y51+Y52,0)</f>
        <v>0</v>
      </c>
      <c r="Z53" s="50" t="n">
        <f aca="false">IFERROR(Z50+Z51+Z52,0)</f>
        <v>0</v>
      </c>
      <c r="AA53" s="50" t="n">
        <f aca="false">IFERROR(AA50+AA51+AA52,0)</f>
        <v>0</v>
      </c>
      <c r="AB53" s="50" t="n">
        <f aca="false">IFERROR(AB50+AB51+AB52,0)</f>
        <v>0</v>
      </c>
      <c r="AC53" s="50" t="n">
        <f aca="false">IFERROR(AC50+AC51+AC52,0)</f>
        <v>0</v>
      </c>
      <c r="AD53" s="50" t="n">
        <f aca="false">IFERROR(AD50+AD51+AD52,0)</f>
        <v>0</v>
      </c>
      <c r="AE53" s="50" t="n">
        <f aca="false">IFERROR(AE50+AE51+AE52,0)</f>
        <v>0</v>
      </c>
      <c r="AF53" s="50" t="n">
        <f aca="false">IFERROR(AF50+AF51+AF52,0)</f>
        <v>0</v>
      </c>
      <c r="AG53" s="50" t="n">
        <f aca="false">IFERROR(AG50+AG51+AG52,0)</f>
        <v>0</v>
      </c>
      <c r="AH53" s="50" t="n">
        <f aca="false">IFERROR(AH50+AH51+AH52,0)</f>
        <v>0</v>
      </c>
      <c r="AI53" s="50" t="n">
        <f aca="false">IFERROR(AI50+AI51+AI52,0)</f>
        <v>0</v>
      </c>
      <c r="AJ53" s="50" t="n">
        <f aca="false">IFERROR(AJ50+AJ51+AJ52,0)</f>
        <v>0</v>
      </c>
      <c r="AK53" s="50" t="n">
        <f aca="false">IFERROR(AK50+AK51+AK52,0)</f>
        <v>0</v>
      </c>
      <c r="AL53" s="50" t="n">
        <f aca="false">IFERROR(AL50+AL51+AL52,0)</f>
        <v>0</v>
      </c>
      <c r="AM53" s="50" t="n">
        <f aca="false">IFERROR(AM50+AM51+AM52,0)</f>
        <v>0</v>
      </c>
      <c r="AN53" s="50" t="n">
        <f aca="false">IFERROR(AN50+AN51+AN52,0)</f>
        <v>0</v>
      </c>
      <c r="AO53" s="50" t="n">
        <f aca="false">IFERROR(AO50+AO51+AO52,0)</f>
        <v>0</v>
      </c>
      <c r="AP53" s="50" t="n">
        <f aca="false">IFERROR(AP50+AP51+AP52,0)</f>
        <v>0</v>
      </c>
      <c r="AQ53" s="50" t="n">
        <f aca="false">IFERROR(AQ50+AQ51+AQ52,0)</f>
        <v>0</v>
      </c>
      <c r="AR53" s="50" t="n">
        <f aca="false">IFERROR(AR50+AR51+AR52,0)</f>
        <v>0</v>
      </c>
      <c r="AS53" s="50" t="n">
        <f aca="false">IFERROR(AS50+AS51+AS52,0)</f>
        <v>0</v>
      </c>
      <c r="AT53" s="50" t="n">
        <f aca="false">IFERROR(AT50+AT51+AT52,0)</f>
        <v>0</v>
      </c>
      <c r="AU53" s="50" t="n">
        <f aca="false">IFERROR(AU50+AU51+AU52,0)</f>
        <v>0</v>
      </c>
      <c r="AV53" s="50" t="n">
        <f aca="false">IFERROR(AV50+AV51+AV52,0)</f>
        <v>0</v>
      </c>
      <c r="AW53" s="50" t="n">
        <f aca="false">IFERROR(AW50+AW51+AW52,0)</f>
        <v>0</v>
      </c>
      <c r="AX53" s="50" t="n">
        <f aca="false">IFERROR(AX50+AX51+AX52,0)</f>
        <v>0</v>
      </c>
      <c r="AY53" s="50" t="n">
        <f aca="false">IFERROR(AY50+AY51+AY52,0)</f>
        <v>0</v>
      </c>
      <c r="AZ53" s="50" t="n">
        <f aca="false">IFERROR(AZ50+AZ51+AZ52,0)</f>
        <v>0</v>
      </c>
      <c r="BA53" s="50" t="n">
        <f aca="false">IFERROR(BA50+BA51+BA52,0)</f>
        <v>0</v>
      </c>
      <c r="BB53" s="50" t="n">
        <f aca="false">IFERROR(BB50+BB51+BB52,0)</f>
        <v>0</v>
      </c>
      <c r="BC53" s="50" t="n">
        <f aca="false">IFERROR(BC50+BC51+BC52,0)</f>
        <v>0</v>
      </c>
      <c r="BD53" s="50" t="n">
        <f aca="false">IFERROR(BD50+BD51+BD52,0)</f>
        <v>0</v>
      </c>
      <c r="BE53" s="50" t="n">
        <f aca="false">IFERROR(BE50+BE51+BE52,0)</f>
        <v>0</v>
      </c>
      <c r="BF53" s="50" t="n">
        <f aca="false">IFERROR(BF50+BF51+BF52,0)</f>
        <v>0</v>
      </c>
      <c r="BG53" s="50" t="n">
        <f aca="false">IFERROR(BG50+BG51+BG52,0)</f>
        <v>0</v>
      </c>
      <c r="BH53" s="50" t="n">
        <f aca="false">IFERROR(BH50+BH51+BH52,0)</f>
        <v>0</v>
      </c>
      <c r="BI53" s="50" t="n">
        <f aca="false">IFERROR(BI50+BI51+BI52,0)</f>
        <v>0</v>
      </c>
      <c r="BJ53" s="50" t="n">
        <f aca="false">IFERROR(BJ50+BJ51+BJ52,0)</f>
        <v>0</v>
      </c>
    </row>
    <row r="54" customFormat="false" ht="15" hidden="false" customHeight="false" outlineLevel="0" collapsed="false">
      <c r="A54" s="52" t="s">
        <v>270</v>
      </c>
      <c r="B54" s="53" t="s">
        <v>88</v>
      </c>
      <c r="C54" s="54" t="n">
        <f aca="false">IFERROR(C53,0)</f>
        <v>0</v>
      </c>
      <c r="D54" s="54" t="n">
        <f aca="false">C54+D53</f>
        <v>0</v>
      </c>
      <c r="E54" s="54" t="n">
        <f aca="false">D54+E53</f>
        <v>0</v>
      </c>
      <c r="F54" s="54" t="n">
        <f aca="false">E54+F53</f>
        <v>0</v>
      </c>
      <c r="G54" s="54" t="n">
        <f aca="false">F54+G53</f>
        <v>0</v>
      </c>
      <c r="H54" s="54" t="n">
        <f aca="false">G54+H53</f>
        <v>0</v>
      </c>
      <c r="I54" s="54" t="n">
        <f aca="false">H54+I53</f>
        <v>0</v>
      </c>
      <c r="J54" s="54" t="n">
        <f aca="false">I54+J53</f>
        <v>0</v>
      </c>
      <c r="K54" s="54" t="n">
        <f aca="false">J54+K53</f>
        <v>0</v>
      </c>
      <c r="L54" s="54" t="n">
        <f aca="false">K54+L53</f>
        <v>0</v>
      </c>
      <c r="M54" s="54" t="n">
        <f aca="false">L54+M53</f>
        <v>0</v>
      </c>
      <c r="N54" s="54" t="n">
        <f aca="false">M54+N53</f>
        <v>0</v>
      </c>
      <c r="O54" s="54" t="n">
        <f aca="false">N54+O53</f>
        <v>0</v>
      </c>
      <c r="P54" s="54" t="n">
        <f aca="false">O54+P53</f>
        <v>0</v>
      </c>
      <c r="Q54" s="54" t="n">
        <f aca="false">P54+Q53</f>
        <v>0</v>
      </c>
      <c r="R54" s="54" t="n">
        <f aca="false">Q54+R53</f>
        <v>0</v>
      </c>
      <c r="S54" s="54" t="n">
        <f aca="false">R54+S53</f>
        <v>0</v>
      </c>
      <c r="T54" s="54" t="n">
        <f aca="false">S54+T53</f>
        <v>0</v>
      </c>
      <c r="U54" s="54" t="n">
        <f aca="false">T54+U53</f>
        <v>0</v>
      </c>
      <c r="V54" s="54" t="n">
        <f aca="false">U54+V53</f>
        <v>0</v>
      </c>
      <c r="W54" s="54" t="n">
        <f aca="false">V54+W53</f>
        <v>0</v>
      </c>
      <c r="X54" s="54" t="n">
        <f aca="false">W54+X53</f>
        <v>0</v>
      </c>
      <c r="Y54" s="54" t="n">
        <f aca="false">X54+Y53</f>
        <v>0</v>
      </c>
      <c r="Z54" s="54" t="n">
        <f aca="false">Y54+Z53</f>
        <v>0</v>
      </c>
      <c r="AA54" s="54" t="n">
        <f aca="false">Z54+AA53</f>
        <v>0</v>
      </c>
      <c r="AB54" s="54" t="n">
        <f aca="false">AA54+AB53</f>
        <v>0</v>
      </c>
      <c r="AC54" s="54" t="n">
        <f aca="false">AB54+AC53</f>
        <v>0</v>
      </c>
      <c r="AD54" s="54" t="n">
        <f aca="false">AC54+AD53</f>
        <v>0</v>
      </c>
      <c r="AE54" s="54" t="n">
        <f aca="false">AD54+AE53</f>
        <v>0</v>
      </c>
      <c r="AF54" s="54" t="n">
        <f aca="false">AE54+AF53</f>
        <v>0</v>
      </c>
      <c r="AG54" s="54" t="n">
        <f aca="false">AF54+AG53</f>
        <v>0</v>
      </c>
      <c r="AH54" s="54" t="n">
        <f aca="false">AG54+AH53</f>
        <v>0</v>
      </c>
      <c r="AI54" s="54" t="n">
        <f aca="false">AH54+AI53</f>
        <v>0</v>
      </c>
      <c r="AJ54" s="54" t="n">
        <f aca="false">AI54+AJ53</f>
        <v>0</v>
      </c>
      <c r="AK54" s="54" t="n">
        <f aca="false">AJ54+AK53</f>
        <v>0</v>
      </c>
      <c r="AL54" s="54" t="n">
        <f aca="false">AK54+AL53</f>
        <v>0</v>
      </c>
      <c r="AM54" s="54" t="n">
        <f aca="false">AL54+AM53</f>
        <v>0</v>
      </c>
      <c r="AN54" s="54" t="n">
        <f aca="false">AM54+AN53</f>
        <v>0</v>
      </c>
      <c r="AO54" s="54" t="n">
        <f aca="false">AN54+AO53</f>
        <v>0</v>
      </c>
      <c r="AP54" s="54" t="n">
        <f aca="false">AO54+AP53</f>
        <v>0</v>
      </c>
      <c r="AQ54" s="54" t="n">
        <f aca="false">AP54+AQ53</f>
        <v>0</v>
      </c>
      <c r="AR54" s="54" t="n">
        <f aca="false">AQ54+AR53</f>
        <v>0</v>
      </c>
      <c r="AS54" s="54" t="n">
        <f aca="false">AR54+AS53</f>
        <v>0</v>
      </c>
      <c r="AT54" s="54" t="n">
        <f aca="false">AS54+AT53</f>
        <v>0</v>
      </c>
      <c r="AU54" s="54" t="n">
        <f aca="false">AT54+AU53</f>
        <v>0</v>
      </c>
      <c r="AV54" s="54" t="n">
        <f aca="false">AU54+AV53</f>
        <v>0</v>
      </c>
      <c r="AW54" s="54" t="n">
        <f aca="false">AV54+AW53</f>
        <v>0</v>
      </c>
      <c r="AX54" s="54" t="n">
        <f aca="false">AW54+AX53</f>
        <v>0</v>
      </c>
      <c r="AY54" s="54" t="n">
        <f aca="false">AX54+AY53</f>
        <v>0</v>
      </c>
      <c r="AZ54" s="54" t="n">
        <f aca="false">AY54+AZ53</f>
        <v>0</v>
      </c>
      <c r="BA54" s="54" t="n">
        <f aca="false">AZ54+BA53</f>
        <v>0</v>
      </c>
      <c r="BB54" s="54" t="n">
        <f aca="false">BA54+BB53</f>
        <v>0</v>
      </c>
      <c r="BC54" s="54" t="n">
        <f aca="false">BB54+BC53</f>
        <v>0</v>
      </c>
      <c r="BD54" s="54" t="n">
        <f aca="false">BC54+BD53</f>
        <v>0</v>
      </c>
      <c r="BE54" s="54" t="n">
        <f aca="false">BD54+BE53</f>
        <v>0</v>
      </c>
      <c r="BF54" s="54" t="n">
        <f aca="false">BE54+BF53</f>
        <v>0</v>
      </c>
      <c r="BG54" s="54" t="n">
        <f aca="false">BF54+BG53</f>
        <v>0</v>
      </c>
      <c r="BH54" s="54" t="n">
        <f aca="false">BG54+BH53</f>
        <v>0</v>
      </c>
      <c r="BI54" s="54" t="n">
        <f aca="false">BH54+BI53</f>
        <v>0</v>
      </c>
      <c r="BJ54" s="54" t="n">
        <f aca="false">BI54+BJ53</f>
        <v>0</v>
      </c>
    </row>
  </sheetData>
  <mergeCells count="1">
    <mergeCell ref="A1:B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7" min="3" style="0" width="15"/>
    <col collapsed="false" customWidth="true" hidden="false" outlineLevel="0" max="8" min="8" style="0" width="16"/>
  </cols>
  <sheetData>
    <row r="1" customFormat="false" ht="24" hidden="false" customHeight="true" outlineLevel="0" collapsed="false">
      <c r="A1" s="32" t="s">
        <v>271</v>
      </c>
      <c r="B1" s="32"/>
      <c r="C1" s="32"/>
      <c r="D1" s="32"/>
      <c r="E1" s="32"/>
      <c r="F1" s="32"/>
      <c r="G1" s="32"/>
      <c r="H1" s="32"/>
    </row>
    <row r="2" customFormat="false" ht="15" hidden="false" customHeight="false" outlineLevel="0" collapsed="false">
      <c r="A2" s="64" t="s">
        <v>272</v>
      </c>
      <c r="B2" s="64"/>
      <c r="C2" s="64"/>
      <c r="D2" s="64"/>
      <c r="E2" s="64"/>
      <c r="F2" s="64"/>
      <c r="G2" s="64"/>
      <c r="H2" s="64"/>
    </row>
    <row r="4" customFormat="false" ht="15" hidden="false" customHeight="false" outlineLevel="0" collapsed="false">
      <c r="B4" s="65"/>
      <c r="C4" s="66" t="s">
        <v>273</v>
      </c>
      <c r="D4" s="66" t="s">
        <v>274</v>
      </c>
      <c r="E4" s="66" t="s">
        <v>275</v>
      </c>
      <c r="F4" s="66" t="s">
        <v>276</v>
      </c>
      <c r="G4" s="66" t="s">
        <v>277</v>
      </c>
      <c r="H4" s="67" t="s">
        <v>278</v>
      </c>
    </row>
    <row r="5" customFormat="false" ht="15" hidden="false" customHeight="false" outlineLevel="0" collapsed="false">
      <c r="B5" s="52" t="s">
        <v>279</v>
      </c>
      <c r="C5" s="68" t="n">
        <f aca="false">IFERROR(SUM('Monthly Model'!C13:N13),0)</f>
        <v>0</v>
      </c>
      <c r="D5" s="68" t="n">
        <f aca="false">IFERROR(SUM('Monthly Model'!O13:Z13),0)</f>
        <v>0</v>
      </c>
      <c r="E5" s="68" t="n">
        <f aca="false">IFERROR(SUM('Monthly Model'!AA13:AL13),0)</f>
        <v>0</v>
      </c>
      <c r="F5" s="68" t="n">
        <f aca="false">IFERROR(SUM('Monthly Model'!AM13:AX13),0)</f>
        <v>0</v>
      </c>
      <c r="G5" s="68" t="n">
        <f aca="false">IFERROR(SUM('Monthly Model'!AY13:BJ13),0)</f>
        <v>0</v>
      </c>
      <c r="H5" s="69" t="n">
        <f aca="false">IFERROR(SUM(C5:G5),0)</f>
        <v>0</v>
      </c>
    </row>
    <row r="6" customFormat="false" ht="15" hidden="false" customHeight="false" outlineLevel="0" collapsed="false">
      <c r="B6" s="42" t="s">
        <v>280</v>
      </c>
      <c r="C6" s="70" t="n">
        <f aca="false">IFERROR(SUM('Monthly Model'!C19:N19),0)</f>
        <v>0</v>
      </c>
      <c r="D6" s="70" t="n">
        <f aca="false">IFERROR(SUM('Monthly Model'!O19:Z19),0)</f>
        <v>0</v>
      </c>
      <c r="E6" s="70" t="n">
        <f aca="false">IFERROR(SUM('Monthly Model'!AA19:AL19),0)</f>
        <v>0</v>
      </c>
      <c r="F6" s="70" t="n">
        <f aca="false">IFERROR(SUM('Monthly Model'!AM19:AX19),0)</f>
        <v>0</v>
      </c>
      <c r="G6" s="70" t="n">
        <f aca="false">IFERROR(SUM('Monthly Model'!AY19:BJ19),0)</f>
        <v>0</v>
      </c>
      <c r="H6" s="71" t="n">
        <f aca="false">IFERROR(SUM(C6:G6),0)</f>
        <v>0</v>
      </c>
    </row>
    <row r="7" customFormat="false" ht="15" hidden="false" customHeight="false" outlineLevel="0" collapsed="false">
      <c r="B7" s="6" t="s">
        <v>239</v>
      </c>
      <c r="C7" s="72" t="n">
        <f aca="false">IFERROR(C5-C6,0)</f>
        <v>0</v>
      </c>
      <c r="D7" s="72" t="n">
        <f aca="false">IFERROR(D5-D6,0)</f>
        <v>0</v>
      </c>
      <c r="E7" s="72" t="n">
        <f aca="false">IFERROR(E5-E6,0)</f>
        <v>0</v>
      </c>
      <c r="F7" s="72" t="n">
        <f aca="false">IFERROR(F5-F6,0)</f>
        <v>0</v>
      </c>
      <c r="G7" s="72" t="n">
        <f aca="false">IFERROR(G5-G6,0)</f>
        <v>0</v>
      </c>
      <c r="H7" s="71" t="n">
        <f aca="false">IFERROR(SUM(C7:G7),0)</f>
        <v>0</v>
      </c>
    </row>
    <row r="8" customFormat="false" ht="15" hidden="false" customHeight="false" outlineLevel="0" collapsed="false">
      <c r="B8" s="42" t="s">
        <v>281</v>
      </c>
      <c r="C8" s="70" t="n">
        <f aca="false">IFERROR(SUM('Monthly Model'!C28:N28),0)</f>
        <v>0</v>
      </c>
      <c r="D8" s="70" t="n">
        <f aca="false">IFERROR(SUM('Monthly Model'!O28:Z28),0)</f>
        <v>0</v>
      </c>
      <c r="E8" s="70" t="n">
        <f aca="false">IFERROR(SUM('Monthly Model'!AA28:AL28),0)</f>
        <v>0</v>
      </c>
      <c r="F8" s="70" t="n">
        <f aca="false">IFERROR(SUM('Monthly Model'!AM28:AX28),0)</f>
        <v>0</v>
      </c>
      <c r="G8" s="70" t="n">
        <f aca="false">IFERROR(SUM('Monthly Model'!AY28:BJ28),0)</f>
        <v>0</v>
      </c>
      <c r="H8" s="71" t="n">
        <f aca="false">IFERROR(SUM(C8:G8),0)</f>
        <v>0</v>
      </c>
    </row>
    <row r="9" customFormat="false" ht="15" hidden="false" customHeight="false" outlineLevel="0" collapsed="false">
      <c r="B9" s="52" t="s">
        <v>247</v>
      </c>
      <c r="C9" s="68" t="n">
        <f aca="false">IFERROR(C7-C8,0)</f>
        <v>0</v>
      </c>
      <c r="D9" s="68" t="n">
        <f aca="false">IFERROR(D7-D8,0)</f>
        <v>0</v>
      </c>
      <c r="E9" s="68" t="n">
        <f aca="false">IFERROR(E7-E8,0)</f>
        <v>0</v>
      </c>
      <c r="F9" s="68" t="n">
        <f aca="false">IFERROR(F7-F8,0)</f>
        <v>0</v>
      </c>
      <c r="G9" s="68" t="n">
        <f aca="false">IFERROR(G7-G8,0)</f>
        <v>0</v>
      </c>
      <c r="H9" s="69" t="n">
        <f aca="false">IFERROR(SUM(C9:G9),0)</f>
        <v>0</v>
      </c>
    </row>
    <row r="10" customFormat="false" ht="15" hidden="false" customHeight="false" outlineLevel="0" collapsed="false">
      <c r="B10" s="42" t="s">
        <v>282</v>
      </c>
      <c r="C10" s="73" t="n">
        <f aca="false">IFERROR(IF(C5=0,0,C9/C5),0)</f>
        <v>0</v>
      </c>
      <c r="D10" s="73" t="n">
        <f aca="false">IFERROR(IF(D5=0,0,D9/D5),0)</f>
        <v>0</v>
      </c>
      <c r="E10" s="73" t="n">
        <f aca="false">IFERROR(IF(E5=0,0,E9/E5),0)</f>
        <v>0</v>
      </c>
      <c r="F10" s="73" t="n">
        <f aca="false">IFERROR(IF(F5=0,0,F9/F5),0)</f>
        <v>0</v>
      </c>
      <c r="G10" s="73" t="n">
        <f aca="false">IFERROR(IF(G5=0,0,G9/G5),0)</f>
        <v>0</v>
      </c>
      <c r="H10" s="74" t="n">
        <f aca="false">IFERROR(AVERAGE(C10:G10),0)</f>
        <v>0</v>
      </c>
    </row>
    <row r="11" customFormat="false" ht="15" hidden="false" customHeight="false" outlineLevel="0" collapsed="false">
      <c r="B11" s="42" t="s">
        <v>29</v>
      </c>
      <c r="C11" s="70" t="n">
        <f aca="false">IFERROR(SUM('Monthly Model'!C32:N32),0)</f>
        <v>0</v>
      </c>
      <c r="D11" s="70" t="n">
        <f aca="false">IFERROR(SUM('Monthly Model'!O32:Z32),0)</f>
        <v>0</v>
      </c>
      <c r="E11" s="70" t="n">
        <f aca="false">IFERROR(SUM('Monthly Model'!AA32:AL32),0)</f>
        <v>0</v>
      </c>
      <c r="F11" s="70" t="n">
        <f aca="false">IFERROR(SUM('Monthly Model'!AM32:AX32),0)</f>
        <v>0</v>
      </c>
      <c r="G11" s="70" t="n">
        <f aca="false">IFERROR(SUM('Monthly Model'!AY32:BJ32),0)</f>
        <v>0</v>
      </c>
      <c r="H11" s="71" t="n">
        <f aca="false">IFERROR(SUM(C11:G11),0)</f>
        <v>0</v>
      </c>
    </row>
    <row r="12" customFormat="false" ht="15" hidden="false" customHeight="false" outlineLevel="0" collapsed="false">
      <c r="B12" s="6" t="s">
        <v>249</v>
      </c>
      <c r="C12" s="72" t="n">
        <f aca="false">IFERROR(C9-C11,0)</f>
        <v>0</v>
      </c>
      <c r="D12" s="72" t="n">
        <f aca="false">IFERROR(D9-D11,0)</f>
        <v>0</v>
      </c>
      <c r="E12" s="72" t="n">
        <f aca="false">IFERROR(E9-E11,0)</f>
        <v>0</v>
      </c>
      <c r="F12" s="72" t="n">
        <f aca="false">IFERROR(F9-F11,0)</f>
        <v>0</v>
      </c>
      <c r="G12" s="72" t="n">
        <f aca="false">IFERROR(G9-G11,0)</f>
        <v>0</v>
      </c>
      <c r="H12" s="71" t="n">
        <f aca="false">IFERROR(SUM(C12:G12),0)</f>
        <v>0</v>
      </c>
    </row>
    <row r="13" customFormat="false" ht="15" hidden="false" customHeight="false" outlineLevel="0" collapsed="false">
      <c r="B13" s="42" t="s">
        <v>283</v>
      </c>
      <c r="C13" s="70" t="n">
        <f aca="false">IFERROR(SUM('Monthly Model'!C41:N41)+SUM('Monthly Model'!C42:N42),0)</f>
        <v>0</v>
      </c>
      <c r="D13" s="70" t="n">
        <f aca="false">IFERROR(SUM('Monthly Model'!O41:Z41)+SUM('Monthly Model'!O42:Z42),0)</f>
        <v>0</v>
      </c>
      <c r="E13" s="70" t="n">
        <f aca="false">IFERROR(SUM('Monthly Model'!AA41:AL41)+SUM('Monthly Model'!AA42:AL42),0)</f>
        <v>0</v>
      </c>
      <c r="F13" s="70" t="n">
        <f aca="false">IFERROR(SUM('Monthly Model'!AM41:AX41)+SUM('Monthly Model'!AM42:AX42),0)</f>
        <v>0</v>
      </c>
      <c r="G13" s="70" t="n">
        <f aca="false">IFERROR(SUM('Monthly Model'!AY41:BJ41)+SUM('Monthly Model'!AY42:BJ42),0)</f>
        <v>0</v>
      </c>
      <c r="H13" s="71" t="n">
        <f aca="false">IFERROR(SUM(C13:G13),0)</f>
        <v>0</v>
      </c>
    </row>
    <row r="14" customFormat="false" ht="15" hidden="false" customHeight="false" outlineLevel="0" collapsed="false">
      <c r="B14" s="6" t="s">
        <v>284</v>
      </c>
      <c r="C14" s="72" t="n">
        <f aca="false">IFERROR(C12-C13,0)</f>
        <v>0</v>
      </c>
      <c r="D14" s="72" t="n">
        <f aca="false">IFERROR(D12-D13,0)</f>
        <v>0</v>
      </c>
      <c r="E14" s="72" t="n">
        <f aca="false">IFERROR(E12-E13,0)</f>
        <v>0</v>
      </c>
      <c r="F14" s="72" t="n">
        <f aca="false">IFERROR(F12-F13,0)</f>
        <v>0</v>
      </c>
      <c r="G14" s="72" t="n">
        <f aca="false">IFERROR(G12-G13,0)</f>
        <v>0</v>
      </c>
      <c r="H14" s="71" t="n">
        <f aca="false">IFERROR(SUM(C14:G14),0)</f>
        <v>0</v>
      </c>
    </row>
    <row r="15" customFormat="false" ht="15" hidden="false" customHeight="false" outlineLevel="0" collapsed="false">
      <c r="B15" s="42" t="s">
        <v>285</v>
      </c>
      <c r="C15" s="70" t="n">
        <f aca="false">IFERROR(SUM('Monthly Model'!C46:N46),0)</f>
        <v>0</v>
      </c>
      <c r="D15" s="70" t="n">
        <f aca="false">IFERROR(SUM('Monthly Model'!O46:Z46),0)</f>
        <v>0</v>
      </c>
      <c r="E15" s="70" t="n">
        <f aca="false">IFERROR(SUM('Monthly Model'!AA46:AL46),0)</f>
        <v>0</v>
      </c>
      <c r="F15" s="70" t="n">
        <f aca="false">IFERROR(SUM('Monthly Model'!AM46:AX46),0)</f>
        <v>0</v>
      </c>
      <c r="G15" s="70" t="n">
        <f aca="false">IFERROR(SUM('Monthly Model'!AY46:BJ46),0)</f>
        <v>0</v>
      </c>
      <c r="H15" s="71" t="n">
        <f aca="false">IFERROR(SUM(C15:G15),0)</f>
        <v>0</v>
      </c>
    </row>
    <row r="16" customFormat="false" ht="15" hidden="false" customHeight="false" outlineLevel="0" collapsed="false">
      <c r="B16" s="52" t="s">
        <v>286</v>
      </c>
      <c r="C16" s="68" t="n">
        <f aca="false">IFERROR(C14-C15,0)</f>
        <v>0</v>
      </c>
      <c r="D16" s="68" t="n">
        <f aca="false">IFERROR(D14-D15,0)</f>
        <v>0</v>
      </c>
      <c r="E16" s="68" t="n">
        <f aca="false">IFERROR(E14-E15,0)</f>
        <v>0</v>
      </c>
      <c r="F16" s="68" t="n">
        <f aca="false">IFERROR(F14-F15,0)</f>
        <v>0</v>
      </c>
      <c r="G16" s="68" t="n">
        <f aca="false">IFERROR(G14-G15,0)</f>
        <v>0</v>
      </c>
      <c r="H16" s="69" t="n">
        <f aca="false">IFERROR(SUM(C16:G16),0)</f>
        <v>0</v>
      </c>
    </row>
    <row r="17" customFormat="false" ht="15" hidden="false" customHeight="false" outlineLevel="0" collapsed="false">
      <c r="B17" s="42" t="s">
        <v>287</v>
      </c>
      <c r="C17" s="73" t="n">
        <f aca="false">IFERROR(IF(C5=0,0,C16/C5),0)</f>
        <v>0</v>
      </c>
      <c r="D17" s="73" t="n">
        <f aca="false">IFERROR(IF(D5=0,0,D16/D5),0)</f>
        <v>0</v>
      </c>
      <c r="E17" s="73" t="n">
        <f aca="false">IFERROR(IF(E5=0,0,E16/E5),0)</f>
        <v>0</v>
      </c>
      <c r="F17" s="73" t="n">
        <f aca="false">IFERROR(IF(F5=0,0,F16/F5),0)</f>
        <v>0</v>
      </c>
      <c r="G17" s="73" t="n">
        <f aca="false">IFERROR(IF(G5=0,0,G16/G5),0)</f>
        <v>0</v>
      </c>
      <c r="H17" s="74" t="n">
        <f aca="false">IFERROR(AVERAGE(C17:G17),0)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7" min="3" style="0" width="15"/>
    <col collapsed="false" customWidth="true" hidden="false" outlineLevel="0" max="8" min="8" style="0" width="16"/>
  </cols>
  <sheetData>
    <row r="1" customFormat="false" ht="24" hidden="false" customHeight="true" outlineLevel="0" collapsed="false">
      <c r="A1" s="32" t="s">
        <v>288</v>
      </c>
      <c r="B1" s="32"/>
      <c r="C1" s="32"/>
      <c r="D1" s="32"/>
      <c r="E1" s="32"/>
      <c r="F1" s="32"/>
      <c r="G1" s="32"/>
      <c r="H1" s="32"/>
    </row>
    <row r="2" customFormat="false" ht="15" hidden="false" customHeight="false" outlineLevel="0" collapsed="false">
      <c r="A2" s="64" t="s">
        <v>289</v>
      </c>
      <c r="B2" s="64"/>
      <c r="C2" s="64"/>
      <c r="D2" s="64"/>
      <c r="E2" s="64"/>
      <c r="F2" s="64"/>
      <c r="G2" s="64"/>
      <c r="H2" s="64"/>
    </row>
    <row r="4" customFormat="false" ht="15" hidden="false" customHeight="false" outlineLevel="0" collapsed="false">
      <c r="B4" s="65"/>
      <c r="C4" s="66" t="s">
        <v>273</v>
      </c>
      <c r="D4" s="66" t="s">
        <v>274</v>
      </c>
      <c r="E4" s="66" t="s">
        <v>275</v>
      </c>
      <c r="F4" s="66" t="s">
        <v>276</v>
      </c>
      <c r="G4" s="66" t="s">
        <v>277</v>
      </c>
      <c r="H4" s="67" t="s">
        <v>278</v>
      </c>
    </row>
    <row r="5" customFormat="false" ht="15" hidden="false" customHeight="false" outlineLevel="0" collapsed="false">
      <c r="B5" s="42" t="s">
        <v>290</v>
      </c>
      <c r="C5" s="75" t="n">
        <f aca="false">IFERROR('Annual P&amp;L'!C16,0)</f>
        <v>0</v>
      </c>
      <c r="D5" s="75" t="n">
        <f aca="false">IFERROR('Annual P&amp;L'!D16,0)</f>
        <v>0</v>
      </c>
      <c r="E5" s="75" t="n">
        <f aca="false">IFERROR('Annual P&amp;L'!E16,0)</f>
        <v>0</v>
      </c>
      <c r="F5" s="75" t="n">
        <f aca="false">IFERROR('Annual P&amp;L'!F16,0)</f>
        <v>0</v>
      </c>
      <c r="G5" s="75" t="n">
        <f aca="false">IFERROR('Annual P&amp;L'!G16,0)</f>
        <v>0</v>
      </c>
      <c r="H5" s="71" t="n">
        <f aca="false">IFERROR(SUM(C5:G5),0)</f>
        <v>0</v>
      </c>
    </row>
    <row r="6" customFormat="false" ht="15" hidden="false" customHeight="false" outlineLevel="0" collapsed="false">
      <c r="B6" s="42" t="s">
        <v>291</v>
      </c>
      <c r="C6" s="75" t="n">
        <f aca="false">IFERROR('Annual P&amp;L'!C11,0)</f>
        <v>0</v>
      </c>
      <c r="D6" s="75" t="n">
        <f aca="false">IFERROR('Annual P&amp;L'!D11,0)</f>
        <v>0</v>
      </c>
      <c r="E6" s="75" t="n">
        <f aca="false">IFERROR('Annual P&amp;L'!E11,0)</f>
        <v>0</v>
      </c>
      <c r="F6" s="75" t="n">
        <f aca="false">IFERROR('Annual P&amp;L'!F11,0)</f>
        <v>0</v>
      </c>
      <c r="G6" s="75" t="n">
        <f aca="false">IFERROR('Annual P&amp;L'!G11,0)</f>
        <v>0</v>
      </c>
      <c r="H6" s="71" t="n">
        <f aca="false">IFERROR(SUM(C6:G6),0)</f>
        <v>0</v>
      </c>
    </row>
    <row r="7" customFormat="false" ht="15" hidden="false" customHeight="false" outlineLevel="0" collapsed="false">
      <c r="B7" s="42" t="s">
        <v>268</v>
      </c>
      <c r="C7" s="70" t="n">
        <f aca="false">IFERROR(-('Monthly Model'!N38-0),0)</f>
        <v>-0</v>
      </c>
      <c r="D7" s="70" t="n">
        <f aca="false">IFERROR(-('Monthly Model'!Z38-'Monthly Model'!N38),0)</f>
        <v>-0</v>
      </c>
      <c r="E7" s="70" t="n">
        <f aca="false">IFERROR(-('Monthly Model'!AL38-'Monthly Model'!Z38),0)</f>
        <v>-0</v>
      </c>
      <c r="F7" s="70" t="n">
        <f aca="false">IFERROR(-('Monthly Model'!AX38-'Monthly Model'!AL38),0)</f>
        <v>-0</v>
      </c>
      <c r="G7" s="70" t="n">
        <f aca="false">IFERROR(-('Monthly Model'!BJ38-'Monthly Model'!AX38),0)</f>
        <v>-0</v>
      </c>
      <c r="H7" s="71" t="n">
        <f aca="false">IFERROR(SUM(C7:G7),0)</f>
        <v>0</v>
      </c>
    </row>
    <row r="8" customFormat="false" ht="15" hidden="false" customHeight="false" outlineLevel="0" collapsed="false">
      <c r="B8" s="52" t="s">
        <v>292</v>
      </c>
      <c r="C8" s="68" t="n">
        <f aca="false">IFERROR(C5+C6+C7,0)</f>
        <v>0</v>
      </c>
      <c r="D8" s="68" t="n">
        <f aca="false">IFERROR(D5+D6+D7,0)</f>
        <v>0</v>
      </c>
      <c r="E8" s="68" t="n">
        <f aca="false">IFERROR(E5+E6+E7,0)</f>
        <v>0</v>
      </c>
      <c r="F8" s="68" t="n">
        <f aca="false">IFERROR(F5+F6+F7,0)</f>
        <v>0</v>
      </c>
      <c r="G8" s="68" t="n">
        <f aca="false">IFERROR(G5+G6+G7,0)</f>
        <v>0</v>
      </c>
      <c r="H8" s="69" t="n">
        <f aca="false">IFERROR(SUM(C8:G8),0)</f>
        <v>0</v>
      </c>
    </row>
    <row r="9" customFormat="false" ht="15" hidden="false" customHeight="false" outlineLevel="0" collapsed="false">
      <c r="B9" s="42" t="s">
        <v>293</v>
      </c>
      <c r="C9" s="70" t="n">
        <f aca="false">IFERROR(-Assumptions!$C$75,0)</f>
        <v>-0</v>
      </c>
      <c r="D9" s="70" t="n">
        <f aca="false">IFERROR(0,0)</f>
        <v>0</v>
      </c>
      <c r="E9" s="70" t="n">
        <f aca="false">IFERROR(0,0)</f>
        <v>0</v>
      </c>
      <c r="F9" s="70" t="n">
        <f aca="false">IFERROR(0,0)</f>
        <v>0</v>
      </c>
      <c r="G9" s="70" t="n">
        <f aca="false">IFERROR(0,0)</f>
        <v>0</v>
      </c>
      <c r="H9" s="71" t="n">
        <f aca="false">IFERROR(SUM(C9:G9),0)</f>
        <v>0</v>
      </c>
    </row>
    <row r="10" customFormat="false" ht="15" hidden="false" customHeight="false" outlineLevel="0" collapsed="false">
      <c r="B10" s="42" t="s">
        <v>294</v>
      </c>
      <c r="C10" s="76" t="n">
        <f aca="false">IFERROR(Assumptions!$C$77,0)</f>
        <v>0</v>
      </c>
      <c r="D10" s="76" t="n">
        <f aca="false">IFERROR(0,0)</f>
        <v>0</v>
      </c>
      <c r="E10" s="76" t="n">
        <f aca="false">IFERROR(0,0)</f>
        <v>0</v>
      </c>
      <c r="F10" s="76" t="n">
        <f aca="false">IFERROR(0,0)</f>
        <v>0</v>
      </c>
      <c r="G10" s="76" t="n">
        <f aca="false">IFERROR(0,0)</f>
        <v>0</v>
      </c>
      <c r="H10" s="71" t="n">
        <f aca="false">IFERROR(SUM(C10:G10),0)</f>
        <v>0</v>
      </c>
    </row>
    <row r="11" customFormat="false" ht="15" hidden="false" customHeight="false" outlineLevel="0" collapsed="false">
      <c r="B11" s="42" t="s">
        <v>295</v>
      </c>
      <c r="C11" s="76" t="n">
        <f aca="false">IFERROR(Assumptions!$C$78,0)</f>
        <v>0</v>
      </c>
      <c r="D11" s="76" t="n">
        <f aca="false">IFERROR(0,0)</f>
        <v>0</v>
      </c>
      <c r="E11" s="76" t="n">
        <f aca="false">IFERROR(0,0)</f>
        <v>0</v>
      </c>
      <c r="F11" s="76" t="n">
        <f aca="false">IFERROR(0,0)</f>
        <v>0</v>
      </c>
      <c r="G11" s="76" t="n">
        <f aca="false">IFERROR(0,0)</f>
        <v>0</v>
      </c>
      <c r="H11" s="71" t="n">
        <f aca="false">IFERROR(SUM(C11:G11),0)</f>
        <v>0</v>
      </c>
    </row>
    <row r="12" customFormat="false" ht="15" hidden="false" customHeight="false" outlineLevel="0" collapsed="false">
      <c r="B12" s="42" t="s">
        <v>296</v>
      </c>
      <c r="C12" s="70" t="n">
        <f aca="false">IFERROR(-SUM('Loan Schedule'!C8:N8),0)</f>
        <v>-0</v>
      </c>
      <c r="D12" s="70" t="n">
        <f aca="false">IFERROR(-SUM('Loan Schedule'!O8:Z8),0)</f>
        <v>-0</v>
      </c>
      <c r="E12" s="70" t="n">
        <f aca="false">IFERROR(-SUM('Loan Schedule'!AA8:AL8),0)</f>
        <v>-0</v>
      </c>
      <c r="F12" s="70" t="n">
        <f aca="false">IFERROR(-SUM('Loan Schedule'!AM8:AX8),0)</f>
        <v>-0</v>
      </c>
      <c r="G12" s="70" t="n">
        <f aca="false">IFERROR(-SUM('Loan Schedule'!AY8:BJ8),0)</f>
        <v>-0</v>
      </c>
      <c r="H12" s="71" t="n">
        <f aca="false">IFERROR(SUM(C12:G12),0)</f>
        <v>0</v>
      </c>
    </row>
    <row r="13" customFormat="false" ht="15" hidden="false" customHeight="false" outlineLevel="0" collapsed="false">
      <c r="B13" s="42" t="s">
        <v>297</v>
      </c>
      <c r="C13" s="75" t="n">
        <f aca="false">IFERROR(0,0)</f>
        <v>0</v>
      </c>
      <c r="D13" s="75" t="n">
        <f aca="false">IFERROR(Assumptions!$C$79,0)</f>
        <v>0</v>
      </c>
      <c r="E13" s="75" t="n">
        <f aca="false">IFERROR(0,0)</f>
        <v>0</v>
      </c>
      <c r="F13" s="75" t="n">
        <f aca="false">IFERROR(0,0)</f>
        <v>0</v>
      </c>
      <c r="G13" s="75" t="n">
        <f aca="false">IFERROR(0,0)</f>
        <v>0</v>
      </c>
      <c r="H13" s="71" t="n">
        <f aca="false">IFERROR(SUM(C13:G13),0)</f>
        <v>0</v>
      </c>
    </row>
    <row r="14" customFormat="false" ht="15" hidden="false" customHeight="false" outlineLevel="0" collapsed="false">
      <c r="B14" s="6" t="s">
        <v>298</v>
      </c>
      <c r="C14" s="72" t="n">
        <f aca="false">C8+C9+C10+C11+C12+C13</f>
        <v>0</v>
      </c>
      <c r="D14" s="72" t="n">
        <f aca="false">D8+D9+D10+D11+D12+D13</f>
        <v>0</v>
      </c>
      <c r="E14" s="72" t="n">
        <f aca="false">E8+E9+E10+E11+E12+E13</f>
        <v>0</v>
      </c>
      <c r="F14" s="72" t="n">
        <f aca="false">F8+F9+F10+F11+F12+F13</f>
        <v>0</v>
      </c>
      <c r="G14" s="72" t="n">
        <f aca="false">G8+G9+G10+G11+G12+G13</f>
        <v>0</v>
      </c>
      <c r="H14" s="71" t="n">
        <f aca="false">IFERROR(SUM(C14:G14),0)</f>
        <v>0</v>
      </c>
    </row>
    <row r="15" customFormat="false" ht="15" hidden="false" customHeight="false" outlineLevel="0" collapsed="false">
      <c r="B15" s="42" t="s">
        <v>299</v>
      </c>
      <c r="C15" s="70" t="n">
        <f aca="false">IFERROR(0,0)</f>
        <v>0</v>
      </c>
      <c r="D15" s="70" t="n">
        <f aca="false">IFERROR(C16,0)</f>
        <v>0</v>
      </c>
      <c r="E15" s="70" t="n">
        <f aca="false">IFERROR(D16,0)</f>
        <v>0</v>
      </c>
      <c r="F15" s="70" t="n">
        <f aca="false">IFERROR(E16,0)</f>
        <v>0</v>
      </c>
      <c r="G15" s="70" t="n">
        <f aca="false">IFERROR(F16,0)</f>
        <v>0</v>
      </c>
      <c r="H15" s="71" t="n">
        <f aca="false">IFERROR(SUM(C15:G15),0)</f>
        <v>0</v>
      </c>
    </row>
    <row r="16" customFormat="false" ht="15" hidden="false" customHeight="false" outlineLevel="0" collapsed="false">
      <c r="B16" s="52" t="s">
        <v>300</v>
      </c>
      <c r="C16" s="68" t="n">
        <f aca="false">IFERROR(C15+C14,0)</f>
        <v>0</v>
      </c>
      <c r="D16" s="68" t="n">
        <f aca="false">IFERROR(D15+D14,0)</f>
        <v>0</v>
      </c>
      <c r="E16" s="68" t="n">
        <f aca="false">IFERROR(E15+E14,0)</f>
        <v>0</v>
      </c>
      <c r="F16" s="68" t="n">
        <f aca="false">IFERROR(F15+F14,0)</f>
        <v>0</v>
      </c>
      <c r="G16" s="68" t="n">
        <f aca="false">IFERROR(G15+G14,0)</f>
        <v>0</v>
      </c>
      <c r="H16" s="69" t="n">
        <f aca="false">IFERROR(SUM(C16:G16),0)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7" min="3" style="0" width="15"/>
    <col collapsed="false" customWidth="true" hidden="false" outlineLevel="0" max="8" min="8" style="0" width="16"/>
  </cols>
  <sheetData>
    <row r="1" customFormat="false" ht="24" hidden="false" customHeight="true" outlineLevel="0" collapsed="false">
      <c r="A1" s="32" t="s">
        <v>301</v>
      </c>
      <c r="B1" s="32"/>
      <c r="C1" s="32"/>
      <c r="D1" s="32"/>
      <c r="E1" s="32"/>
      <c r="F1" s="32"/>
      <c r="G1" s="32"/>
      <c r="H1" s="32"/>
    </row>
    <row r="2" customFormat="false" ht="15" hidden="false" customHeight="false" outlineLevel="0" collapsed="false">
      <c r="A2" s="64" t="s">
        <v>302</v>
      </c>
      <c r="B2" s="64"/>
      <c r="C2" s="64"/>
      <c r="D2" s="64"/>
      <c r="E2" s="64"/>
      <c r="F2" s="64"/>
      <c r="G2" s="64"/>
      <c r="H2" s="64"/>
    </row>
    <row r="4" customFormat="false" ht="15" hidden="false" customHeight="false" outlineLevel="0" collapsed="false">
      <c r="B4" s="65"/>
      <c r="C4" s="66" t="s">
        <v>273</v>
      </c>
      <c r="D4" s="66" t="s">
        <v>274</v>
      </c>
      <c r="E4" s="66" t="s">
        <v>275</v>
      </c>
      <c r="F4" s="66" t="s">
        <v>276</v>
      </c>
      <c r="G4" s="66" t="s">
        <v>277</v>
      </c>
      <c r="H4" s="67" t="s">
        <v>278</v>
      </c>
    </row>
    <row r="5" customFormat="false" ht="15" hidden="false" customHeight="false" outlineLevel="0" collapsed="false">
      <c r="B5" s="59" t="s">
        <v>303</v>
      </c>
      <c r="C5" s="60"/>
      <c r="D5" s="60"/>
      <c r="E5" s="60"/>
      <c r="F5" s="60"/>
      <c r="G5" s="60"/>
      <c r="H5" s="60"/>
    </row>
    <row r="6" customFormat="false" ht="15" hidden="false" customHeight="false" outlineLevel="0" collapsed="false">
      <c r="B6" s="42" t="s">
        <v>304</v>
      </c>
      <c r="C6" s="70" t="n">
        <f aca="false">IFERROR(Assumptions!$C$77,0)</f>
        <v>0</v>
      </c>
      <c r="D6" s="70" t="n">
        <f aca="false">IFERROR(Assumptions!$C$77,0)</f>
        <v>0</v>
      </c>
      <c r="E6" s="70" t="n">
        <f aca="false">IFERROR(Assumptions!$C$77,0)</f>
        <v>0</v>
      </c>
      <c r="F6" s="70" t="n">
        <f aca="false">IFERROR(Assumptions!$C$77,0)</f>
        <v>0</v>
      </c>
      <c r="G6" s="70" t="n">
        <f aca="false">IFERROR(Assumptions!$C$77,0)</f>
        <v>0</v>
      </c>
      <c r="H6" s="71" t="n">
        <f aca="false">IFERROR(G6,0)</f>
        <v>0</v>
      </c>
    </row>
    <row r="7" customFormat="false" ht="15" hidden="false" customHeight="false" outlineLevel="0" collapsed="false">
      <c r="B7" s="42" t="s">
        <v>305</v>
      </c>
      <c r="C7" s="70" t="n">
        <f aca="false">IFERROR(0,0)</f>
        <v>0</v>
      </c>
      <c r="D7" s="70" t="n">
        <f aca="false">IFERROR(Assumptions!$C$79,0)</f>
        <v>0</v>
      </c>
      <c r="E7" s="70" t="n">
        <f aca="false">IFERROR(Assumptions!$C$79,0)</f>
        <v>0</v>
      </c>
      <c r="F7" s="70" t="n">
        <f aca="false">IFERROR(Assumptions!$C$79,0)</f>
        <v>0</v>
      </c>
      <c r="G7" s="70" t="n">
        <f aca="false">IFERROR(Assumptions!$C$79,0)</f>
        <v>0</v>
      </c>
      <c r="H7" s="71" t="n">
        <f aca="false">IFERROR(G7,0)</f>
        <v>0</v>
      </c>
    </row>
    <row r="8" customFormat="false" ht="15" hidden="false" customHeight="false" outlineLevel="0" collapsed="false">
      <c r="B8" s="42" t="s">
        <v>306</v>
      </c>
      <c r="C8" s="70" t="n">
        <f aca="false">IFERROR(SUM('Monthly Model'!C47:N47),0)</f>
        <v>0</v>
      </c>
      <c r="D8" s="70" t="n">
        <f aca="false">IFERROR(SUM('Monthly Model'!C47:Z47),0)</f>
        <v>0</v>
      </c>
      <c r="E8" s="70" t="n">
        <f aca="false">IFERROR(SUM('Monthly Model'!C47:AL47),0)</f>
        <v>0</v>
      </c>
      <c r="F8" s="70" t="n">
        <f aca="false">IFERROR(SUM('Monthly Model'!C47:AX47),0)</f>
        <v>0</v>
      </c>
      <c r="G8" s="70" t="n">
        <f aca="false">IFERROR(SUM('Monthly Model'!C47:BJ47),0)</f>
        <v>0</v>
      </c>
      <c r="H8" s="71" t="n">
        <f aca="false">IFERROR(G8,0)</f>
        <v>0</v>
      </c>
    </row>
    <row r="9" customFormat="false" ht="15" hidden="false" customHeight="false" outlineLevel="0" collapsed="false">
      <c r="B9" s="42" t="s">
        <v>307</v>
      </c>
      <c r="C9" s="70" t="n">
        <f aca="false">IFERROR('Loan Schedule'!N10,0)</f>
        <v>0</v>
      </c>
      <c r="D9" s="70" t="n">
        <f aca="false">IFERROR('Loan Schedule'!Z10,0)</f>
        <v>0</v>
      </c>
      <c r="E9" s="70" t="n">
        <f aca="false">IFERROR('Loan Schedule'!AL10,0)</f>
        <v>0</v>
      </c>
      <c r="F9" s="70" t="n">
        <f aca="false">IFERROR('Loan Schedule'!AX10,0)</f>
        <v>0</v>
      </c>
      <c r="G9" s="70" t="n">
        <f aca="false">IFERROR('Loan Schedule'!BJ10,0)</f>
        <v>0</v>
      </c>
      <c r="H9" s="71" t="n">
        <f aca="false">IFERROR(G9,0)</f>
        <v>0</v>
      </c>
    </row>
    <row r="10" customFormat="false" ht="15" hidden="false" customHeight="false" outlineLevel="0" collapsed="false">
      <c r="B10" s="42" t="s">
        <v>255</v>
      </c>
      <c r="C10" s="70" t="n">
        <f aca="false">IFERROR('Monthly Model'!N39,0)</f>
        <v>0</v>
      </c>
      <c r="D10" s="70" t="n">
        <f aca="false">IFERROR('Monthly Model'!Z39,0)</f>
        <v>0</v>
      </c>
      <c r="E10" s="70" t="n">
        <f aca="false">IFERROR('Monthly Model'!AL39,0)</f>
        <v>0</v>
      </c>
      <c r="F10" s="70" t="n">
        <f aca="false">IFERROR('Monthly Model'!AX39,0)</f>
        <v>0</v>
      </c>
      <c r="G10" s="70" t="n">
        <f aca="false">IFERROR('Monthly Model'!BJ39,0)</f>
        <v>0</v>
      </c>
      <c r="H10" s="71" t="n">
        <f aca="false">IFERROR(G10,0)</f>
        <v>0</v>
      </c>
    </row>
    <row r="11" customFormat="false" ht="15" hidden="false" customHeight="false" outlineLevel="0" collapsed="false">
      <c r="B11" s="42" t="s">
        <v>253</v>
      </c>
      <c r="C11" s="70" t="n">
        <f aca="false">IFERROR('Monthly Model'!N37,0)</f>
        <v>0</v>
      </c>
      <c r="D11" s="70" t="n">
        <f aca="false">IFERROR('Monthly Model'!Z37,0)</f>
        <v>0</v>
      </c>
      <c r="E11" s="70" t="n">
        <f aca="false">IFERROR('Monthly Model'!AL37,0)</f>
        <v>0</v>
      </c>
      <c r="F11" s="70" t="n">
        <f aca="false">IFERROR('Monthly Model'!AX37,0)</f>
        <v>0</v>
      </c>
      <c r="G11" s="70" t="n">
        <f aca="false">IFERROR('Monthly Model'!BJ37,0)</f>
        <v>0</v>
      </c>
      <c r="H11" s="71" t="n">
        <f aca="false">IFERROR(G11,0)</f>
        <v>0</v>
      </c>
    </row>
    <row r="12" customFormat="false" ht="15" hidden="false" customHeight="false" outlineLevel="0" collapsed="false">
      <c r="B12" s="52" t="s">
        <v>308</v>
      </c>
      <c r="C12" s="68" t="n">
        <f aca="false">IFERROR(SUM(C6:C11),0)</f>
        <v>0</v>
      </c>
      <c r="D12" s="68" t="n">
        <f aca="false">IFERROR(SUM(D6:D11),0)</f>
        <v>0</v>
      </c>
      <c r="E12" s="68" t="n">
        <f aca="false">IFERROR(SUM(E6:E11),0)</f>
        <v>0</v>
      </c>
      <c r="F12" s="68" t="n">
        <f aca="false">IFERROR(SUM(F6:F11),0)</f>
        <v>0</v>
      </c>
      <c r="G12" s="68" t="n">
        <f aca="false">IFERROR(SUM(G6:G11),0)</f>
        <v>0</v>
      </c>
      <c r="H12" s="69" t="n">
        <f aca="false">IFERROR(G12,0)</f>
        <v>0</v>
      </c>
    </row>
    <row r="14" customFormat="false" ht="15" hidden="false" customHeight="false" outlineLevel="0" collapsed="false">
      <c r="B14" s="59" t="s">
        <v>309</v>
      </c>
      <c r="C14" s="60"/>
      <c r="D14" s="60"/>
      <c r="E14" s="60"/>
      <c r="F14" s="60"/>
      <c r="G14" s="60"/>
      <c r="H14" s="60"/>
    </row>
    <row r="15" customFormat="false" ht="15" hidden="false" customHeight="false" outlineLevel="0" collapsed="false">
      <c r="B15" s="42" t="s">
        <v>310</v>
      </c>
      <c r="C15" s="70" t="n">
        <f aca="false">IFERROR(Assumptions!$C$14+Assumptions!$C$15+Assumptions!$C$16+Assumptions!$C$17+Assumptions!$C$18,0)</f>
        <v>0</v>
      </c>
      <c r="D15" s="70" t="n">
        <f aca="false">IFERROR(Assumptions!$C$14+Assumptions!$C$15+Assumptions!$C$16+Assumptions!$C$17+Assumptions!$C$18,0)</f>
        <v>0</v>
      </c>
      <c r="E15" s="70" t="n">
        <f aca="false">IFERROR(Assumptions!$C$14+Assumptions!$C$15+Assumptions!$C$16+Assumptions!$C$17+Assumptions!$C$18,0)</f>
        <v>0</v>
      </c>
      <c r="F15" s="70" t="n">
        <f aca="false">IFERROR(Assumptions!$C$14+Assumptions!$C$15+Assumptions!$C$16+Assumptions!$C$17+Assumptions!$C$18,0)</f>
        <v>0</v>
      </c>
      <c r="G15" s="70" t="n">
        <f aca="false">IFERROR(Assumptions!$C$14+Assumptions!$C$15+Assumptions!$C$16+Assumptions!$C$17+Assumptions!$C$18,0)</f>
        <v>0</v>
      </c>
      <c r="H15" s="71" t="n">
        <f aca="false">IFERROR(G15,0)</f>
        <v>0</v>
      </c>
    </row>
    <row r="16" customFormat="false" ht="15" hidden="false" customHeight="false" outlineLevel="0" collapsed="false">
      <c r="B16" s="42" t="s">
        <v>311</v>
      </c>
      <c r="C16" s="70" t="n">
        <f aca="false">IFERROR(-SUM(Depreciation!C9:N9),0)</f>
        <v>-0</v>
      </c>
      <c r="D16" s="70" t="n">
        <f aca="false">IFERROR(-SUM(Depreciation!C9:Z9),0)</f>
        <v>-0</v>
      </c>
      <c r="E16" s="70" t="n">
        <f aca="false">IFERROR(-SUM(Depreciation!C9:AL9),0)</f>
        <v>-0</v>
      </c>
      <c r="F16" s="70" t="n">
        <f aca="false">IFERROR(-SUM(Depreciation!C9:AX9),0)</f>
        <v>-0</v>
      </c>
      <c r="G16" s="70" t="n">
        <f aca="false">IFERROR(-SUM(Depreciation!C9:BJ9),0)</f>
        <v>-0</v>
      </c>
      <c r="H16" s="71" t="n">
        <f aca="false">IFERROR(G16,0)</f>
        <v>-0</v>
      </c>
    </row>
    <row r="17" customFormat="false" ht="15" hidden="false" customHeight="false" outlineLevel="0" collapsed="false">
      <c r="B17" s="6" t="s">
        <v>312</v>
      </c>
      <c r="C17" s="72" t="n">
        <f aca="false">IFERROR(C15+C16,0)</f>
        <v>0</v>
      </c>
      <c r="D17" s="72" t="n">
        <f aca="false">IFERROR(D15+D16,0)</f>
        <v>0</v>
      </c>
      <c r="E17" s="72" t="n">
        <f aca="false">IFERROR(E15+E16,0)</f>
        <v>0</v>
      </c>
      <c r="F17" s="72" t="n">
        <f aca="false">IFERROR(F15+F16,0)</f>
        <v>0</v>
      </c>
      <c r="G17" s="72" t="n">
        <f aca="false">IFERROR(G15+G16,0)</f>
        <v>0</v>
      </c>
      <c r="H17" s="71" t="n">
        <f aca="false">IFERROR(G17,0)</f>
        <v>0</v>
      </c>
    </row>
    <row r="18" customFormat="false" ht="15" hidden="false" customHeight="false" outlineLevel="0" collapsed="false">
      <c r="B18" s="42" t="s">
        <v>252</v>
      </c>
      <c r="C18" s="70" t="n">
        <f aca="false">IFERROR('Monthly Model'!N36,0)</f>
        <v>0</v>
      </c>
      <c r="D18" s="70" t="n">
        <f aca="false">IFERROR('Monthly Model'!Z36,0)</f>
        <v>0</v>
      </c>
      <c r="E18" s="70" t="n">
        <f aca="false">IFERROR('Monthly Model'!AL36,0)</f>
        <v>0</v>
      </c>
      <c r="F18" s="70" t="n">
        <f aca="false">IFERROR('Monthly Model'!AX36,0)</f>
        <v>0</v>
      </c>
      <c r="G18" s="70" t="n">
        <f aca="false">IFERROR('Monthly Model'!BJ36,0)</f>
        <v>0</v>
      </c>
      <c r="H18" s="71" t="n">
        <f aca="false">IFERROR(G18,0)</f>
        <v>0</v>
      </c>
    </row>
    <row r="19" customFormat="false" ht="15" hidden="false" customHeight="false" outlineLevel="0" collapsed="false">
      <c r="B19" s="42" t="s">
        <v>251</v>
      </c>
      <c r="C19" s="70" t="n">
        <f aca="false">IFERROR('Monthly Model'!N35,0)</f>
        <v>0</v>
      </c>
      <c r="D19" s="70" t="n">
        <f aca="false">IFERROR('Monthly Model'!Z35,0)</f>
        <v>0</v>
      </c>
      <c r="E19" s="70" t="n">
        <f aca="false">IFERROR('Monthly Model'!AL35,0)</f>
        <v>0</v>
      </c>
      <c r="F19" s="70" t="n">
        <f aca="false">IFERROR('Monthly Model'!AX35,0)</f>
        <v>0</v>
      </c>
      <c r="G19" s="70" t="n">
        <f aca="false">IFERROR('Monthly Model'!BJ35,0)</f>
        <v>0</v>
      </c>
      <c r="H19" s="71" t="n">
        <f aca="false">IFERROR(G19,0)</f>
        <v>0</v>
      </c>
    </row>
    <row r="20" customFormat="false" ht="15" hidden="false" customHeight="false" outlineLevel="0" collapsed="false">
      <c r="B20" s="42" t="s">
        <v>313</v>
      </c>
      <c r="C20" s="70" t="n">
        <f aca="false">IFERROR(C12-C17-C18-C19,0)</f>
        <v>0</v>
      </c>
      <c r="D20" s="70" t="n">
        <f aca="false">IFERROR(D12-D17-D18-D19,0)</f>
        <v>0</v>
      </c>
      <c r="E20" s="70" t="n">
        <f aca="false">IFERROR(E12-E17-E18-E19,0)</f>
        <v>0</v>
      </c>
      <c r="F20" s="70" t="n">
        <f aca="false">IFERROR(F12-F17-F18-F19,0)</f>
        <v>0</v>
      </c>
      <c r="G20" s="70" t="n">
        <f aca="false">IFERROR(G12-G17-G18-G19,0)</f>
        <v>0</v>
      </c>
      <c r="H20" s="71" t="n">
        <f aca="false">IFERROR(G20,0)</f>
        <v>0</v>
      </c>
    </row>
    <row r="21" customFormat="false" ht="15" hidden="false" customHeight="false" outlineLevel="0" collapsed="false">
      <c r="B21" s="52" t="s">
        <v>314</v>
      </c>
      <c r="C21" s="68" t="n">
        <f aca="false">IFERROR(C17+C18+C19+C20,0)</f>
        <v>0</v>
      </c>
      <c r="D21" s="68" t="n">
        <f aca="false">IFERROR(D17+D18+D19+D20,0)</f>
        <v>0</v>
      </c>
      <c r="E21" s="68" t="n">
        <f aca="false">IFERROR(E17+E18+E19+E20,0)</f>
        <v>0</v>
      </c>
      <c r="F21" s="68" t="n">
        <f aca="false">IFERROR(F17+F18+F19+F20,0)</f>
        <v>0</v>
      </c>
      <c r="G21" s="68" t="n">
        <f aca="false">IFERROR(G17+G18+G19+G20,0)</f>
        <v>0</v>
      </c>
      <c r="H21" s="69" t="n">
        <f aca="false">IFERROR(G21,0)</f>
        <v>0</v>
      </c>
    </row>
    <row r="22" customFormat="false" ht="15" hidden="false" customHeight="false" outlineLevel="0" collapsed="false">
      <c r="B22" s="42" t="s">
        <v>315</v>
      </c>
      <c r="C22" s="75" t="n">
        <f aca="false">IFERROR(C21-C12,0)</f>
        <v>0</v>
      </c>
      <c r="D22" s="75" t="n">
        <f aca="false">IFERROR(D21-D12,0)</f>
        <v>0</v>
      </c>
      <c r="E22" s="75" t="n">
        <f aca="false">IFERROR(E21-E12,0)</f>
        <v>0</v>
      </c>
      <c r="F22" s="75" t="n">
        <f aca="false">IFERROR(F21-F12,0)</f>
        <v>0</v>
      </c>
      <c r="G22" s="75" t="n">
        <f aca="false">IFERROR(G21-G12,0)</f>
        <v>0</v>
      </c>
      <c r="H22" s="71" t="n">
        <f aca="false">IFERROR(G22,0)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8" min="3" style="0" width="14"/>
  </cols>
  <sheetData>
    <row r="1" customFormat="false" ht="24" hidden="false" customHeight="true" outlineLevel="0" collapsed="false">
      <c r="A1" s="32" t="s">
        <v>316</v>
      </c>
      <c r="B1" s="32"/>
      <c r="C1" s="32"/>
      <c r="D1" s="32"/>
      <c r="E1" s="32"/>
      <c r="F1" s="32"/>
      <c r="G1" s="32"/>
      <c r="H1" s="32"/>
    </row>
    <row r="3" customFormat="false" ht="15" hidden="false" customHeight="false" outlineLevel="0" collapsed="false">
      <c r="B3" s="77" t="s">
        <v>317</v>
      </c>
    </row>
    <row r="4" customFormat="false" ht="15" hidden="false" customHeight="false" outlineLevel="0" collapsed="false">
      <c r="C4" s="78" t="s">
        <v>318</v>
      </c>
      <c r="D4" s="78" t="s">
        <v>273</v>
      </c>
      <c r="E4" s="78" t="s">
        <v>274</v>
      </c>
      <c r="F4" s="78" t="s">
        <v>275</v>
      </c>
      <c r="G4" s="78" t="s">
        <v>276</v>
      </c>
      <c r="H4" s="78" t="s">
        <v>277</v>
      </c>
    </row>
    <row r="5" customFormat="false" ht="15" hidden="false" customHeight="false" outlineLevel="0" collapsed="false">
      <c r="B5" s="42" t="s">
        <v>319</v>
      </c>
      <c r="C5" s="79" t="n">
        <f aca="false">-Assumptions!$C$75</f>
        <v>-0</v>
      </c>
      <c r="D5" s="79" t="n">
        <f aca="false">'Annual P&amp;L'!C9-'Annual P&amp;L'!C15-'Monthly Model'!N38</f>
        <v>0</v>
      </c>
      <c r="E5" s="79" t="n">
        <f aca="false">'Annual P&amp;L'!D9-'Annual P&amp;L'!D15-('Monthly Model'!Z38-'Monthly Model'!N38)</f>
        <v>0</v>
      </c>
      <c r="F5" s="79" t="n">
        <f aca="false">'Annual P&amp;L'!E9-'Annual P&amp;L'!E15-('Monthly Model'!AL38-'Monthly Model'!Z38)</f>
        <v>0</v>
      </c>
      <c r="G5" s="79" t="n">
        <f aca="false">'Annual P&amp;L'!F9-'Annual P&amp;L'!F15-('Monthly Model'!AX38-'Monthly Model'!AL38)</f>
        <v>0</v>
      </c>
      <c r="H5" s="79" t="n">
        <f aca="false">'Annual P&amp;L'!G9-'Annual P&amp;L'!G15-('Monthly Model'!BJ38-'Monthly Model'!AX38)+'Balance Sheet'!G17+'Monthly Model'!BJ38</f>
        <v>0</v>
      </c>
    </row>
    <row r="7" customFormat="false" ht="15" hidden="false" customHeight="false" outlineLevel="0" collapsed="false">
      <c r="B7" s="77" t="s">
        <v>320</v>
      </c>
    </row>
    <row r="8" customFormat="false" ht="15" hidden="false" customHeight="false" outlineLevel="0" collapsed="false">
      <c r="B8" s="42" t="s">
        <v>321</v>
      </c>
      <c r="C8" s="79" t="n">
        <f aca="false">-Assumptions!$C$77</f>
        <v>-0</v>
      </c>
      <c r="D8" s="79" t="n">
        <f aca="false">SUM('Monthly Model'!C53:N53)</f>
        <v>0</v>
      </c>
      <c r="E8" s="79" t="n">
        <f aca="false">SUM('Monthly Model'!O53:Z53)+Assumptions!$C$79</f>
        <v>0</v>
      </c>
      <c r="F8" s="79" t="n">
        <f aca="false">SUM('Monthly Model'!AA53:AL53)</f>
        <v>0</v>
      </c>
      <c r="G8" s="79" t="n">
        <f aca="false">SUM('Monthly Model'!AM53:AX53)</f>
        <v>0</v>
      </c>
      <c r="H8" s="79" t="n">
        <f aca="false">SUM('Monthly Model'!AY53:BJ53)+'Balance Sheet'!G6+'Balance Sheet'!G7+'Balance Sheet'!G8-'Balance Sheet'!G6</f>
        <v>0</v>
      </c>
    </row>
    <row r="10" customFormat="false" ht="15" hidden="false" customHeight="false" outlineLevel="0" collapsed="false">
      <c r="B10" s="77" t="s">
        <v>322</v>
      </c>
    </row>
    <row r="11" customFormat="false" ht="15" hidden="false" customHeight="false" outlineLevel="0" collapsed="false">
      <c r="B11" s="42" t="s">
        <v>323</v>
      </c>
      <c r="C11" s="80" t="str">
        <f aca="false">IFERROR(IRR(C5:H5),"")</f>
        <v/>
      </c>
      <c r="D11" s="64" t="s">
        <v>324</v>
      </c>
      <c r="E11" s="64"/>
      <c r="F11" s="64"/>
      <c r="G11" s="64"/>
      <c r="H11" s="64"/>
    </row>
    <row r="12" customFormat="false" ht="15" hidden="false" customHeight="false" outlineLevel="0" collapsed="false">
      <c r="B12" s="42" t="s">
        <v>325</v>
      </c>
      <c r="C12" s="81" t="n">
        <f aca="false">IFERROR(NPV(Assumptions!$C$73,D5:H5)+C5,"")</f>
        <v>0</v>
      </c>
      <c r="D12" s="64" t="s">
        <v>326</v>
      </c>
      <c r="E12" s="64"/>
      <c r="F12" s="64"/>
      <c r="G12" s="64"/>
      <c r="H12" s="64"/>
    </row>
    <row r="13" customFormat="false" ht="15" hidden="false" customHeight="false" outlineLevel="0" collapsed="false">
      <c r="B13" s="42" t="s">
        <v>327</v>
      </c>
      <c r="C13" s="80" t="str">
        <f aca="false">IFERROR(IRR(C8:H8),"")</f>
        <v/>
      </c>
      <c r="D13" s="64" t="s">
        <v>328</v>
      </c>
      <c r="E13" s="64"/>
      <c r="F13" s="64"/>
      <c r="G13" s="64"/>
      <c r="H13" s="64"/>
    </row>
    <row r="14" customFormat="false" ht="15" hidden="false" customHeight="false" outlineLevel="0" collapsed="false">
      <c r="B14" s="42" t="s">
        <v>329</v>
      </c>
      <c r="C14" s="81" t="n">
        <f aca="false">IFERROR(NPV(Assumptions!$C$73,D8:H8)+C8,"")</f>
        <v>0</v>
      </c>
      <c r="D14" s="64" t="s">
        <v>88</v>
      </c>
      <c r="E14" s="64"/>
      <c r="F14" s="64"/>
      <c r="G14" s="64"/>
      <c r="H14" s="64"/>
    </row>
    <row r="16" customFormat="false" ht="15" hidden="false" customHeight="false" outlineLevel="0" collapsed="false">
      <c r="B16" s="77" t="s">
        <v>330</v>
      </c>
    </row>
    <row r="17" customFormat="false" ht="15" hidden="false" customHeight="false" outlineLevel="0" collapsed="false">
      <c r="C17" s="78" t="s">
        <v>273</v>
      </c>
      <c r="D17" s="78" t="s">
        <v>274</v>
      </c>
      <c r="E17" s="78" t="s">
        <v>275</v>
      </c>
      <c r="F17" s="78" t="s">
        <v>276</v>
      </c>
      <c r="G17" s="78" t="s">
        <v>277</v>
      </c>
    </row>
    <row r="18" customFormat="false" ht="15" hidden="false" customHeight="false" outlineLevel="0" collapsed="false">
      <c r="B18" s="42" t="s">
        <v>331</v>
      </c>
      <c r="C18" s="43" t="str">
        <f aca="false">IF(('Annual P&amp;L'!C13+SUM('Loan Schedule'!C8:N8))=0,"",('Annual P&amp;L'!C16+'Annual P&amp;L'!C11+'Annual P&amp;L'!C13)/('Annual P&amp;L'!C13+SUM('Loan Schedule'!C8:N8)))</f>
        <v/>
      </c>
      <c r="D18" s="43" t="str">
        <f aca="false">IF(('Annual P&amp;L'!D13+SUM('Loan Schedule'!O8:Z8))=0,"",('Annual P&amp;L'!D16+'Annual P&amp;L'!D11+'Annual P&amp;L'!D13)/('Annual P&amp;L'!D13+SUM('Loan Schedule'!O8:Z8)))</f>
        <v/>
      </c>
      <c r="E18" s="43" t="str">
        <f aca="false">IF(('Annual P&amp;L'!E13+SUM('Loan Schedule'!AA8:AL8))=0,"",('Annual P&amp;L'!E16+'Annual P&amp;L'!E11+'Annual P&amp;L'!E13)/('Annual P&amp;L'!E13+SUM('Loan Schedule'!AA8:AL8)))</f>
        <v/>
      </c>
      <c r="F18" s="43" t="str">
        <f aca="false">IF(('Annual P&amp;L'!F13+SUM('Loan Schedule'!AM8:AX8))=0,"",('Annual P&amp;L'!F16+'Annual P&amp;L'!F11+'Annual P&amp;L'!F13)/('Annual P&amp;L'!F13+SUM('Loan Schedule'!AM8:AX8)))</f>
        <v/>
      </c>
      <c r="G18" s="43" t="str">
        <f aca="false">IF(('Annual P&amp;L'!G13+SUM('Loan Schedule'!AY8:BJ8))=0,"",('Annual P&amp;L'!G16+'Annual P&amp;L'!G11+'Annual P&amp;L'!G13)/('Annual P&amp;L'!G13+SUM('Loan Schedule'!AY8:BJ8)))</f>
        <v/>
      </c>
    </row>
    <row r="19" customFormat="false" ht="15" hidden="false" customHeight="false" outlineLevel="0" collapsed="false">
      <c r="B19" s="42" t="s">
        <v>332</v>
      </c>
      <c r="C19" s="82" t="str">
        <f aca="false">IFERROR(AVERAGE(C18:G18),"")</f>
        <v/>
      </c>
    </row>
    <row r="21" customFormat="false" ht="15" hidden="false" customHeight="false" outlineLevel="0" collapsed="false">
      <c r="B21" s="77" t="s">
        <v>333</v>
      </c>
    </row>
    <row r="22" customFormat="false" ht="15" hidden="false" customHeight="false" outlineLevel="0" collapsed="false">
      <c r="C22" s="78" t="s">
        <v>273</v>
      </c>
      <c r="D22" s="78" t="s">
        <v>274</v>
      </c>
      <c r="E22" s="78" t="s">
        <v>275</v>
      </c>
      <c r="F22" s="78" t="s">
        <v>276</v>
      </c>
      <c r="G22" s="78" t="s">
        <v>277</v>
      </c>
    </row>
    <row r="23" customFormat="false" ht="15" hidden="false" customHeight="false" outlineLevel="0" collapsed="false">
      <c r="B23" s="42" t="s">
        <v>334</v>
      </c>
      <c r="C23" s="83" t="str">
        <f aca="false">IF('Annual P&amp;L'!C5=0,"",('Annual P&amp;L'!C8+'Annual P&amp;L'!C11+'Annual P&amp;L'!C13)/(('Annual P&amp;L'!C5-'Annual P&amp;L'!C6)/'Annual P&amp;L'!C5)/('Annual P&amp;L'!C5/'Monthly Model'!H8))</f>
        <v/>
      </c>
      <c r="D23" s="83" t="str">
        <f aca="false">IF('Annual P&amp;L'!D5=0,"",('Annual P&amp;L'!D8+'Annual P&amp;L'!D11+'Annual P&amp;L'!D13)/(('Annual P&amp;L'!D5-'Annual P&amp;L'!D6)/'Annual P&amp;L'!D5)/('Annual P&amp;L'!D5/'Monthly Model'!T8))</f>
        <v/>
      </c>
      <c r="E23" s="83" t="str">
        <f aca="false">IF('Annual P&amp;L'!E5=0,"",('Annual P&amp;L'!E8+'Annual P&amp;L'!E11+'Annual P&amp;L'!E13)/(('Annual P&amp;L'!E5-'Annual P&amp;L'!E6)/'Annual P&amp;L'!E5)/('Annual P&amp;L'!E5/'Monthly Model'!AF8))</f>
        <v/>
      </c>
      <c r="F23" s="83" t="str">
        <f aca="false">IF('Annual P&amp;L'!F5=0,"",('Annual P&amp;L'!F8+'Annual P&amp;L'!F11+'Annual P&amp;L'!F13)/(('Annual P&amp;L'!F5-'Annual P&amp;L'!F6)/'Annual P&amp;L'!F5)/('Annual P&amp;L'!F5/'Monthly Model'!AR8))</f>
        <v/>
      </c>
      <c r="G23" s="83" t="str">
        <f aca="false">IF('Annual P&amp;L'!G5=0,"",('Annual P&amp;L'!G8+'Annual P&amp;L'!G11+'Annual P&amp;L'!G13)/(('Annual P&amp;L'!G5-'Annual P&amp;L'!G6)/'Annual P&amp;L'!G5)/('Annual P&amp;L'!G5/'Monthly Model'!BD8))</f>
        <v/>
      </c>
    </row>
    <row r="25" customFormat="false" ht="15" hidden="false" customHeight="false" outlineLevel="0" collapsed="false">
      <c r="B25" s="37" t="s">
        <v>335</v>
      </c>
    </row>
  </sheetData>
  <mergeCells count="5">
    <mergeCell ref="A1:H1"/>
    <mergeCell ref="D11:H11"/>
    <mergeCell ref="D12:H12"/>
    <mergeCell ref="D13:H13"/>
    <mergeCell ref="D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52"/>
  </cols>
  <sheetData>
    <row r="1" customFormat="false" ht="24" hidden="false" customHeight="true" outlineLevel="0" collapsed="false">
      <c r="A1" s="32" t="s">
        <v>336</v>
      </c>
      <c r="B1" s="32"/>
      <c r="C1" s="32"/>
      <c r="D1" s="32"/>
      <c r="E1" s="32"/>
    </row>
    <row r="2" customFormat="false" ht="15" hidden="false" customHeight="false" outlineLevel="0" collapsed="false">
      <c r="A2" s="64" t="s">
        <v>337</v>
      </c>
      <c r="B2" s="64"/>
      <c r="C2" s="64"/>
      <c r="D2" s="64"/>
      <c r="E2" s="64"/>
    </row>
    <row r="4" customFormat="false" ht="15" hidden="false" customHeight="false" outlineLevel="0" collapsed="false">
      <c r="B4" s="33" t="s">
        <v>338</v>
      </c>
      <c r="C4" s="33"/>
      <c r="D4" s="33"/>
      <c r="E4" s="33"/>
    </row>
    <row r="5" customFormat="false" ht="15" hidden="false" customHeight="false" outlineLevel="0" collapsed="false">
      <c r="B5" s="34" t="s">
        <v>339</v>
      </c>
      <c r="C5" s="84"/>
      <c r="D5" s="22" t="s">
        <v>340</v>
      </c>
      <c r="E5" s="85" t="s">
        <v>341</v>
      </c>
    </row>
    <row r="6" customFormat="false" ht="15" hidden="false" customHeight="false" outlineLevel="0" collapsed="false">
      <c r="B6" s="34" t="s">
        <v>342</v>
      </c>
      <c r="C6" s="86"/>
      <c r="D6" s="22" t="s">
        <v>88</v>
      </c>
      <c r="E6" s="85" t="s">
        <v>343</v>
      </c>
    </row>
    <row r="7" customFormat="false" ht="15" hidden="false" customHeight="false" outlineLevel="0" collapsed="false">
      <c r="B7" s="34" t="s">
        <v>344</v>
      </c>
      <c r="C7" s="87"/>
      <c r="D7" s="22" t="s">
        <v>345</v>
      </c>
      <c r="E7" s="85" t="s">
        <v>346</v>
      </c>
    </row>
    <row r="9" customFormat="false" ht="15" hidden="false" customHeight="false" outlineLevel="0" collapsed="false">
      <c r="B9" s="33" t="s">
        <v>347</v>
      </c>
      <c r="C9" s="33"/>
      <c r="D9" s="33"/>
      <c r="E9" s="33"/>
    </row>
    <row r="10" customFormat="false" ht="15" hidden="false" customHeight="false" outlineLevel="0" collapsed="false">
      <c r="B10" s="34" t="s">
        <v>348</v>
      </c>
      <c r="C10" s="88" t="n">
        <f aca="false">IFERROR(Payroll!BJ6,"")</f>
        <v>0</v>
      </c>
      <c r="D10" s="22" t="s">
        <v>133</v>
      </c>
      <c r="E10" s="85" t="s">
        <v>349</v>
      </c>
    </row>
    <row r="11" customFormat="false" ht="15" hidden="false" customHeight="false" outlineLevel="0" collapsed="false">
      <c r="B11" s="34" t="s">
        <v>350</v>
      </c>
      <c r="C11" s="88" t="n">
        <f aca="false">IFERROR(Payroll!BJ7,"")</f>
        <v>0</v>
      </c>
      <c r="D11" s="22" t="s">
        <v>133</v>
      </c>
      <c r="E11" s="85" t="s">
        <v>351</v>
      </c>
    </row>
    <row r="12" customFormat="false" ht="15" hidden="false" customHeight="false" outlineLevel="0" collapsed="false">
      <c r="B12" s="34" t="s">
        <v>352</v>
      </c>
      <c r="C12" s="88" t="n">
        <f aca="false">IFERROR(SUM(Payroll!C6:BJ6),"")</f>
        <v>0</v>
      </c>
      <c r="D12" s="22" t="s">
        <v>353</v>
      </c>
      <c r="E12" s="85" t="s">
        <v>354</v>
      </c>
    </row>
    <row r="13" customFormat="false" ht="15" hidden="false" customHeight="false" outlineLevel="0" collapsed="false">
      <c r="B13" s="34" t="s">
        <v>355</v>
      </c>
      <c r="C13" s="88" t="n">
        <f aca="false">IFERROR(Payroll!BJ6*$C$5,"")</f>
        <v>0</v>
      </c>
      <c r="D13" s="22" t="s">
        <v>133</v>
      </c>
      <c r="E13" s="85" t="s">
        <v>356</v>
      </c>
    </row>
    <row r="14" customFormat="false" ht="15" hidden="false" customHeight="false" outlineLevel="0" collapsed="false">
      <c r="B14" s="34" t="s">
        <v>357</v>
      </c>
      <c r="C14" s="89" t="n">
        <f aca="false">IFERROR(SUM(Payroll!C9:BJ9),"")</f>
        <v>0</v>
      </c>
      <c r="D14" s="22" t="s">
        <v>88</v>
      </c>
      <c r="E14" s="85" t="s">
        <v>358</v>
      </c>
    </row>
    <row r="16" customFormat="false" ht="15" hidden="false" customHeight="false" outlineLevel="0" collapsed="false">
      <c r="B16" s="33" t="s">
        <v>359</v>
      </c>
      <c r="C16" s="33"/>
      <c r="D16" s="33"/>
      <c r="E16" s="33"/>
    </row>
    <row r="17" customFormat="false" ht="15" hidden="false" customHeight="false" outlineLevel="0" collapsed="false">
      <c r="B17" s="34" t="s">
        <v>360</v>
      </c>
      <c r="C17" s="89" t="n">
        <f aca="false">IFERROR(SUM('Monthly Model'!C15:BJ15),"")</f>
        <v>0</v>
      </c>
      <c r="D17" s="22" t="s">
        <v>88</v>
      </c>
      <c r="E17" s="85"/>
    </row>
    <row r="18" customFormat="false" ht="15" hidden="false" customHeight="false" outlineLevel="0" collapsed="false">
      <c r="B18" s="34" t="s">
        <v>361</v>
      </c>
      <c r="C18" s="88" t="str">
        <f aca="false">IFERROR(C17/$C$6,"")</f>
        <v/>
      </c>
      <c r="D18" s="22" t="s">
        <v>362</v>
      </c>
      <c r="E18" s="85" t="s">
        <v>363</v>
      </c>
    </row>
    <row r="19" customFormat="false" ht="15" hidden="false" customHeight="false" outlineLevel="0" collapsed="false">
      <c r="B19" s="34" t="s">
        <v>364</v>
      </c>
      <c r="C19" s="87"/>
      <c r="D19" s="22" t="s">
        <v>365</v>
      </c>
      <c r="E19" s="85" t="s">
        <v>366</v>
      </c>
    </row>
    <row r="21" customFormat="false" ht="15" hidden="false" customHeight="false" outlineLevel="0" collapsed="false">
      <c r="B21" s="33" t="s">
        <v>367</v>
      </c>
      <c r="C21" s="33"/>
      <c r="D21" s="33"/>
      <c r="E21" s="33"/>
    </row>
    <row r="22" customFormat="false" ht="15" hidden="false" customHeight="false" outlineLevel="0" collapsed="false">
      <c r="B22" s="34" t="s">
        <v>368</v>
      </c>
      <c r="C22" s="89" t="n">
        <f aca="false">IFERROR(SUM('Monthly Model'!C46:BJ46),"")</f>
        <v>0</v>
      </c>
      <c r="D22" s="22" t="s">
        <v>88</v>
      </c>
      <c r="E22" s="85" t="s">
        <v>369</v>
      </c>
    </row>
    <row r="23" customFormat="false" ht="15" hidden="false" customHeight="false" outlineLevel="0" collapsed="false">
      <c r="B23" s="34" t="s">
        <v>370</v>
      </c>
      <c r="C23" s="89" t="n">
        <f aca="false">IFERROR(SUM('Monthly Model'!C13:BJ13)*$C$7,"")</f>
        <v>0</v>
      </c>
      <c r="D23" s="22" t="s">
        <v>88</v>
      </c>
      <c r="E23" s="85" t="s">
        <v>371</v>
      </c>
    </row>
    <row r="24" customFormat="false" ht="15" hidden="false" customHeight="false" outlineLevel="0" collapsed="false">
      <c r="B24" s="34" t="s">
        <v>372</v>
      </c>
      <c r="C24" s="89" t="n">
        <f aca="false">IFERROR(SUM(Payroll!C9:BJ9)+C17,"")</f>
        <v>0</v>
      </c>
      <c r="D24" s="22" t="s">
        <v>88</v>
      </c>
      <c r="E24" s="85" t="s">
        <v>373</v>
      </c>
    </row>
    <row r="26" customFormat="false" ht="15" hidden="false" customHeight="false" outlineLevel="0" collapsed="false">
      <c r="B26" s="33" t="s">
        <v>374</v>
      </c>
      <c r="C26" s="33"/>
      <c r="D26" s="33"/>
      <c r="E26" s="33"/>
    </row>
    <row r="27" customFormat="false" ht="15" hidden="false" customHeight="true" outlineLevel="0" collapsed="false">
      <c r="B27" s="90" t="s">
        <v>375</v>
      </c>
      <c r="C27" s="90"/>
      <c r="D27" s="90"/>
      <c r="E27" s="90"/>
    </row>
    <row r="28" customFormat="false" ht="15" hidden="false" customHeight="false" outlineLevel="0" collapsed="false">
      <c r="B28" s="90"/>
      <c r="C28" s="90"/>
      <c r="D28" s="90"/>
      <c r="E28" s="90"/>
    </row>
    <row r="29" customFormat="false" ht="15" hidden="false" customHeight="false" outlineLevel="0" collapsed="false">
      <c r="B29" s="90"/>
      <c r="C29" s="90"/>
      <c r="D29" s="90"/>
      <c r="E29" s="90"/>
    </row>
    <row r="30" customFormat="false" ht="15" hidden="false" customHeight="false" outlineLevel="0" collapsed="false">
      <c r="B30" s="90"/>
      <c r="C30" s="90"/>
      <c r="D30" s="90"/>
      <c r="E30" s="90"/>
    </row>
    <row r="31" customFormat="false" ht="15" hidden="false" customHeight="false" outlineLevel="0" collapsed="false">
      <c r="B31" s="90"/>
      <c r="C31" s="90"/>
      <c r="D31" s="90"/>
      <c r="E31" s="90"/>
    </row>
  </sheetData>
  <mergeCells count="8">
    <mergeCell ref="A1:E1"/>
    <mergeCell ref="A2:E2"/>
    <mergeCell ref="B4:E4"/>
    <mergeCell ref="B9:E9"/>
    <mergeCell ref="B16:E16"/>
    <mergeCell ref="B21:E21"/>
    <mergeCell ref="B26:E26"/>
    <mergeCell ref="B27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52"/>
  </cols>
  <sheetData>
    <row r="1" customFormat="false" ht="24" hidden="false" customHeight="true" outlineLevel="0" collapsed="false">
      <c r="A1" s="32" t="s">
        <v>376</v>
      </c>
      <c r="B1" s="32"/>
      <c r="C1" s="32"/>
      <c r="D1" s="32"/>
      <c r="E1" s="32"/>
    </row>
    <row r="2" customFormat="false" ht="15" hidden="false" customHeight="false" outlineLevel="0" collapsed="false">
      <c r="A2" s="64" t="s">
        <v>377</v>
      </c>
      <c r="B2" s="64"/>
      <c r="C2" s="64"/>
      <c r="D2" s="64"/>
      <c r="E2" s="64"/>
    </row>
    <row r="4" customFormat="false" ht="15" hidden="false" customHeight="false" outlineLevel="0" collapsed="false">
      <c r="B4" s="33" t="s">
        <v>378</v>
      </c>
      <c r="C4" s="33"/>
      <c r="D4" s="33"/>
      <c r="E4" s="33"/>
    </row>
    <row r="5" customFormat="false" ht="15" hidden="false" customHeight="false" outlineLevel="0" collapsed="false">
      <c r="B5" s="34" t="s">
        <v>379</v>
      </c>
      <c r="C5" s="91"/>
      <c r="D5" s="22" t="s">
        <v>380</v>
      </c>
      <c r="E5" s="85" t="s">
        <v>381</v>
      </c>
    </row>
    <row r="6" customFormat="false" ht="15" hidden="false" customHeight="false" outlineLevel="0" collapsed="false">
      <c r="B6" s="34" t="s">
        <v>382</v>
      </c>
      <c r="C6" s="87"/>
      <c r="D6" s="22" t="s">
        <v>73</v>
      </c>
      <c r="E6" s="85" t="s">
        <v>383</v>
      </c>
    </row>
    <row r="7" customFormat="false" ht="15" hidden="false" customHeight="false" outlineLevel="0" collapsed="false">
      <c r="B7" s="34" t="s">
        <v>384</v>
      </c>
      <c r="C7" s="92"/>
      <c r="D7" s="22" t="s">
        <v>385</v>
      </c>
      <c r="E7" s="85" t="s">
        <v>386</v>
      </c>
    </row>
    <row r="8" customFormat="false" ht="15" hidden="false" customHeight="false" outlineLevel="0" collapsed="false">
      <c r="B8" s="34" t="s">
        <v>387</v>
      </c>
      <c r="C8" s="93"/>
      <c r="D8" s="22" t="s">
        <v>388</v>
      </c>
      <c r="E8" s="85" t="s">
        <v>389</v>
      </c>
    </row>
    <row r="9" customFormat="false" ht="15" hidden="false" customHeight="false" outlineLevel="0" collapsed="false">
      <c r="B9" s="34" t="s">
        <v>390</v>
      </c>
      <c r="C9" s="87"/>
      <c r="D9" s="22" t="s">
        <v>73</v>
      </c>
      <c r="E9" s="85" t="s">
        <v>391</v>
      </c>
    </row>
    <row r="10" customFormat="false" ht="15" hidden="false" customHeight="false" outlineLevel="0" collapsed="false">
      <c r="B10" s="34" t="s">
        <v>392</v>
      </c>
      <c r="C10" s="87"/>
      <c r="D10" s="22" t="s">
        <v>73</v>
      </c>
      <c r="E10" s="85" t="s">
        <v>393</v>
      </c>
    </row>
    <row r="11" customFormat="false" ht="15" hidden="false" customHeight="false" outlineLevel="0" collapsed="false">
      <c r="B11" s="34" t="s">
        <v>394</v>
      </c>
      <c r="C11" s="91"/>
      <c r="D11" s="22" t="s">
        <v>395</v>
      </c>
      <c r="E11" s="85" t="s">
        <v>396</v>
      </c>
    </row>
    <row r="13" customFormat="false" ht="15" hidden="false" customHeight="false" outlineLevel="0" collapsed="false">
      <c r="B13" s="33" t="s">
        <v>397</v>
      </c>
      <c r="C13" s="33"/>
      <c r="D13" s="33"/>
      <c r="E13" s="33"/>
    </row>
    <row r="14" customFormat="false" ht="15" hidden="false" customHeight="false" outlineLevel="0" collapsed="false">
      <c r="B14" s="34" t="s">
        <v>398</v>
      </c>
      <c r="C14" s="88" t="n">
        <f aca="false">IFERROR($C$5*$C$6,"")</f>
        <v>0</v>
      </c>
      <c r="D14" s="22" t="s">
        <v>380</v>
      </c>
      <c r="E14" s="85" t="s">
        <v>399</v>
      </c>
    </row>
    <row r="15" customFormat="false" ht="15" hidden="false" customHeight="false" outlineLevel="0" collapsed="false">
      <c r="B15" s="34" t="s">
        <v>400</v>
      </c>
      <c r="C15" s="89" t="n">
        <f aca="false">IFERROR(($C$5*$C$6)*$C$7/100000,"")</f>
        <v>0</v>
      </c>
      <c r="D15" s="22" t="s">
        <v>88</v>
      </c>
      <c r="E15" s="85" t="s">
        <v>401</v>
      </c>
    </row>
    <row r="16" customFormat="false" ht="15" hidden="false" customHeight="false" outlineLevel="0" collapsed="false">
      <c r="B16" s="34" t="s">
        <v>402</v>
      </c>
      <c r="C16" s="89" t="n">
        <f aca="false">IFERROR(($C$5*$C$6)*$C$8/1000,"")</f>
        <v>0</v>
      </c>
      <c r="D16" s="22" t="s">
        <v>395</v>
      </c>
      <c r="E16" s="85" t="s">
        <v>403</v>
      </c>
    </row>
    <row r="17" customFormat="false" ht="15" hidden="false" customHeight="false" outlineLevel="0" collapsed="false">
      <c r="B17" s="34" t="s">
        <v>404</v>
      </c>
      <c r="C17" s="88" t="n">
        <f aca="false">IFERROR($C$9*15000,"")</f>
        <v>0</v>
      </c>
      <c r="D17" s="22" t="s">
        <v>405</v>
      </c>
      <c r="E17" s="85" t="s">
        <v>406</v>
      </c>
    </row>
    <row r="19" customFormat="false" ht="15" hidden="false" customHeight="false" outlineLevel="0" collapsed="false">
      <c r="B19" s="33" t="s">
        <v>407</v>
      </c>
      <c r="C19" s="33"/>
      <c r="D19" s="33"/>
      <c r="E19" s="33"/>
    </row>
    <row r="20" customFormat="false" ht="15" hidden="false" customHeight="true" outlineLevel="0" collapsed="false">
      <c r="B20" s="90" t="s">
        <v>408</v>
      </c>
      <c r="C20" s="90"/>
      <c r="D20" s="90"/>
      <c r="E20" s="90"/>
    </row>
    <row r="21" customFormat="false" ht="15" hidden="false" customHeight="false" outlineLevel="0" collapsed="false">
      <c r="B21" s="90"/>
      <c r="C21" s="90"/>
      <c r="D21" s="90"/>
      <c r="E21" s="90"/>
    </row>
    <row r="22" customFormat="false" ht="15" hidden="false" customHeight="false" outlineLevel="0" collapsed="false">
      <c r="B22" s="90"/>
      <c r="C22" s="90"/>
      <c r="D22" s="90"/>
      <c r="E22" s="90"/>
    </row>
    <row r="23" customFormat="false" ht="15" hidden="false" customHeight="false" outlineLevel="0" collapsed="false">
      <c r="B23" s="90"/>
      <c r="C23" s="90"/>
      <c r="D23" s="90"/>
      <c r="E23" s="90"/>
    </row>
    <row r="24" customFormat="false" ht="15" hidden="false" customHeight="false" outlineLevel="0" collapsed="false">
      <c r="B24" s="90"/>
      <c r="C24" s="90"/>
      <c r="D24" s="90"/>
      <c r="E24" s="90"/>
    </row>
  </sheetData>
  <mergeCells count="6">
    <mergeCell ref="A1:E1"/>
    <mergeCell ref="A2:E2"/>
    <mergeCell ref="B4:E4"/>
    <mergeCell ref="B13:E13"/>
    <mergeCell ref="B19:E19"/>
    <mergeCell ref="B20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24" hidden="false" customHeight="true" outlineLevel="0" collapsed="false">
      <c r="A1" s="32" t="s">
        <v>409</v>
      </c>
      <c r="B1" s="32"/>
      <c r="C1" s="32"/>
      <c r="D1" s="32"/>
      <c r="E1" s="32"/>
      <c r="F1" s="32"/>
    </row>
    <row r="2" customFormat="false" ht="15" hidden="false" customHeight="false" outlineLevel="0" collapsed="false">
      <c r="A2" s="64" t="s">
        <v>410</v>
      </c>
      <c r="B2" s="64"/>
      <c r="C2" s="64"/>
      <c r="D2" s="64"/>
      <c r="E2" s="64"/>
      <c r="F2" s="64"/>
    </row>
    <row r="4" customFormat="false" ht="15" hidden="false" customHeight="false" outlineLevel="0" collapsed="false">
      <c r="B4" s="18" t="s">
        <v>411</v>
      </c>
      <c r="C4" s="18" t="s">
        <v>412</v>
      </c>
      <c r="D4" s="18" t="s">
        <v>413</v>
      </c>
      <c r="E4" s="18" t="s">
        <v>414</v>
      </c>
      <c r="F4" s="18" t="s">
        <v>415</v>
      </c>
    </row>
    <row r="5" customFormat="false" ht="30" hidden="false" customHeight="true" outlineLevel="0" collapsed="false">
      <c r="B5" s="94" t="s">
        <v>416</v>
      </c>
      <c r="C5" s="95" t="s">
        <v>417</v>
      </c>
      <c r="D5" s="96" t="s">
        <v>418</v>
      </c>
      <c r="E5" s="89" t="n">
        <f aca="false">IFERROR(Assumptions!$C$79,"")</f>
        <v>0</v>
      </c>
      <c r="F5" s="97" t="s">
        <v>419</v>
      </c>
    </row>
    <row r="6" customFormat="false" ht="30" hidden="false" customHeight="true" outlineLevel="0" collapsed="false">
      <c r="B6" s="94" t="s">
        <v>420</v>
      </c>
      <c r="C6" s="95" t="s">
        <v>417</v>
      </c>
      <c r="D6" s="96" t="s">
        <v>421</v>
      </c>
      <c r="E6" s="89" t="n">
        <f aca="false">IFERROR(SUM('Loan Schedule'!C12:BJ12),"")</f>
        <v>0</v>
      </c>
      <c r="F6" s="97" t="s">
        <v>422</v>
      </c>
    </row>
    <row r="7" customFormat="false" ht="30" hidden="false" customHeight="true" outlineLevel="0" collapsed="false">
      <c r="B7" s="94" t="s">
        <v>423</v>
      </c>
      <c r="C7" s="95" t="s">
        <v>417</v>
      </c>
      <c r="D7" s="96" t="s">
        <v>424</v>
      </c>
      <c r="E7" s="89" t="n">
        <f aca="false">IFERROR(SUM('Monthly Model'!C13:BJ13)*0.03*Assumptions!$C$71,"")</f>
        <v>0</v>
      </c>
      <c r="F7" s="97" t="s">
        <v>425</v>
      </c>
    </row>
    <row r="8" customFormat="false" ht="30" hidden="false" customHeight="true" outlineLevel="0" collapsed="false">
      <c r="B8" s="94" t="s">
        <v>426</v>
      </c>
      <c r="C8" s="95" t="s">
        <v>427</v>
      </c>
      <c r="D8" s="96" t="s">
        <v>428</v>
      </c>
      <c r="E8" s="89" t="n">
        <f aca="false">IFERROR(Assumptions!$C$78,"")</f>
        <v>0</v>
      </c>
      <c r="F8" s="97" t="s">
        <v>429</v>
      </c>
    </row>
    <row r="9" customFormat="false" ht="30" hidden="false" customHeight="true" outlineLevel="0" collapsed="false">
      <c r="B9" s="94" t="s">
        <v>430</v>
      </c>
      <c r="C9" s="95" t="s">
        <v>431</v>
      </c>
      <c r="D9" s="96" t="s">
        <v>432</v>
      </c>
      <c r="E9" s="89" t="n">
        <f aca="false">IFERROR(MIN(Assumptions!$C$75*Assumptions!$C$69,Assumptions!$C$70),"")</f>
        <v>0</v>
      </c>
      <c r="F9" s="97" t="s">
        <v>433</v>
      </c>
    </row>
    <row r="10" customFormat="false" ht="30" hidden="false" customHeight="true" outlineLevel="0" collapsed="false">
      <c r="B10" s="94" t="s">
        <v>434</v>
      </c>
      <c r="C10" s="95" t="s">
        <v>435</v>
      </c>
      <c r="D10" s="96" t="s">
        <v>436</v>
      </c>
      <c r="E10" s="89" t="n">
        <f aca="false">IFERROR(MIN(Assumptions!$C$16*0.15,15),"")</f>
        <v>0</v>
      </c>
      <c r="F10" s="97" t="s">
        <v>437</v>
      </c>
    </row>
    <row r="11" customFormat="false" ht="30" hidden="false" customHeight="true" outlineLevel="0" collapsed="false">
      <c r="B11" s="94" t="s">
        <v>438</v>
      </c>
      <c r="C11" s="95" t="s">
        <v>439</v>
      </c>
      <c r="D11" s="96" t="s">
        <v>440</v>
      </c>
      <c r="E11" s="98" t="s">
        <v>441</v>
      </c>
      <c r="F11" s="97" t="s">
        <v>442</v>
      </c>
    </row>
    <row r="12" customFormat="false" ht="30" hidden="false" customHeight="true" outlineLevel="0" collapsed="false">
      <c r="B12" s="94" t="s">
        <v>443</v>
      </c>
      <c r="C12" s="95" t="s">
        <v>417</v>
      </c>
      <c r="D12" s="96" t="s">
        <v>444</v>
      </c>
      <c r="E12" s="98" t="s">
        <v>441</v>
      </c>
      <c r="F12" s="97" t="s">
        <v>445</v>
      </c>
    </row>
    <row r="13" customFormat="false" ht="15" hidden="false" customHeight="false" outlineLevel="0" collapsed="false">
      <c r="D13" s="6" t="s">
        <v>446</v>
      </c>
      <c r="E13" s="99" t="n">
        <f aca="false">E5+E6+E7+E9+E10</f>
        <v>0</v>
      </c>
    </row>
  </sheetData>
  <mergeCells count="2">
    <mergeCell ref="A1:F1"/>
    <mergeCell ref="A2:F2"/>
  </mergeCells>
  <hyperlinks>
    <hyperlink ref="F5" r:id="rId1" display="New/expanding manufacturing MSME with Udyam &amp; COD in policy window"/>
    <hyperlink ref="F6" r:id="rId2" display="Bank/FI-financed term loan; paid post-COD"/>
    <hyperlink ref="F7" r:id="rId3" display="Category 1/2/3 talukas; intra-Gujarat sales"/>
    <hyperlink ref="F8" r:id="rId4" display="Guarantee cover up to ₹5 cr (₹10 cr per Budget 2025); enabler, not cash grant"/>
    <hyperlink ref="F9" r:id="rId5" display="ONLY if the unit qualifies as MICRO food-processing (P&amp;M ≤₹2.5 cr)"/>
    <hyperlink ref="F10" r:id="rId6" display="For technology upgradation; verify current window"/>
    <hyperlink ref="F11" r:id="rId7" display="Any domestic company; s.115BAB 15% only if COD was ≤ 31-Mar-2024"/>
    <hyperlink ref="F12" r:id="rId8" display="New employees without prior UAN; strong for a job-creating uni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7" min="7" style="0" width="2"/>
  </cols>
  <sheetData>
    <row r="1" customFormat="false" ht="27.75" hidden="false" customHeight="true" outlineLevel="0" collapsed="false">
      <c r="B1" s="100" t="s">
        <v>447</v>
      </c>
      <c r="C1" s="100"/>
      <c r="D1" s="100"/>
      <c r="E1" s="100"/>
      <c r="F1" s="100"/>
    </row>
    <row r="2" customFormat="false" ht="15" hidden="false" customHeight="false" outlineLevel="0" collapsed="false">
      <c r="B2" s="101" t="s">
        <v>448</v>
      </c>
    </row>
    <row r="3" customFormat="false" ht="15" hidden="false" customHeight="false" outlineLevel="0" collapsed="false">
      <c r="B3" s="102" t="s">
        <v>449</v>
      </c>
      <c r="C3" s="102"/>
      <c r="E3" s="103" t="s">
        <v>450</v>
      </c>
      <c r="F3" s="103"/>
    </row>
    <row r="4" customFormat="false" ht="15" hidden="false" customHeight="false" outlineLevel="0" collapsed="false">
      <c r="B4" s="104" t="n">
        <f aca="false">IFERROR('Annual P&amp;L'!G5,"")</f>
        <v>0</v>
      </c>
      <c r="C4" s="104"/>
      <c r="E4" s="105" t="n">
        <f aca="false">IFERROR('Annual P&amp;L'!G16,"")</f>
        <v>0</v>
      </c>
      <c r="F4" s="105"/>
    </row>
    <row r="5" customFormat="false" ht="15" hidden="false" customHeight="false" outlineLevel="0" collapsed="false">
      <c r="B5" s="104"/>
      <c r="C5" s="104"/>
      <c r="E5" s="105"/>
      <c r="F5" s="105"/>
    </row>
    <row r="7" customFormat="false" ht="15" hidden="false" customHeight="false" outlineLevel="0" collapsed="false">
      <c r="B7" s="106" t="s">
        <v>451</v>
      </c>
      <c r="C7" s="106"/>
      <c r="E7" s="102" t="s">
        <v>452</v>
      </c>
      <c r="F7" s="102"/>
    </row>
    <row r="8" customFormat="false" ht="15" hidden="false" customHeight="false" outlineLevel="0" collapsed="false">
      <c r="B8" s="107" t="n">
        <f aca="false">IFERROR('Annual P&amp;L'!G10,"")</f>
        <v>0</v>
      </c>
      <c r="C8" s="107"/>
      <c r="E8" s="108" t="str">
        <f aca="false">IFERROR(IRR('Returns &amp; Ratios'!C5:H5),"")</f>
        <v/>
      </c>
      <c r="F8" s="108"/>
    </row>
    <row r="9" customFormat="false" ht="15" hidden="false" customHeight="false" outlineLevel="0" collapsed="false">
      <c r="B9" s="107"/>
      <c r="C9" s="107"/>
      <c r="E9" s="108"/>
      <c r="F9" s="108"/>
    </row>
    <row r="11" customFormat="false" ht="15" hidden="false" customHeight="false" outlineLevel="0" collapsed="false">
      <c r="B11" s="103" t="s">
        <v>453</v>
      </c>
      <c r="C11" s="103"/>
      <c r="E11" s="106" t="s">
        <v>454</v>
      </c>
      <c r="F11" s="106"/>
    </row>
    <row r="12" customFormat="false" ht="15" hidden="false" customHeight="false" outlineLevel="0" collapsed="false">
      <c r="B12" s="109" t="n">
        <f aca="false">IFERROR(Payroll!BJ6,"")</f>
        <v>0</v>
      </c>
      <c r="C12" s="109"/>
      <c r="E12" s="110" t="n">
        <f aca="false">IFERROR(Assumptions!$C$79+SUM('Loan Schedule'!C12:BJ12),"")</f>
        <v>0</v>
      </c>
      <c r="F12" s="110"/>
    </row>
    <row r="13" customFormat="false" ht="15" hidden="false" customHeight="false" outlineLevel="0" collapsed="false">
      <c r="B13" s="109"/>
      <c r="C13" s="109"/>
      <c r="E13" s="110"/>
      <c r="F13" s="110"/>
    </row>
  </sheetData>
  <mergeCells count="13">
    <mergeCell ref="B1:F1"/>
    <mergeCell ref="B3:C3"/>
    <mergeCell ref="E3:F3"/>
    <mergeCell ref="B4:C5"/>
    <mergeCell ref="E4:F5"/>
    <mergeCell ref="B7:C7"/>
    <mergeCell ref="E7:F7"/>
    <mergeCell ref="B8:C9"/>
    <mergeCell ref="E8:F9"/>
    <mergeCell ref="B11:C11"/>
    <mergeCell ref="E11:F11"/>
    <mergeCell ref="B12:C13"/>
    <mergeCell ref="E12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3" min="3" style="0" width="90"/>
  </cols>
  <sheetData>
    <row r="1" customFormat="false" ht="24" hidden="false" customHeight="true" outlineLevel="0" collapsed="false">
      <c r="A1" s="32" t="s">
        <v>455</v>
      </c>
      <c r="B1" s="32"/>
      <c r="C1" s="32"/>
    </row>
    <row r="2" customFormat="false" ht="15" hidden="false" customHeight="false" outlineLevel="0" collapsed="false">
      <c r="A2" s="64" t="s">
        <v>456</v>
      </c>
      <c r="B2" s="64"/>
      <c r="C2" s="64"/>
    </row>
    <row r="4" customFormat="false" ht="15" hidden="false" customHeight="false" outlineLevel="0" collapsed="false">
      <c r="B4" s="66" t="s">
        <v>457</v>
      </c>
      <c r="C4" s="66" t="s">
        <v>458</v>
      </c>
    </row>
    <row r="5" customFormat="false" ht="25.5" hidden="false" customHeight="true" outlineLevel="0" collapsed="false">
      <c r="B5" s="111" t="s">
        <v>459</v>
      </c>
      <c r="C5" s="112" t="s">
        <v>460</v>
      </c>
    </row>
    <row r="6" customFormat="false" ht="25.5" hidden="false" customHeight="true" outlineLevel="0" collapsed="false">
      <c r="B6" s="111" t="s">
        <v>461</v>
      </c>
      <c r="C6" s="112" t="s">
        <v>462</v>
      </c>
    </row>
    <row r="7" customFormat="false" ht="25.5" hidden="false" customHeight="true" outlineLevel="0" collapsed="false">
      <c r="B7" s="111" t="s">
        <v>463</v>
      </c>
      <c r="C7" s="112" t="s">
        <v>464</v>
      </c>
    </row>
    <row r="8" customFormat="false" ht="25.5" hidden="false" customHeight="true" outlineLevel="0" collapsed="false">
      <c r="B8" s="111" t="s">
        <v>465</v>
      </c>
      <c r="C8" s="112" t="s">
        <v>466</v>
      </c>
    </row>
    <row r="9" customFormat="false" ht="25.5" hidden="false" customHeight="true" outlineLevel="0" collapsed="false">
      <c r="B9" s="111" t="s">
        <v>467</v>
      </c>
      <c r="C9" s="112" t="s">
        <v>468</v>
      </c>
    </row>
    <row r="10" customFormat="false" ht="25.5" hidden="false" customHeight="true" outlineLevel="0" collapsed="false">
      <c r="B10" s="111" t="s">
        <v>469</v>
      </c>
      <c r="C10" s="112" t="s">
        <v>470</v>
      </c>
    </row>
    <row r="11" customFormat="false" ht="25.5" hidden="false" customHeight="true" outlineLevel="0" collapsed="false">
      <c r="B11" s="111" t="s">
        <v>471</v>
      </c>
      <c r="C11" s="112" t="s">
        <v>472</v>
      </c>
    </row>
    <row r="12" customFormat="false" ht="25.5" hidden="false" customHeight="true" outlineLevel="0" collapsed="false">
      <c r="B12" s="111" t="s">
        <v>473</v>
      </c>
      <c r="C12" s="112" t="s">
        <v>474</v>
      </c>
    </row>
    <row r="13" customFormat="false" ht="25.5" hidden="false" customHeight="true" outlineLevel="0" collapsed="false">
      <c r="B13" s="111" t="s">
        <v>475</v>
      </c>
      <c r="C13" s="112" t="s">
        <v>476</v>
      </c>
    </row>
    <row r="14" customFormat="false" ht="25.5" hidden="false" customHeight="true" outlineLevel="0" collapsed="false">
      <c r="B14" s="111" t="s">
        <v>477</v>
      </c>
      <c r="C14" s="112" t="s">
        <v>478</v>
      </c>
    </row>
    <row r="15" customFormat="false" ht="15" hidden="false" customHeight="false" outlineLevel="0" collapsed="false">
      <c r="B15" s="20" t="s">
        <v>479</v>
      </c>
      <c r="C15" s="113" t="s">
        <v>85</v>
      </c>
    </row>
  </sheetData>
  <mergeCells count="2">
    <mergeCell ref="A1:C1"/>
    <mergeCell ref="A2:C2"/>
  </mergeCells>
  <hyperlinks>
    <hyperlink ref="C5" r:id="rId1" display="https://www.pib.gov.in/PressReleasePage.aspx?PRID=2098389"/>
    <hyperlink ref="C6" r:id="rId2" display="https://incometaxindia.gov.in/Documents/Left%20Menu/TAX%20RATES-domestic.htm"/>
    <hyperlink ref="C7" r:id="rId3" display="https://cleartax.in/s/section-115-baa-tax-rate-domestic-companies"/>
    <hyperlink ref="C8" r:id="rId4" display="https://creditcares.in/cgtmse-loan-interest-rate-2026-bank-wise-rates/"/>
    <hyperlink ref="C9" r:id="rId5" display="https://cleartax.in/s/msme-loan-scheme-2020"/>
    <hyperlink ref="C10" r:id="rId6" display="https://www.myscheme.gov.in/schemes/agmsmecis"/>
    <hyperlink ref="C11" r:id="rId7" display="https://ipfonline.com/news/detail/policyregulation/aatmanirbhar-gujarat-2022-boosting-growth-of-msmes/15919"/>
    <hyperlink ref="C12" r:id="rId8" display="https://cmogujarat.gov.in/wp-content/uploads/2022/10/AatmaNirbhar-Gujarat_Industrial-Policy.pdf"/>
    <hyperlink ref="C13" r:id="rId9" display="https://www.myscheme.gov.in/schemes/pmfmpe"/>
    <hyperlink ref="C14" r:id="rId10" display="https://cleartax.in/s/pmfme-sche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2026-07-08T09:06:10Z</dcterms:created>
  <dc:creator>openpyxl</dc:creator>
  <dc:description/>
  <dc:language>en-US</dc:language>
  <cp:lastModifiedBy/>
  <dcterms:modified xsi:type="dcterms:W3CDTF">2026-07-08T09:06:14Z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