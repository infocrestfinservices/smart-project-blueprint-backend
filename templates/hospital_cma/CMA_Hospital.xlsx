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Inventory Schedule" sheetId="10" state="visible" r:id="rId10"/>
    <sheet xmlns:r="http://schemas.openxmlformats.org/officeDocument/2006/relationships" name="Form_V_MPBF" sheetId="11" state="visible" r:id="rId11"/>
    <sheet xmlns:r="http://schemas.openxmlformats.org/officeDocument/2006/relationships" name="WC &amp; CC-OD Limit" sheetId="12" state="visible" r:id="rId12"/>
    <sheet xmlns:r="http://schemas.openxmlformats.org/officeDocument/2006/relationships" name="Form_VI_FundFlow" sheetId="13" state="visible" r:id="rId13"/>
    <sheet xmlns:r="http://schemas.openxmlformats.org/officeDocument/2006/relationships" name="Repayment" sheetId="14" state="visible" r:id="rId14"/>
    <sheet xmlns:r="http://schemas.openxmlformats.org/officeDocument/2006/relationships" name="Existing Loan" sheetId="15" state="visible" r:id="rId15"/>
    <sheet xmlns:r="http://schemas.openxmlformats.org/officeDocument/2006/relationships" name="DSCR" sheetId="16" state="visible" r:id="rId16"/>
    <sheet xmlns:r="http://schemas.openxmlformats.org/officeDocument/2006/relationships" name="Ratios" sheetId="17" state="visible" r:id="rId17"/>
    <sheet xmlns:r="http://schemas.openxmlformats.org/officeDocument/2006/relationships" name="Conclusion" sheetId="18" state="visible" r:id="rId18"/>
    <sheet xmlns:r="http://schemas.openxmlformats.org/officeDocument/2006/relationships" name="Dashboard" sheetId="19" state="visible" r:id="rId19"/>
  </sheets>
  <definedNames>
    <definedName name="INDUSTRY_MAP">Assumptions!$S$5:$AB$40</definedName>
    <definedName name="_xlnm.Print_Area" localSheetId="17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  <numFmt numFmtId="172" formatCode="#,##0.0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172" fontId="72" fillId="0" borderId="30" pivotButton="0" quotePrefix="0" xfId="0"/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1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1"/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4"/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1"/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Inventory Schedule</t>
        </is>
      </c>
      <c r="C21" s="88" t="inlineStr">
        <is>
          <t>Movement of stock: opening + additions - consumption = closing</t>
        </is>
      </c>
    </row>
    <row r="22" ht="15" customHeight="1" s="82">
      <c r="B22" s="90" t="inlineStr">
        <is>
          <t>Form_V_MPBF</t>
        </is>
      </c>
      <c r="C22" s="88" t="inlineStr">
        <is>
          <t>Form V — Maximum permissible bank finance (Tandon)</t>
        </is>
      </c>
    </row>
    <row r="23" ht="15" customHeight="1" s="82">
      <c r="B23" s="90" t="inlineStr">
        <is>
          <t>WC &amp; CC-OD Limit</t>
        </is>
      </c>
      <c r="C23" s="88" t="inlineStr">
        <is>
          <t>Working capital assessment and the term-loan / WC borrowing split</t>
        </is>
      </c>
    </row>
    <row r="24" ht="15" customHeight="1" s="82">
      <c r="B24" s="90" t="inlineStr">
        <is>
          <t>Form_VI_FundFlow</t>
        </is>
      </c>
      <c r="C24" s="88" t="inlineStr">
        <is>
          <t>Form VI — Fund-flow statement</t>
        </is>
      </c>
    </row>
    <row r="25" ht="15" customHeight="1" s="82">
      <c r="B25" s="90" t="inlineStr">
        <is>
          <t>Repayment</t>
        </is>
      </c>
      <c r="C25" s="88" t="inlineStr">
        <is>
          <t>Term-loan repayment schedule, annual and month by month</t>
        </is>
      </c>
    </row>
    <row r="26" ht="15" customHeight="1" s="82">
      <c r="B26" s="90" t="inlineStr">
        <is>
          <t>Existing Loan</t>
        </is>
      </c>
      <c r="C26" s="88" t="inlineStr"/>
    </row>
    <row r="27">
      <c r="B27" s="90" t="inlineStr">
        <is>
          <t>DSCR</t>
        </is>
      </c>
      <c r="C27" s="88" t="inlineStr">
        <is>
          <t>Debt-service coverage year by year</t>
        </is>
      </c>
    </row>
    <row r="28" ht="15" customHeight="1" s="82">
      <c r="B28" s="88" t="inlineStr">
        <is>
          <t>Key ratios — liquidity, leverage, profitability, coverage</t>
        </is>
      </c>
      <c r="C28" s="132" t="n"/>
    </row>
    <row r="29">
      <c r="B29" s="90" t="inlineStr">
        <is>
          <t>Conclusion</t>
        </is>
      </c>
      <c r="C29" s="88" t="inlineStr">
        <is>
          <t>The verdict the figures support</t>
        </is>
      </c>
    </row>
    <row r="30">
      <c r="B30" s="90" t="inlineStr">
        <is>
          <t>Dashboard</t>
        </is>
      </c>
      <c r="C30" s="88" t="inlineStr">
        <is>
          <t>Charts: revenue, EBITDA, PAT, DSCR</t>
        </is>
      </c>
    </row>
    <row r="31">
      <c r="B31" s="90" t="n"/>
      <c r="C31" s="88" t="n"/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'Service Delivery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Patients treated (OPD/IPD)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Average treatment charge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Cost of medical services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Procedures / Surgery</t>
        </is>
      </c>
      <c r="C66" s="257" t="n">
        <v>0</v>
      </c>
      <c r="D66" s="257" t="n">
        <v>0</v>
      </c>
    </row>
    <row r="67">
      <c r="B67" s="188" t="inlineStr">
        <is>
          <t>Pharmacy sales</t>
        </is>
      </c>
      <c r="C67" s="257" t="n">
        <v>0</v>
      </c>
      <c r="D67" s="257" t="n">
        <v>0</v>
      </c>
    </row>
    <row r="68">
      <c r="B68" s="188" t="inlineStr">
        <is>
          <t>Diagnostics / Laboratory</t>
        </is>
      </c>
      <c r="C68" s="257" t="n">
        <v>0</v>
      </c>
      <c r="D68" s="257" t="n">
        <v>0</v>
      </c>
    </row>
    <row r="69">
      <c r="B69" s="188" t="inlineStr">
        <is>
          <t>Other services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7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7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7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7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Patients treated (OPD/IPD)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Patients treated (OPD/IPD)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Average treatment charge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Patients treated (OPD/IPD)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Procedures / Surgery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Procedures / Surgery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Procedures / Surgery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Pharmacy sales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Pharmacy sales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Pharmacy sales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Diagnostics / Laboratory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Diagnostics / Laboratory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Diagnostics / Laboratory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services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services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services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medical services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Patients treated (OPD/IPD)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Procedures / Surgery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Pharmacy sales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Diagnostics / Laboratory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services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INVENTORY SCHEDULE  —  movement of stock, year by year</t>
        </is>
      </c>
    </row>
    <row r="2">
      <c r="A2" s="261" t="inlineStr">
        <is>
          <t>Opening + additions − consumption = closing. Closing stock is the holding-days figure from Form IV, so this schedule ties to the balance sheet; consumption is the balancing line.</t>
        </is>
      </c>
    </row>
    <row r="4"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75" t="n"/>
      <c r="B5" s="274" t="inlineStr">
        <is>
          <t>A.   GOODS PURCHASED</t>
        </is>
      </c>
      <c r="C5" s="275" t="n"/>
      <c r="D5" s="275" t="n"/>
      <c r="E5" s="275" t="n"/>
      <c r="F5" s="275" t="n"/>
      <c r="G5" s="275" t="n"/>
    </row>
    <row r="6">
      <c r="B6" s="266" t="inlineStr">
        <is>
          <t>Opening stock</t>
        </is>
      </c>
      <c r="C6" s="268" t="n">
        <v>0</v>
      </c>
      <c r="D6" s="268">
        <f>C9</f>
        <v/>
      </c>
      <c r="E6" s="268">
        <f>D9</f>
        <v/>
      </c>
      <c r="F6" s="268">
        <f>E9</f>
        <v/>
      </c>
      <c r="G6" s="268">
        <f>F9</f>
        <v/>
      </c>
    </row>
    <row r="7">
      <c r="B7" s="266" t="inlineStr">
        <is>
          <t>Add: Purchases during the year</t>
        </is>
      </c>
      <c r="C7" s="268">
        <f>Form_IV_CA_CL!C7</f>
        <v/>
      </c>
      <c r="D7" s="268">
        <f>Form_IV_CA_CL!D7</f>
        <v/>
      </c>
      <c r="E7" s="268">
        <f>Form_IV_CA_CL!E7</f>
        <v/>
      </c>
      <c r="F7" s="268">
        <f>Form_IV_CA_CL!F7</f>
        <v/>
      </c>
      <c r="G7" s="268">
        <f>Form_IV_CA_CL!G7</f>
        <v/>
      </c>
    </row>
    <row r="8">
      <c r="B8" s="266" t="inlineStr">
        <is>
          <t>Less: Consumed</t>
        </is>
      </c>
      <c r="C8" s="268">
        <f>C6+C7-C9</f>
        <v/>
      </c>
      <c r="D8" s="268">
        <f>D6+D7-D9</f>
        <v/>
      </c>
      <c r="E8" s="268">
        <f>E6+E7-E9</f>
        <v/>
      </c>
      <c r="F8" s="268">
        <f>F6+F7-F9</f>
        <v/>
      </c>
      <c r="G8" s="268">
        <f>G6+G7-G9</f>
        <v/>
      </c>
    </row>
    <row r="9">
      <c r="B9" s="270" t="inlineStr">
        <is>
          <t>Closing stock  (holding-days basis)</t>
        </is>
      </c>
      <c r="C9" s="271">
        <f>Form_IV_CA_CL!C10</f>
        <v/>
      </c>
      <c r="D9" s="271">
        <f>Form_IV_CA_CL!D10</f>
        <v/>
      </c>
      <c r="E9" s="271">
        <f>Form_IV_CA_CL!E10</f>
        <v/>
      </c>
      <c r="F9" s="271">
        <f>Form_IV_CA_CL!F10</f>
        <v/>
      </c>
      <c r="G9" s="271">
        <f>Form_IV_CA_CL!G10</f>
        <v/>
      </c>
    </row>
    <row r="10">
      <c r="B10" s="266" t="inlineStr">
        <is>
          <t>Holding period (days)</t>
        </is>
      </c>
      <c r="C10" s="268">
        <f>Assumptions!$C$50</f>
        <v/>
      </c>
      <c r="D10" s="268">
        <f>Assumptions!$C$50</f>
        <v/>
      </c>
      <c r="E10" s="268">
        <f>Assumptions!$C$50</f>
        <v/>
      </c>
      <c r="F10" s="268">
        <f>Assumptions!$C$50</f>
        <v/>
      </c>
      <c r="G10" s="268">
        <f>Assumptions!$C$50</f>
        <v/>
      </c>
    </row>
    <row r="12">
      <c r="A12" s="275" t="n"/>
      <c r="B12" s="274" t="inlineStr">
        <is>
          <t>B.   STOCK IN TRADE</t>
        </is>
      </c>
      <c r="C12" s="275" t="n"/>
      <c r="D12" s="275" t="n"/>
      <c r="E12" s="275" t="n"/>
      <c r="F12" s="275" t="n"/>
      <c r="G12" s="275" t="n"/>
    </row>
    <row r="13">
      <c r="B13" s="264" t="inlineStr">
        <is>
          <t>Particulars</t>
        </is>
      </c>
      <c r="C13" s="265" t="inlineStr">
        <is>
          <t>Year 1</t>
        </is>
      </c>
      <c r="D13" s="265" t="inlineStr">
        <is>
          <t>Year 2</t>
        </is>
      </c>
      <c r="E13" s="265" t="inlineStr">
        <is>
          <t>Year 3</t>
        </is>
      </c>
      <c r="F13" s="265" t="inlineStr">
        <is>
          <t>Year 4</t>
        </is>
      </c>
      <c r="G13" s="265" t="inlineStr">
        <is>
          <t>Year 5</t>
        </is>
      </c>
    </row>
    <row r="14">
      <c r="B14" s="266" t="inlineStr">
        <is>
          <t>Opening stock</t>
        </is>
      </c>
      <c r="C14" s="268" t="n">
        <v>0</v>
      </c>
      <c r="D14" s="268">
        <f>C17</f>
        <v/>
      </c>
      <c r="E14" s="268">
        <f>D17</f>
        <v/>
      </c>
      <c r="F14" s="268">
        <f>E17</f>
        <v/>
      </c>
      <c r="G14" s="268">
        <f>F17</f>
        <v/>
      </c>
    </row>
    <row r="15">
      <c r="B15" s="266" t="inlineStr">
        <is>
          <t>Add: Cost of production / cost of goods</t>
        </is>
      </c>
      <c r="C15" s="268">
        <f>Form_IV_CA_CL!C6</f>
        <v/>
      </c>
      <c r="D15" s="268">
        <f>Form_IV_CA_CL!D6</f>
        <v/>
      </c>
      <c r="E15" s="268">
        <f>Form_IV_CA_CL!E6</f>
        <v/>
      </c>
      <c r="F15" s="268">
        <f>Form_IV_CA_CL!F6</f>
        <v/>
      </c>
      <c r="G15" s="268">
        <f>Form_IV_CA_CL!G6</f>
        <v/>
      </c>
    </row>
    <row r="16">
      <c r="B16" s="266" t="inlineStr">
        <is>
          <t>Less: Cost of goods sold</t>
        </is>
      </c>
      <c r="C16" s="268">
        <f>C14+C15-C17</f>
        <v/>
      </c>
      <c r="D16" s="268">
        <f>D14+D15-D17</f>
        <v/>
      </c>
      <c r="E16" s="268">
        <f>E14+E15-E17</f>
        <v/>
      </c>
      <c r="F16" s="268">
        <f>F14+F15-F17</f>
        <v/>
      </c>
      <c r="G16" s="268">
        <f>G14+G15-G17</f>
        <v/>
      </c>
    </row>
    <row r="17">
      <c r="B17" s="270" t="inlineStr">
        <is>
          <t>Closing stock  (holding-days basis)</t>
        </is>
      </c>
      <c r="C17" s="271">
        <f>Form_IV_CA_CL!C11</f>
        <v/>
      </c>
      <c r="D17" s="271">
        <f>Form_IV_CA_CL!D11</f>
        <v/>
      </c>
      <c r="E17" s="271">
        <f>Form_IV_CA_CL!E11</f>
        <v/>
      </c>
      <c r="F17" s="271">
        <f>Form_IV_CA_CL!F11</f>
        <v/>
      </c>
      <c r="G17" s="271">
        <f>Form_IV_CA_CL!G11</f>
        <v/>
      </c>
    </row>
    <row r="18">
      <c r="B18" s="266" t="inlineStr">
        <is>
          <t>Holding period (days)</t>
        </is>
      </c>
      <c r="C18" s="268">
        <f>Assumptions!$C$51</f>
        <v/>
      </c>
      <c r="D18" s="268">
        <f>Assumptions!$C$51</f>
        <v/>
      </c>
      <c r="E18" s="268">
        <f>Assumptions!$C$51</f>
        <v/>
      </c>
      <c r="F18" s="268">
        <f>Assumptions!$C$51</f>
        <v/>
      </c>
      <c r="G18" s="268">
        <f>Assumptions!$C$51</f>
        <v/>
      </c>
    </row>
    <row r="20">
      <c r="A20" s="275" t="n"/>
      <c r="B20" s="274" t="inlineStr">
        <is>
          <t>C.   TOTAL INVENTORY  &amp;  EFFICIENCY</t>
        </is>
      </c>
      <c r="C20" s="275" t="n"/>
      <c r="D20" s="275" t="n"/>
      <c r="E20" s="275" t="n"/>
      <c r="F20" s="275" t="n"/>
      <c r="G20" s="275" t="n"/>
    </row>
    <row r="21">
      <c r="B21" s="264" t="inlineStr">
        <is>
          <t>Particulars</t>
        </is>
      </c>
      <c r="C21" s="265" t="inlineStr">
        <is>
          <t>Year 1</t>
        </is>
      </c>
      <c r="D21" s="265" t="inlineStr">
        <is>
          <t>Year 2</t>
        </is>
      </c>
      <c r="E21" s="265" t="inlineStr">
        <is>
          <t>Year 3</t>
        </is>
      </c>
      <c r="F21" s="265" t="inlineStr">
        <is>
          <t>Year 4</t>
        </is>
      </c>
      <c r="G21" s="265" t="inlineStr">
        <is>
          <t>Year 5</t>
        </is>
      </c>
    </row>
    <row r="22">
      <c r="B22" s="266" t="inlineStr">
        <is>
          <t>Goods purchased — closing</t>
        </is>
      </c>
      <c r="C22" s="268">
        <f>C9</f>
        <v/>
      </c>
      <c r="D22" s="268">
        <f>D9</f>
        <v/>
      </c>
      <c r="E22" s="268">
        <f>E9</f>
        <v/>
      </c>
      <c r="F22" s="268">
        <f>F9</f>
        <v/>
      </c>
      <c r="G22" s="268">
        <f>G9</f>
        <v/>
      </c>
    </row>
    <row r="23">
      <c r="B23" s="266" t="inlineStr">
        <is>
          <t>Stock in trade — closing</t>
        </is>
      </c>
      <c r="C23" s="268">
        <f>C17</f>
        <v/>
      </c>
      <c r="D23" s="268">
        <f>D17</f>
        <v/>
      </c>
      <c r="E23" s="268">
        <f>E17</f>
        <v/>
      </c>
      <c r="F23" s="268">
        <f>F17</f>
        <v/>
      </c>
      <c r="G23" s="268">
        <f>G17</f>
        <v/>
      </c>
    </row>
    <row r="24">
      <c r="B24" s="272" t="inlineStr">
        <is>
          <t>TOTAL INVENTORY  (ties to Form IV / Balance Sheet)</t>
        </is>
      </c>
      <c r="C24" s="273">
        <f>C22+C23</f>
        <v/>
      </c>
      <c r="D24" s="273">
        <f>D22+D23</f>
        <v/>
      </c>
      <c r="E24" s="273">
        <f>E22+E23</f>
        <v/>
      </c>
      <c r="F24" s="273">
        <f>F22+F23</f>
        <v/>
      </c>
      <c r="G24" s="273">
        <f>G22+G23</f>
        <v/>
      </c>
    </row>
    <row r="25">
      <c r="B25" s="266" t="inlineStr">
        <is>
          <t>Inventory turnover (times)</t>
        </is>
      </c>
      <c r="C25" s="304">
        <f>IFERROR(C16/AVERAGE(C14,C17),0)</f>
        <v/>
      </c>
      <c r="D25" s="304">
        <f>IFERROR(D16/AVERAGE(D14,D17),0)</f>
        <v/>
      </c>
      <c r="E25" s="304">
        <f>IFERROR(E16/AVERAGE(E14,E17),0)</f>
        <v/>
      </c>
      <c r="F25" s="304">
        <f>IFERROR(F16/AVERAGE(F14,F17),0)</f>
        <v/>
      </c>
      <c r="G25" s="304">
        <f>IFERROR(G16/AVERAGE(G14,G17),0)</f>
        <v/>
      </c>
    </row>
    <row r="26">
      <c r="B26" s="266" t="inlineStr">
        <is>
          <t>Inventory as % of net sales</t>
        </is>
      </c>
      <c r="C26" s="296">
        <f>IFERROR(C24/Form_IV_CA_CL!C8,0)</f>
        <v/>
      </c>
      <c r="D26" s="296">
        <f>IFERROR(D24/Form_IV_CA_CL!D8,0)</f>
        <v/>
      </c>
      <c r="E26" s="296">
        <f>IFERROR(E24/Form_IV_CA_CL!E8,0)</f>
        <v/>
      </c>
      <c r="F26" s="296">
        <f>IFERROR(F24/Form_IV_CA_CL!F8,0)</f>
        <v/>
      </c>
      <c r="G26" s="296">
        <f>IFERROR(G24/Form_IV_CA_CL!G8,0)</f>
        <v/>
      </c>
    </row>
    <row r="27">
      <c r="B27" s="266" t="inlineStr">
        <is>
          <t>Inventory holding (days of sales)</t>
        </is>
      </c>
      <c r="C27" s="268">
        <f>IFERROR(C24/Form_IV_CA_CL!C8*365,0)</f>
        <v/>
      </c>
      <c r="D27" s="268">
        <f>IFERROR(D24/Form_IV_CA_CL!D8*365,0)</f>
        <v/>
      </c>
      <c r="E27" s="268">
        <f>IFERROR(E24/Form_IV_CA_CL!E8*365,0)</f>
        <v/>
      </c>
      <c r="F27" s="268">
        <f>IFERROR(F24/Form_IV_CA_CL!F8*365,0)</f>
        <v/>
      </c>
      <c r="G27" s="268">
        <f>IFERROR(G24/Form_IV_CA_CL!G8*365,0)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MAX(0,Form_IV_CA_CL!C14*(1-Assumptions!$C$55)-Form_IV_CA_CL!C18)</f>
        <v/>
      </c>
      <c r="D10" s="143">
        <f>MAX(0,Form_IV_CA_CL!D14*(1-Assumptions!$C$55)-Form_IV_CA_CL!D18)</f>
        <v/>
      </c>
      <c r="E10" s="143">
        <f>MAX(0,Form_IV_CA_CL!E14*(1-Assumptions!$C$55)-Form_IV_CA_CL!E18)</f>
        <v/>
      </c>
      <c r="F10" s="143">
        <f>MAX(0,Form_IV_CA_CL!F14*(1-Assumptions!$C$55)-Form_IV_CA_CL!F18)</f>
        <v/>
      </c>
      <c r="G10" s="143">
        <f>MAX(0,Form_IV_CA_CL!G14*(1-Assumptions!$C$55)-Form_IV_CA_CL!G18)</f>
        <v/>
      </c>
    </row>
    <row r="11" ht="15" customHeight="1" s="82">
      <c r="B11" s="137" t="inlineStr">
        <is>
          <t>Recommended MPBF  (Method II)</t>
        </is>
      </c>
      <c r="C11" s="139">
        <f>C10</f>
        <v/>
      </c>
      <c r="D11" s="139">
        <f>D10</f>
        <v/>
      </c>
      <c r="E11" s="139">
        <f>E10</f>
        <v/>
      </c>
      <c r="F11" s="139">
        <f>F10</f>
        <v/>
      </c>
      <c r="G11" s="139">
        <f>G10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5" t="inlineStr">
        <is>
          <t>WORKING CAPITAL &amp; LOAN STRUCTURE  —  MPBF (Tandon) and the borrowing split</t>
        </is>
      </c>
    </row>
    <row r="2">
      <c r="A2" s="306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8">
        <f>Assumptions!$C$73</f>
        <v/>
      </c>
      <c r="D4" s="309" t="n"/>
    </row>
    <row r="5">
      <c r="B5" s="266" t="inlineStr">
        <is>
          <t>Interest rate (% p.a.)</t>
        </is>
      </c>
      <c r="C5" s="310">
        <f>Assumptions!$C$74</f>
        <v/>
      </c>
      <c r="D5" s="309" t="n"/>
    </row>
    <row r="6">
      <c r="B6" s="266" t="inlineStr">
        <is>
          <t>Remaining tenure (months) / annual principal</t>
        </is>
      </c>
      <c r="C6" s="308">
        <f>Assumptions!$C$75</f>
        <v/>
      </c>
      <c r="D6" s="308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IF(AVERAGE(DSCR!C14:G14)&gt;=1.5,"STRONG — comfortably serviceable (avg DSCR &gt;= 1.50)",IF(AVERAGE(DSCR!C14:G14)&gt;=1.2,"BANKABLE — meets the 1.20 minimum DSCR","BELOW NORM — average DSCR under the 1.20 bank floor"))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2026-08-04T09:15:39Z</dcterms:modified>
  <cp:revision>1</cp:revision>
</cp:coreProperties>
</file>