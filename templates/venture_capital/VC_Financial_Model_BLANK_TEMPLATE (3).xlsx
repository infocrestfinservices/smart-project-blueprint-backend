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c318cdbf8860bb/ISHA/Financial Model/Blank Template/"/>
    </mc:Choice>
  </mc:AlternateContent>
  <xr:revisionPtr revIDLastSave="0" documentId="8_{4AD63360-0774-4BA9-AFB3-21660A104879}" xr6:coauthVersionLast="47" xr6:coauthVersionMax="47" xr10:uidLastSave="{00000000-0000-0000-0000-000000000000}"/>
  <bookViews>
    <workbookView xWindow="-120" yWindow="-120" windowWidth="20730" windowHeight="11040" tabRatio="500" firstSheet="2" activeTab="2" xr2:uid="{00000000-000D-0000-FFFF-FFFF00000000}"/>
  </bookViews>
  <sheets>
    <sheet name="Cover" sheetId="1" r:id="rId1"/>
    <sheet name="Instructions" sheetId="2" r:id="rId2"/>
    <sheet name="Scenario Manager" sheetId="3" r:id="rId3"/>
    <sheet name="Assumptions" sheetId="4" r:id="rId4"/>
    <sheet name="Monthly Model" sheetId="5" r:id="rId5"/>
    <sheet name="Annual P&amp;L" sheetId="6" r:id="rId6"/>
    <sheet name="Balance Sheet" sheetId="7" r:id="rId7"/>
    <sheet name="Cash Flow" sheetId="8" r:id="rId8"/>
    <sheet name="Working Capital" sheetId="9" r:id="rId9"/>
    <sheet name="Fixed Assets" sheetId="10" r:id="rId10"/>
    <sheet name="Debt Schedule" sheetId="11" r:id="rId11"/>
    <sheet name="Funding" sheetId="12" r:id="rId12"/>
    <sheet name="Cap Table" sheetId="13" r:id="rId13"/>
    <sheet name="DCF Valuation" sheetId="14" r:id="rId14"/>
    <sheet name="Returns &amp; Waterfall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5" l="1"/>
  <c r="E19" i="15"/>
  <c r="D16" i="15"/>
  <c r="G22" i="14"/>
  <c r="F22" i="14"/>
  <c r="E22" i="14"/>
  <c r="D22" i="14"/>
  <c r="C22" i="14"/>
  <c r="C12" i="14"/>
  <c r="C9" i="14"/>
  <c r="C8" i="14"/>
  <c r="C10" i="14" s="1"/>
  <c r="C7" i="14"/>
  <c r="F29" i="13"/>
  <c r="F26" i="13"/>
  <c r="D17" i="15" s="1"/>
  <c r="C28" i="15" s="1"/>
  <c r="E28" i="15" s="1"/>
  <c r="F25" i="13"/>
  <c r="E20" i="13"/>
  <c r="D20" i="13"/>
  <c r="C20" i="13"/>
  <c r="D19" i="13"/>
  <c r="C19" i="13"/>
  <c r="F17" i="13"/>
  <c r="G17" i="13" s="1"/>
  <c r="E17" i="13"/>
  <c r="D17" i="13"/>
  <c r="C17" i="13"/>
  <c r="G16" i="13"/>
  <c r="H16" i="13" s="1"/>
  <c r="C8" i="13"/>
  <c r="F28" i="13" s="1"/>
  <c r="D19" i="15" s="1"/>
  <c r="C26" i="15" s="1"/>
  <c r="E26" i="15" s="1"/>
  <c r="A23" i="12"/>
  <c r="C20" i="12"/>
  <c r="C18" i="12"/>
  <c r="C17" i="12"/>
  <c r="C11" i="12"/>
  <c r="E11" i="11"/>
  <c r="E10" i="11"/>
  <c r="E9" i="11"/>
  <c r="G19" i="8" s="1"/>
  <c r="E8" i="11"/>
  <c r="F7" i="11"/>
  <c r="C8" i="11" s="1"/>
  <c r="E7" i="11"/>
  <c r="E19" i="8" s="1"/>
  <c r="C7" i="11"/>
  <c r="D7" i="11" s="1"/>
  <c r="F6" i="11"/>
  <c r="E6" i="11"/>
  <c r="C6" i="11"/>
  <c r="F5" i="11"/>
  <c r="C5" i="11"/>
  <c r="D5" i="11" s="1"/>
  <c r="B19" i="10"/>
  <c r="E9" i="10"/>
  <c r="C9" i="10"/>
  <c r="C8" i="10"/>
  <c r="E8" i="10" s="1"/>
  <c r="E7" i="10"/>
  <c r="C7" i="10"/>
  <c r="E6" i="10"/>
  <c r="C6" i="10"/>
  <c r="C5" i="10"/>
  <c r="B8" i="9"/>
  <c r="B17" i="7" s="1"/>
  <c r="B7" i="9"/>
  <c r="B6" i="9"/>
  <c r="F19" i="8"/>
  <c r="C19" i="8"/>
  <c r="B18" i="8"/>
  <c r="B17" i="8"/>
  <c r="B21" i="8" s="1"/>
  <c r="G14" i="8"/>
  <c r="F14" i="8"/>
  <c r="E14" i="8"/>
  <c r="D14" i="8"/>
  <c r="C14" i="8"/>
  <c r="B10" i="8"/>
  <c r="B18" i="7"/>
  <c r="E15" i="7"/>
  <c r="D15" i="7"/>
  <c r="C15" i="7"/>
  <c r="B15" i="7"/>
  <c r="B13" i="7"/>
  <c r="G12" i="7"/>
  <c r="F12" i="7"/>
  <c r="E12" i="7"/>
  <c r="D12" i="7"/>
  <c r="C12" i="7"/>
  <c r="B12" i="7"/>
  <c r="B14" i="7" s="1"/>
  <c r="B6" i="7"/>
  <c r="B18" i="6"/>
  <c r="B11" i="6"/>
  <c r="B8" i="6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BC8" i="5"/>
  <c r="BC10" i="5" s="1"/>
  <c r="BC15" i="5" s="1"/>
  <c r="AQ8" i="5"/>
  <c r="AQ10" i="5" s="1"/>
  <c r="AQ15" i="5" s="1"/>
  <c r="AE8" i="5"/>
  <c r="AE10" i="5" s="1"/>
  <c r="AE15" i="5" s="1"/>
  <c r="S8" i="5"/>
  <c r="S10" i="5" s="1"/>
  <c r="S15" i="5" s="1"/>
  <c r="G8" i="5"/>
  <c r="G10" i="5" s="1"/>
  <c r="G15" i="5" s="1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C20" i="4"/>
  <c r="C13" i="4"/>
  <c r="C12" i="4"/>
  <c r="BA8" i="5" s="1"/>
  <c r="G12" i="3"/>
  <c r="C5" i="15" s="1"/>
  <c r="G11" i="3"/>
  <c r="C21" i="4" s="1"/>
  <c r="G10" i="3"/>
  <c r="G9" i="3"/>
  <c r="C17" i="4" s="1"/>
  <c r="G8" i="3"/>
  <c r="G7" i="3"/>
  <c r="E4" i="3"/>
  <c r="B15" i="1"/>
  <c r="B9" i="1"/>
  <c r="B6" i="1"/>
  <c r="BF17" i="5" l="1"/>
  <c r="AT17" i="5"/>
  <c r="AH17" i="5"/>
  <c r="V17" i="5"/>
  <c r="J17" i="5"/>
  <c r="BF16" i="5"/>
  <c r="AT16" i="5"/>
  <c r="AH16" i="5"/>
  <c r="V16" i="5"/>
  <c r="J16" i="5"/>
  <c r="BE17" i="5"/>
  <c r="AS17" i="5"/>
  <c r="AG17" i="5"/>
  <c r="U17" i="5"/>
  <c r="I17" i="5"/>
  <c r="BE16" i="5"/>
  <c r="AS16" i="5"/>
  <c r="AG16" i="5"/>
  <c r="U16" i="5"/>
  <c r="I16" i="5"/>
  <c r="BD17" i="5"/>
  <c r="AR17" i="5"/>
  <c r="AF17" i="5"/>
  <c r="T17" i="5"/>
  <c r="H17" i="5"/>
  <c r="BD16" i="5"/>
  <c r="AR16" i="5"/>
  <c r="AF16" i="5"/>
  <c r="T16" i="5"/>
  <c r="H16" i="5"/>
  <c r="BC17" i="5"/>
  <c r="BC19" i="5" s="1"/>
  <c r="BC24" i="5" s="1"/>
  <c r="AQ17" i="5"/>
  <c r="AQ19" i="5" s="1"/>
  <c r="AQ24" i="5" s="1"/>
  <c r="AE17" i="5"/>
  <c r="AE19" i="5" s="1"/>
  <c r="AE24" i="5" s="1"/>
  <c r="S17" i="5"/>
  <c r="G17" i="5"/>
  <c r="BC16" i="5"/>
  <c r="AQ16" i="5"/>
  <c r="AE16" i="5"/>
  <c r="S16" i="5"/>
  <c r="G16" i="5"/>
  <c r="BB17" i="5"/>
  <c r="AP17" i="5"/>
  <c r="AD17" i="5"/>
  <c r="R17" i="5"/>
  <c r="F17" i="5"/>
  <c r="BB16" i="5"/>
  <c r="AP16" i="5"/>
  <c r="AD16" i="5"/>
  <c r="R16" i="5"/>
  <c r="F16" i="5"/>
  <c r="BA17" i="5"/>
  <c r="AO17" i="5"/>
  <c r="AC17" i="5"/>
  <c r="Q17" i="5"/>
  <c r="E17" i="5"/>
  <c r="BA16" i="5"/>
  <c r="AO16" i="5"/>
  <c r="AZ17" i="5"/>
  <c r="AN17" i="5"/>
  <c r="AB17" i="5"/>
  <c r="P17" i="5"/>
  <c r="D17" i="5"/>
  <c r="AZ16" i="5"/>
  <c r="AY17" i="5"/>
  <c r="AM17" i="5"/>
  <c r="AA17" i="5"/>
  <c r="AX17" i="5"/>
  <c r="O17" i="5"/>
  <c r="AW16" i="5"/>
  <c r="Z16" i="5"/>
  <c r="D16" i="5"/>
  <c r="AW17" i="5"/>
  <c r="N17" i="5"/>
  <c r="AV16" i="5"/>
  <c r="Y16" i="5"/>
  <c r="C16" i="5"/>
  <c r="AV17" i="5"/>
  <c r="M17" i="5"/>
  <c r="AU16" i="5"/>
  <c r="X16" i="5"/>
  <c r="B16" i="5"/>
  <c r="AU17" i="5"/>
  <c r="L17" i="5"/>
  <c r="AN16" i="5"/>
  <c r="W16" i="5"/>
  <c r="BH17" i="5"/>
  <c r="AL17" i="5"/>
  <c r="K17" i="5"/>
  <c r="AM16" i="5"/>
  <c r="Q16" i="5"/>
  <c r="X17" i="5"/>
  <c r="AK17" i="5"/>
  <c r="C17" i="5"/>
  <c r="AL16" i="5"/>
  <c r="P16" i="5"/>
  <c r="AJ17" i="5"/>
  <c r="B17" i="5"/>
  <c r="AK16" i="5"/>
  <c r="O16" i="5"/>
  <c r="AY16" i="5"/>
  <c r="AI17" i="5"/>
  <c r="BI16" i="5"/>
  <c r="AJ16" i="5"/>
  <c r="N16" i="5"/>
  <c r="Z17" i="5"/>
  <c r="BH16" i="5"/>
  <c r="AI16" i="5"/>
  <c r="M16" i="5"/>
  <c r="AB16" i="5"/>
  <c r="BI17" i="5"/>
  <c r="Y17" i="5"/>
  <c r="BG16" i="5"/>
  <c r="AC16" i="5"/>
  <c r="L16" i="5"/>
  <c r="K16" i="5"/>
  <c r="BG17" i="5"/>
  <c r="W17" i="5"/>
  <c r="AX16" i="5"/>
  <c r="AA16" i="5"/>
  <c r="E16" i="5"/>
  <c r="BA9" i="5"/>
  <c r="BA10" i="5"/>
  <c r="BA15" i="5" s="1"/>
  <c r="BA19" i="5" s="1"/>
  <c r="BA24" i="5" s="1"/>
  <c r="G19" i="5"/>
  <c r="G24" i="5" s="1"/>
  <c r="S19" i="5"/>
  <c r="S24" i="5" s="1"/>
  <c r="AQ37" i="5"/>
  <c r="AQ33" i="5"/>
  <c r="AQ34" i="5"/>
  <c r="AQ27" i="5"/>
  <c r="S9" i="5"/>
  <c r="AE9" i="5"/>
  <c r="AQ9" i="5"/>
  <c r="F44" i="5"/>
  <c r="F37" i="5"/>
  <c r="F34" i="5"/>
  <c r="F33" i="5"/>
  <c r="F27" i="5"/>
  <c r="R37" i="5"/>
  <c r="R34" i="5"/>
  <c r="R33" i="5"/>
  <c r="R27" i="5"/>
  <c r="AD44" i="5"/>
  <c r="AD37" i="5"/>
  <c r="AD34" i="5"/>
  <c r="AD33" i="5"/>
  <c r="AD27" i="5"/>
  <c r="AP37" i="5"/>
  <c r="AP34" i="5"/>
  <c r="AP33" i="5"/>
  <c r="AP27" i="5"/>
  <c r="BB34" i="5"/>
  <c r="BB33" i="5"/>
  <c r="BB37" i="5"/>
  <c r="BB27" i="5"/>
  <c r="F8" i="5"/>
  <c r="R8" i="5"/>
  <c r="AD8" i="5"/>
  <c r="AP8" i="5"/>
  <c r="BB8" i="5"/>
  <c r="BC9" i="5"/>
  <c r="H44" i="5"/>
  <c r="H37" i="5"/>
  <c r="H34" i="5"/>
  <c r="H33" i="5"/>
  <c r="H27" i="5"/>
  <c r="T37" i="5"/>
  <c r="T34" i="5"/>
  <c r="T33" i="5"/>
  <c r="T27" i="5"/>
  <c r="AF44" i="5"/>
  <c r="AF37" i="5"/>
  <c r="AF34" i="5"/>
  <c r="AF33" i="5"/>
  <c r="AF27" i="5"/>
  <c r="AR37" i="5"/>
  <c r="AR34" i="5"/>
  <c r="AR33" i="5"/>
  <c r="AR27" i="5"/>
  <c r="BD34" i="5"/>
  <c r="BD33" i="5"/>
  <c r="BD27" i="5"/>
  <c r="BD37" i="5"/>
  <c r="H8" i="5"/>
  <c r="T8" i="5"/>
  <c r="AF8" i="5"/>
  <c r="AR8" i="5"/>
  <c r="BD8" i="5"/>
  <c r="G9" i="5"/>
  <c r="I44" i="5"/>
  <c r="I37" i="5"/>
  <c r="I34" i="5"/>
  <c r="I33" i="5"/>
  <c r="I27" i="5"/>
  <c r="U37" i="5"/>
  <c r="U34" i="5"/>
  <c r="U33" i="5"/>
  <c r="U27" i="5"/>
  <c r="AG44" i="5"/>
  <c r="AG37" i="5"/>
  <c r="AG34" i="5"/>
  <c r="AG33" i="5"/>
  <c r="AG27" i="5"/>
  <c r="AS37" i="5"/>
  <c r="AS34" i="5"/>
  <c r="AS33" i="5"/>
  <c r="AS27" i="5"/>
  <c r="BE37" i="5"/>
  <c r="BE34" i="5"/>
  <c r="BE33" i="5"/>
  <c r="BE27" i="5"/>
  <c r="I8" i="5"/>
  <c r="U8" i="5"/>
  <c r="AG8" i="5"/>
  <c r="AS8" i="5"/>
  <c r="BE8" i="5"/>
  <c r="J37" i="5"/>
  <c r="J34" i="5"/>
  <c r="J33" i="5"/>
  <c r="J27" i="5"/>
  <c r="J44" i="5"/>
  <c r="V37" i="5"/>
  <c r="V34" i="5"/>
  <c r="V33" i="5"/>
  <c r="V27" i="5"/>
  <c r="AH44" i="5"/>
  <c r="AH37" i="5"/>
  <c r="AH34" i="5"/>
  <c r="AH33" i="5"/>
  <c r="AH27" i="5"/>
  <c r="AT44" i="5"/>
  <c r="AT34" i="5"/>
  <c r="AT33" i="5"/>
  <c r="AT27" i="5"/>
  <c r="AT37" i="5"/>
  <c r="BF37" i="5"/>
  <c r="BF34" i="5"/>
  <c r="BF33" i="5"/>
  <c r="BF27" i="5"/>
  <c r="J8" i="5"/>
  <c r="V8" i="5"/>
  <c r="AH8" i="5"/>
  <c r="AT8" i="5"/>
  <c r="BF8" i="5"/>
  <c r="S37" i="5"/>
  <c r="S27" i="5"/>
  <c r="S33" i="5"/>
  <c r="S34" i="5"/>
  <c r="K44" i="5"/>
  <c r="K37" i="5"/>
  <c r="K33" i="5"/>
  <c r="K27" i="5"/>
  <c r="K34" i="5"/>
  <c r="W37" i="5"/>
  <c r="W27" i="5"/>
  <c r="W33" i="5"/>
  <c r="W34" i="5"/>
  <c r="AI44" i="5"/>
  <c r="AI37" i="5"/>
  <c r="AI34" i="5"/>
  <c r="AI27" i="5"/>
  <c r="AI33" i="5"/>
  <c r="AU37" i="5"/>
  <c r="AU33" i="5"/>
  <c r="AU34" i="5"/>
  <c r="AU27" i="5"/>
  <c r="BG37" i="5"/>
  <c r="BG27" i="5"/>
  <c r="BG33" i="5"/>
  <c r="BG34" i="5"/>
  <c r="K8" i="5"/>
  <c r="W8" i="5"/>
  <c r="AI8" i="5"/>
  <c r="AU8" i="5"/>
  <c r="BG8" i="5"/>
  <c r="L44" i="5"/>
  <c r="L37" i="5"/>
  <c r="L33" i="5"/>
  <c r="L27" i="5"/>
  <c r="L34" i="5"/>
  <c r="X37" i="5"/>
  <c r="X27" i="5"/>
  <c r="X33" i="5"/>
  <c r="X34" i="5"/>
  <c r="AJ44" i="5"/>
  <c r="AJ37" i="5"/>
  <c r="AJ27" i="5"/>
  <c r="AJ33" i="5"/>
  <c r="AJ34" i="5"/>
  <c r="AV37" i="5"/>
  <c r="AV33" i="5"/>
  <c r="AV34" i="5"/>
  <c r="AV27" i="5"/>
  <c r="BH37" i="5"/>
  <c r="BH27" i="5"/>
  <c r="BH33" i="5"/>
  <c r="BH34" i="5"/>
  <c r="L8" i="5"/>
  <c r="X8" i="5"/>
  <c r="AJ8" i="5"/>
  <c r="AV8" i="5"/>
  <c r="BH8" i="5"/>
  <c r="M44" i="5"/>
  <c r="M37" i="5"/>
  <c r="M34" i="5"/>
  <c r="M33" i="5"/>
  <c r="M27" i="5"/>
  <c r="Y27" i="5"/>
  <c r="Y33" i="5"/>
  <c r="Y34" i="5"/>
  <c r="Y37" i="5"/>
  <c r="AK44" i="5"/>
  <c r="AK27" i="5"/>
  <c r="AK37" i="5"/>
  <c r="AK33" i="5"/>
  <c r="AK34" i="5"/>
  <c r="AW37" i="5"/>
  <c r="AW33" i="5"/>
  <c r="AW34" i="5"/>
  <c r="AW27" i="5"/>
  <c r="BI37" i="5"/>
  <c r="BI33" i="5"/>
  <c r="BI34" i="5"/>
  <c r="BI27" i="5"/>
  <c r="M8" i="5"/>
  <c r="Y8" i="5"/>
  <c r="AK8" i="5"/>
  <c r="AW8" i="5"/>
  <c r="BI8" i="5"/>
  <c r="AE44" i="5"/>
  <c r="AE37" i="5"/>
  <c r="AE33" i="5"/>
  <c r="AE34" i="5"/>
  <c r="AE27" i="5"/>
  <c r="B44" i="5"/>
  <c r="B37" i="5"/>
  <c r="B34" i="5"/>
  <c r="B33" i="5"/>
  <c r="B27" i="5"/>
  <c r="N33" i="5"/>
  <c r="N27" i="5"/>
  <c r="N37" i="5"/>
  <c r="N34" i="5"/>
  <c r="Z44" i="5"/>
  <c r="Z27" i="5"/>
  <c r="Z33" i="5"/>
  <c r="Z34" i="5"/>
  <c r="Z37" i="5"/>
  <c r="AL27" i="5"/>
  <c r="AL37" i="5"/>
  <c r="AL33" i="5"/>
  <c r="AL34" i="5"/>
  <c r="AX37" i="5"/>
  <c r="AX33" i="5"/>
  <c r="AX34" i="5"/>
  <c r="AX27" i="5"/>
  <c r="B8" i="5"/>
  <c r="N8" i="5"/>
  <c r="Z8" i="5"/>
  <c r="AL8" i="5"/>
  <c r="AX8" i="5"/>
  <c r="G44" i="5"/>
  <c r="G37" i="5"/>
  <c r="G33" i="5"/>
  <c r="G27" i="5"/>
  <c r="G34" i="5"/>
  <c r="C44" i="5"/>
  <c r="C37" i="5"/>
  <c r="C34" i="5"/>
  <c r="C33" i="5"/>
  <c r="C27" i="5"/>
  <c r="O37" i="5"/>
  <c r="O34" i="5"/>
  <c r="O33" i="5"/>
  <c r="O27" i="5"/>
  <c r="AA37" i="5"/>
  <c r="AA34" i="5"/>
  <c r="AA33" i="5"/>
  <c r="AA44" i="5"/>
  <c r="AA27" i="5"/>
  <c r="AM44" i="5"/>
  <c r="AM37" i="5"/>
  <c r="AM34" i="5"/>
  <c r="AM33" i="5"/>
  <c r="AM27" i="5"/>
  <c r="AY37" i="5"/>
  <c r="AY34" i="5"/>
  <c r="AY33" i="5"/>
  <c r="AY27" i="5"/>
  <c r="C8" i="5"/>
  <c r="O8" i="5"/>
  <c r="AA8" i="5"/>
  <c r="AM8" i="5"/>
  <c r="AY8" i="5"/>
  <c r="D44" i="5"/>
  <c r="D37" i="5"/>
  <c r="D34" i="5"/>
  <c r="D33" i="5"/>
  <c r="D27" i="5"/>
  <c r="P27" i="5"/>
  <c r="P33" i="5"/>
  <c r="P37" i="5"/>
  <c r="P34" i="5"/>
  <c r="AB44" i="5"/>
  <c r="AB33" i="5"/>
  <c r="AB34" i="5"/>
  <c r="AB37" i="5"/>
  <c r="AB27" i="5"/>
  <c r="AN37" i="5"/>
  <c r="AN27" i="5"/>
  <c r="AN33" i="5"/>
  <c r="AN34" i="5"/>
  <c r="AZ37" i="5"/>
  <c r="AZ33" i="5"/>
  <c r="AZ34" i="5"/>
  <c r="AZ27" i="5"/>
  <c r="D8" i="5"/>
  <c r="P8" i="5"/>
  <c r="AB8" i="5"/>
  <c r="AN8" i="5"/>
  <c r="AZ8" i="5"/>
  <c r="BC37" i="5"/>
  <c r="BC27" i="5"/>
  <c r="BC33" i="5"/>
  <c r="BC34" i="5"/>
  <c r="E44" i="5"/>
  <c r="E37" i="5"/>
  <c r="E34" i="5"/>
  <c r="E33" i="5"/>
  <c r="E27" i="5"/>
  <c r="Q37" i="5"/>
  <c r="Q27" i="5"/>
  <c r="Q33" i="5"/>
  <c r="Q34" i="5"/>
  <c r="AC44" i="5"/>
  <c r="AC37" i="5"/>
  <c r="AC33" i="5"/>
  <c r="AC34" i="5"/>
  <c r="AC27" i="5"/>
  <c r="AO37" i="5"/>
  <c r="AO27" i="5"/>
  <c r="AO33" i="5"/>
  <c r="AO34" i="5"/>
  <c r="BA34" i="5"/>
  <c r="BA37" i="5"/>
  <c r="BA27" i="5"/>
  <c r="BA33" i="5"/>
  <c r="E8" i="5"/>
  <c r="Q8" i="5"/>
  <c r="AC8" i="5"/>
  <c r="AO8" i="5"/>
  <c r="F8" i="11"/>
  <c r="D8" i="11"/>
  <c r="AW44" i="5" s="1"/>
  <c r="C26" i="13"/>
  <c r="H17" i="13"/>
  <c r="C27" i="15"/>
  <c r="E27" i="15" s="1"/>
  <c r="E20" i="15"/>
  <c r="B7" i="7"/>
  <c r="B9" i="9"/>
  <c r="B11" i="9" s="1"/>
  <c r="B12" i="9" s="1"/>
  <c r="B13" i="9" s="1"/>
  <c r="D6" i="11"/>
  <c r="X44" i="5" s="1"/>
  <c r="D19" i="8"/>
  <c r="F30" i="13"/>
  <c r="C13" i="14"/>
  <c r="C10" i="10"/>
  <c r="E5" i="10"/>
  <c r="E10" i="10" s="1"/>
  <c r="C11" i="10" s="1"/>
  <c r="B13" i="8"/>
  <c r="B14" i="8" s="1"/>
  <c r="B22" i="8" s="1"/>
  <c r="B24" i="8" s="1"/>
  <c r="B16" i="10"/>
  <c r="B17" i="10" s="1"/>
  <c r="E19" i="13"/>
  <c r="C25" i="13"/>
  <c r="C35" i="14" l="1"/>
  <c r="C23" i="8"/>
  <c r="B8" i="7"/>
  <c r="V10" i="5"/>
  <c r="V15" i="5" s="1"/>
  <c r="V19" i="5" s="1"/>
  <c r="V24" i="5" s="1"/>
  <c r="V9" i="5"/>
  <c r="H10" i="5"/>
  <c r="H15" i="5" s="1"/>
  <c r="H19" i="5" s="1"/>
  <c r="H24" i="5" s="1"/>
  <c r="H9" i="5"/>
  <c r="AB9" i="5"/>
  <c r="AB10" i="5"/>
  <c r="AB15" i="5" s="1"/>
  <c r="AB19" i="5" s="1"/>
  <c r="AB24" i="5" s="1"/>
  <c r="O9" i="5"/>
  <c r="O10" i="5"/>
  <c r="O15" i="5" s="1"/>
  <c r="O19" i="5" s="1"/>
  <c r="O24" i="5" s="1"/>
  <c r="O44" i="5"/>
  <c r="AH10" i="5"/>
  <c r="AH15" i="5" s="1"/>
  <c r="AH19" i="5" s="1"/>
  <c r="AH24" i="5" s="1"/>
  <c r="AH9" i="5"/>
  <c r="U10" i="5"/>
  <c r="U15" i="5" s="1"/>
  <c r="U19" i="5" s="1"/>
  <c r="U24" i="5" s="1"/>
  <c r="U9" i="5"/>
  <c r="AS44" i="5"/>
  <c r="U44" i="5"/>
  <c r="T10" i="5"/>
  <c r="T15" i="5" s="1"/>
  <c r="T19" i="5" s="1"/>
  <c r="T24" i="5" s="1"/>
  <c r="T9" i="5"/>
  <c r="AR44" i="5"/>
  <c r="T44" i="5"/>
  <c r="R10" i="5"/>
  <c r="R15" i="5" s="1"/>
  <c r="R19" i="5" s="1"/>
  <c r="R24" i="5" s="1"/>
  <c r="R9" i="5"/>
  <c r="P9" i="5"/>
  <c r="P10" i="5"/>
  <c r="P15" i="5" s="1"/>
  <c r="P19" i="5" s="1"/>
  <c r="P24" i="5" s="1"/>
  <c r="V44" i="5"/>
  <c r="D9" i="5"/>
  <c r="D10" i="5"/>
  <c r="D15" i="5" s="1"/>
  <c r="D19" i="5" s="1"/>
  <c r="D24" i="5" s="1"/>
  <c r="AN44" i="5"/>
  <c r="AX10" i="5"/>
  <c r="AX15" i="5" s="1"/>
  <c r="AX19" i="5" s="1"/>
  <c r="AX24" i="5" s="1"/>
  <c r="AX9" i="5"/>
  <c r="J10" i="5"/>
  <c r="J15" i="5" s="1"/>
  <c r="J19" i="5" s="1"/>
  <c r="J24" i="5" s="1"/>
  <c r="J9" i="5"/>
  <c r="AQ44" i="5"/>
  <c r="C37" i="14"/>
  <c r="D9" i="1"/>
  <c r="AL10" i="5"/>
  <c r="AL15" i="5" s="1"/>
  <c r="AL19" i="5" s="1"/>
  <c r="AL24" i="5" s="1"/>
  <c r="AL9" i="5"/>
  <c r="C9" i="11"/>
  <c r="F15" i="7"/>
  <c r="Z9" i="5"/>
  <c r="Z10" i="5"/>
  <c r="Z15" i="5" s="1"/>
  <c r="Z19" i="5" s="1"/>
  <c r="Z24" i="5" s="1"/>
  <c r="C9" i="5"/>
  <c r="C10" i="5"/>
  <c r="C15" i="5" s="1"/>
  <c r="C19" i="5" s="1"/>
  <c r="C24" i="5" s="1"/>
  <c r="B20" i="10"/>
  <c r="B5" i="7" s="1"/>
  <c r="B9" i="7" s="1"/>
  <c r="B19" i="7" s="1"/>
  <c r="C15" i="10"/>
  <c r="C17" i="10" s="1"/>
  <c r="N9" i="5"/>
  <c r="N10" i="5"/>
  <c r="N15" i="5" s="1"/>
  <c r="N19" i="5" s="1"/>
  <c r="N24" i="5" s="1"/>
  <c r="N44" i="5"/>
  <c r="BG10" i="5"/>
  <c r="BG15" i="5" s="1"/>
  <c r="BG19" i="5" s="1"/>
  <c r="BG24" i="5" s="1"/>
  <c r="BG9" i="5"/>
  <c r="I10" i="5"/>
  <c r="I15" i="5" s="1"/>
  <c r="I19" i="5" s="1"/>
  <c r="I24" i="5" s="1"/>
  <c r="I9" i="5"/>
  <c r="F10" i="5"/>
  <c r="F15" i="5" s="1"/>
  <c r="F19" i="5" s="1"/>
  <c r="F24" i="5" s="1"/>
  <c r="F9" i="5"/>
  <c r="R44" i="5"/>
  <c r="AO9" i="5"/>
  <c r="AO10" i="5"/>
  <c r="AO15" i="5" s="1"/>
  <c r="AO19" i="5" s="1"/>
  <c r="AO24" i="5" s="1"/>
  <c r="B9" i="5"/>
  <c r="B10" i="5"/>
  <c r="B15" i="5" s="1"/>
  <c r="B19" i="5" s="1"/>
  <c r="B24" i="5" s="1"/>
  <c r="AL44" i="5"/>
  <c r="BH10" i="5"/>
  <c r="BH15" i="5" s="1"/>
  <c r="BH19" i="5" s="1"/>
  <c r="BH24" i="5" s="1"/>
  <c r="BH9" i="5"/>
  <c r="AU10" i="5"/>
  <c r="AU15" i="5" s="1"/>
  <c r="AU19" i="5" s="1"/>
  <c r="AU24" i="5" s="1"/>
  <c r="AU9" i="5"/>
  <c r="BA42" i="5"/>
  <c r="AO42" i="5"/>
  <c r="AC42" i="5"/>
  <c r="Q42" i="5"/>
  <c r="E42" i="5"/>
  <c r="AZ42" i="5"/>
  <c r="AY42" i="5"/>
  <c r="AM42" i="5"/>
  <c r="AA42" i="5"/>
  <c r="O42" i="5"/>
  <c r="C42" i="5"/>
  <c r="AX42" i="5"/>
  <c r="AL42" i="5"/>
  <c r="Z42" i="5"/>
  <c r="N42" i="5"/>
  <c r="B42" i="5"/>
  <c r="BI42" i="5"/>
  <c r="AW42" i="5"/>
  <c r="AK42" i="5"/>
  <c r="Y42" i="5"/>
  <c r="M42" i="5"/>
  <c r="BH42" i="5"/>
  <c r="AV42" i="5"/>
  <c r="AJ42" i="5"/>
  <c r="X42" i="5"/>
  <c r="L42" i="5"/>
  <c r="BG42" i="5"/>
  <c r="AU42" i="5"/>
  <c r="AI42" i="5"/>
  <c r="W42" i="5"/>
  <c r="K42" i="5"/>
  <c r="BF42" i="5"/>
  <c r="AT42" i="5"/>
  <c r="AH42" i="5"/>
  <c r="V42" i="5"/>
  <c r="J42" i="5"/>
  <c r="BE42" i="5"/>
  <c r="AS42" i="5"/>
  <c r="AG42" i="5"/>
  <c r="U42" i="5"/>
  <c r="I42" i="5"/>
  <c r="AP42" i="5"/>
  <c r="F42" i="5"/>
  <c r="AN42" i="5"/>
  <c r="D42" i="5"/>
  <c r="AF42" i="5"/>
  <c r="AE42" i="5"/>
  <c r="AD42" i="5"/>
  <c r="AB42" i="5"/>
  <c r="T42" i="5"/>
  <c r="BD42" i="5"/>
  <c r="S42" i="5"/>
  <c r="BB42" i="5"/>
  <c r="P42" i="5"/>
  <c r="AR42" i="5"/>
  <c r="H42" i="5"/>
  <c r="AQ42" i="5"/>
  <c r="G42" i="5"/>
  <c r="BC42" i="5"/>
  <c r="R42" i="5"/>
  <c r="AC9" i="5"/>
  <c r="AC10" i="5"/>
  <c r="AC15" i="5" s="1"/>
  <c r="AC19" i="5" s="1"/>
  <c r="AC24" i="5" s="1"/>
  <c r="AO44" i="5"/>
  <c r="BI10" i="5"/>
  <c r="BI15" i="5" s="1"/>
  <c r="BI19" i="5" s="1"/>
  <c r="BI24" i="5" s="1"/>
  <c r="BI9" i="5"/>
  <c r="AV10" i="5"/>
  <c r="AV15" i="5" s="1"/>
  <c r="AV19" i="5" s="1"/>
  <c r="AV24" i="5" s="1"/>
  <c r="AV9" i="5"/>
  <c r="AI10" i="5"/>
  <c r="AI15" i="5" s="1"/>
  <c r="AI19" i="5" s="1"/>
  <c r="AI24" i="5" s="1"/>
  <c r="AI9" i="5"/>
  <c r="P44" i="5"/>
  <c r="Q9" i="5"/>
  <c r="Q10" i="5"/>
  <c r="Q15" i="5" s="1"/>
  <c r="Q19" i="5" s="1"/>
  <c r="Q24" i="5" s="1"/>
  <c r="AW10" i="5"/>
  <c r="AW15" i="5" s="1"/>
  <c r="AW19" i="5" s="1"/>
  <c r="AW24" i="5" s="1"/>
  <c r="AW9" i="5"/>
  <c r="AJ10" i="5"/>
  <c r="AJ15" i="5" s="1"/>
  <c r="AJ19" i="5" s="1"/>
  <c r="AJ24" i="5" s="1"/>
  <c r="AJ9" i="5"/>
  <c r="W10" i="5"/>
  <c r="W15" i="5" s="1"/>
  <c r="W19" i="5" s="1"/>
  <c r="W24" i="5" s="1"/>
  <c r="W9" i="5"/>
  <c r="AU44" i="5"/>
  <c r="W44" i="5"/>
  <c r="G26" i="5"/>
  <c r="G14" i="5"/>
  <c r="G18" i="5" s="1"/>
  <c r="G11" i="5"/>
  <c r="BC14" i="5"/>
  <c r="BC18" i="5" s="1"/>
  <c r="BC26" i="5"/>
  <c r="BC11" i="5"/>
  <c r="AP44" i="5"/>
  <c r="AQ26" i="5"/>
  <c r="AQ14" i="5"/>
  <c r="AQ18" i="5" s="1"/>
  <c r="AQ11" i="5"/>
  <c r="BA26" i="5"/>
  <c r="BA14" i="5"/>
  <c r="BA18" i="5" s="1"/>
  <c r="BA11" i="5"/>
  <c r="E25" i="14"/>
  <c r="D25" i="14"/>
  <c r="C25" i="14"/>
  <c r="F25" i="14"/>
  <c r="G25" i="14"/>
  <c r="F12" i="1"/>
  <c r="E9" i="5"/>
  <c r="E10" i="5"/>
  <c r="E15" i="5" s="1"/>
  <c r="E19" i="5" s="1"/>
  <c r="E24" i="5" s="1"/>
  <c r="Q44" i="5"/>
  <c r="AY10" i="5"/>
  <c r="AY15" i="5" s="1"/>
  <c r="AY19" i="5" s="1"/>
  <c r="AY24" i="5" s="1"/>
  <c r="AY9" i="5"/>
  <c r="AK10" i="5"/>
  <c r="AK15" i="5" s="1"/>
  <c r="AK19" i="5" s="1"/>
  <c r="AK24" i="5" s="1"/>
  <c r="AK9" i="5"/>
  <c r="X10" i="5"/>
  <c r="X15" i="5" s="1"/>
  <c r="X19" i="5" s="1"/>
  <c r="X24" i="5" s="1"/>
  <c r="X9" i="5"/>
  <c r="AV44" i="5"/>
  <c r="K9" i="5"/>
  <c r="K10" i="5"/>
  <c r="K15" i="5" s="1"/>
  <c r="K19" i="5" s="1"/>
  <c r="K24" i="5" s="1"/>
  <c r="S44" i="5"/>
  <c r="BE10" i="5"/>
  <c r="BE15" i="5" s="1"/>
  <c r="BE19" i="5" s="1"/>
  <c r="BE24" i="5" s="1"/>
  <c r="BE9" i="5"/>
  <c r="BD10" i="5"/>
  <c r="BD15" i="5" s="1"/>
  <c r="BD19" i="5" s="1"/>
  <c r="BD24" i="5" s="1"/>
  <c r="BD9" i="5"/>
  <c r="BB9" i="5"/>
  <c r="BB10" i="5"/>
  <c r="BB15" i="5" s="1"/>
  <c r="BB19" i="5" s="1"/>
  <c r="BB24" i="5" s="1"/>
  <c r="AE26" i="5"/>
  <c r="AE14" i="5"/>
  <c r="AE18" i="5" s="1"/>
  <c r="AE11" i="5"/>
  <c r="H18" i="13"/>
  <c r="G18" i="13"/>
  <c r="AZ10" i="5"/>
  <c r="AZ15" i="5" s="1"/>
  <c r="AZ19" i="5" s="1"/>
  <c r="AZ24" i="5" s="1"/>
  <c r="AZ9" i="5"/>
  <c r="AM9" i="5"/>
  <c r="AM10" i="5"/>
  <c r="AM15" i="5" s="1"/>
  <c r="AM19" i="5" s="1"/>
  <c r="AM24" i="5" s="1"/>
  <c r="Y9" i="5"/>
  <c r="Y10" i="5"/>
  <c r="Y15" i="5" s="1"/>
  <c r="Y19" i="5" s="1"/>
  <c r="Y24" i="5" s="1"/>
  <c r="Y44" i="5"/>
  <c r="L10" i="5"/>
  <c r="L15" i="5" s="1"/>
  <c r="L19" i="5" s="1"/>
  <c r="L24" i="5" s="1"/>
  <c r="L9" i="5"/>
  <c r="BF10" i="5"/>
  <c r="BF15" i="5" s="1"/>
  <c r="BF19" i="5" s="1"/>
  <c r="BF24" i="5" s="1"/>
  <c r="BF9" i="5"/>
  <c r="AS10" i="5"/>
  <c r="AS15" i="5" s="1"/>
  <c r="AS19" i="5" s="1"/>
  <c r="AS24" i="5" s="1"/>
  <c r="AS9" i="5"/>
  <c r="AR10" i="5"/>
  <c r="AR15" i="5" s="1"/>
  <c r="AR19" i="5" s="1"/>
  <c r="AR24" i="5" s="1"/>
  <c r="AR9" i="5"/>
  <c r="AP10" i="5"/>
  <c r="AP15" i="5" s="1"/>
  <c r="AP19" i="5" s="1"/>
  <c r="AP24" i="5" s="1"/>
  <c r="AP9" i="5"/>
  <c r="S26" i="5"/>
  <c r="S11" i="5"/>
  <c r="S14" i="5"/>
  <c r="S18" i="5" s="1"/>
  <c r="C16" i="15"/>
  <c r="C17" i="15"/>
  <c r="AN9" i="5"/>
  <c r="AN10" i="5"/>
  <c r="AN15" i="5" s="1"/>
  <c r="AN19" i="5" s="1"/>
  <c r="AN24" i="5" s="1"/>
  <c r="AA9" i="5"/>
  <c r="AA10" i="5"/>
  <c r="AA15" i="5" s="1"/>
  <c r="AA19" i="5" s="1"/>
  <c r="AA24" i="5" s="1"/>
  <c r="M9" i="5"/>
  <c r="M10" i="5"/>
  <c r="M15" i="5" s="1"/>
  <c r="M19" i="5" s="1"/>
  <c r="M24" i="5" s="1"/>
  <c r="AT10" i="5"/>
  <c r="AT15" i="5" s="1"/>
  <c r="AT19" i="5" s="1"/>
  <c r="AT24" i="5" s="1"/>
  <c r="AT9" i="5"/>
  <c r="AG10" i="5"/>
  <c r="AG15" i="5" s="1"/>
  <c r="AG19" i="5" s="1"/>
  <c r="AG24" i="5" s="1"/>
  <c r="AG9" i="5"/>
  <c r="AF10" i="5"/>
  <c r="AF15" i="5" s="1"/>
  <c r="AF19" i="5" s="1"/>
  <c r="AF24" i="5" s="1"/>
  <c r="AF9" i="5"/>
  <c r="AD10" i="5"/>
  <c r="AD15" i="5" s="1"/>
  <c r="AD19" i="5" s="1"/>
  <c r="AD24" i="5" s="1"/>
  <c r="AD9" i="5"/>
  <c r="BE26" i="5" l="1"/>
  <c r="BE14" i="5"/>
  <c r="BE18" i="5" s="1"/>
  <c r="BE11" i="5"/>
  <c r="G23" i="5"/>
  <c r="G20" i="5"/>
  <c r="AO26" i="5"/>
  <c r="AO14" i="5"/>
  <c r="AO18" i="5" s="1"/>
  <c r="AO11" i="5"/>
  <c r="D9" i="11"/>
  <c r="F9" i="11"/>
  <c r="AL26" i="5"/>
  <c r="AL14" i="5"/>
  <c r="AL18" i="5" s="1"/>
  <c r="AL11" i="5"/>
  <c r="R26" i="5"/>
  <c r="R14" i="5"/>
  <c r="R18" i="5" s="1"/>
  <c r="R11" i="5"/>
  <c r="P26" i="5"/>
  <c r="P14" i="5"/>
  <c r="P18" i="5" s="1"/>
  <c r="P11" i="5"/>
  <c r="M26" i="5"/>
  <c r="M14" i="5"/>
  <c r="M18" i="5" s="1"/>
  <c r="M11" i="5"/>
  <c r="AR26" i="5"/>
  <c r="AR14" i="5"/>
  <c r="AR18" i="5" s="1"/>
  <c r="AR11" i="5"/>
  <c r="Y26" i="5"/>
  <c r="Y14" i="5"/>
  <c r="Y18" i="5" s="1"/>
  <c r="Y11" i="5"/>
  <c r="AE20" i="5"/>
  <c r="AE23" i="5"/>
  <c r="AY26" i="5"/>
  <c r="AY11" i="5"/>
  <c r="AY14" i="5"/>
  <c r="AY18" i="5" s="1"/>
  <c r="C26" i="5"/>
  <c r="C14" i="5"/>
  <c r="C18" i="5" s="1"/>
  <c r="C11" i="5"/>
  <c r="H26" i="5"/>
  <c r="H14" i="5"/>
  <c r="H18" i="5" s="1"/>
  <c r="H11" i="5"/>
  <c r="BI26" i="5"/>
  <c r="BI11" i="5"/>
  <c r="BI14" i="5"/>
  <c r="BI18" i="5" s="1"/>
  <c r="AD26" i="5"/>
  <c r="AD14" i="5"/>
  <c r="AD18" i="5" s="1"/>
  <c r="AD11" i="5"/>
  <c r="BA20" i="5"/>
  <c r="BA23" i="5"/>
  <c r="C12" i="6"/>
  <c r="AU26" i="5"/>
  <c r="AU14" i="5"/>
  <c r="AU18" i="5" s="1"/>
  <c r="AU11" i="5"/>
  <c r="F26" i="5"/>
  <c r="F11" i="5"/>
  <c r="F14" i="5"/>
  <c r="F18" i="5" s="1"/>
  <c r="AS26" i="5"/>
  <c r="AS14" i="5"/>
  <c r="AS18" i="5" s="1"/>
  <c r="AS11" i="5"/>
  <c r="Q26" i="5"/>
  <c r="Q14" i="5"/>
  <c r="Q18" i="5" s="1"/>
  <c r="Q11" i="5"/>
  <c r="D12" i="6"/>
  <c r="AX26" i="5"/>
  <c r="AX11" i="5"/>
  <c r="AX14" i="5"/>
  <c r="AX18" i="5" s="1"/>
  <c r="V26" i="5"/>
  <c r="V14" i="5"/>
  <c r="V18" i="5" s="1"/>
  <c r="V11" i="5"/>
  <c r="AF26" i="5"/>
  <c r="AF14" i="5"/>
  <c r="AF18" i="5" s="1"/>
  <c r="AF11" i="5"/>
  <c r="AA26" i="5"/>
  <c r="AA14" i="5"/>
  <c r="AA18" i="5" s="1"/>
  <c r="AA11" i="5"/>
  <c r="K26" i="5"/>
  <c r="K14" i="5"/>
  <c r="K18" i="5" s="1"/>
  <c r="K11" i="5"/>
  <c r="W26" i="5"/>
  <c r="W14" i="5"/>
  <c r="W18" i="5" s="1"/>
  <c r="W11" i="5"/>
  <c r="E12" i="6"/>
  <c r="I26" i="5"/>
  <c r="I14" i="5"/>
  <c r="I18" i="5" s="1"/>
  <c r="I11" i="5"/>
  <c r="T26" i="5"/>
  <c r="T11" i="5"/>
  <c r="T14" i="5"/>
  <c r="T18" i="5" s="1"/>
  <c r="F19" i="13"/>
  <c r="G19" i="13" s="1"/>
  <c r="C28" i="13" s="1"/>
  <c r="AM26" i="5"/>
  <c r="AM14" i="5"/>
  <c r="AM18" i="5" s="1"/>
  <c r="AM11" i="5"/>
  <c r="BB26" i="5"/>
  <c r="BB14" i="5"/>
  <c r="BB18" i="5" s="1"/>
  <c r="BB11" i="5"/>
  <c r="E26" i="5"/>
  <c r="E11" i="5"/>
  <c r="E14" i="5"/>
  <c r="E18" i="5" s="1"/>
  <c r="AQ20" i="5"/>
  <c r="AQ23" i="5"/>
  <c r="AC26" i="5"/>
  <c r="AC14" i="5"/>
  <c r="AC18" i="5" s="1"/>
  <c r="AC11" i="5"/>
  <c r="F12" i="6"/>
  <c r="BH26" i="5"/>
  <c r="BH11" i="5"/>
  <c r="BH14" i="5"/>
  <c r="BH18" i="5" s="1"/>
  <c r="N26" i="5"/>
  <c r="N14" i="5"/>
  <c r="N18" i="5" s="1"/>
  <c r="N11" i="5"/>
  <c r="BG26" i="5"/>
  <c r="BG11" i="5"/>
  <c r="BG14" i="5"/>
  <c r="BG18" i="5" s="1"/>
  <c r="AG26" i="5"/>
  <c r="AG14" i="5"/>
  <c r="AG18" i="5" s="1"/>
  <c r="AG11" i="5"/>
  <c r="BF26" i="5"/>
  <c r="BF14" i="5"/>
  <c r="BF18" i="5" s="1"/>
  <c r="BF11" i="5"/>
  <c r="X26" i="5"/>
  <c r="X11" i="5"/>
  <c r="X14" i="5"/>
  <c r="X18" i="5" s="1"/>
  <c r="AJ26" i="5"/>
  <c r="AJ11" i="5"/>
  <c r="AJ14" i="5"/>
  <c r="AJ18" i="5" s="1"/>
  <c r="AI26" i="5"/>
  <c r="AI11" i="5"/>
  <c r="AI14" i="5"/>
  <c r="AI18" i="5" s="1"/>
  <c r="G12" i="6"/>
  <c r="AP26" i="5"/>
  <c r="AP14" i="5"/>
  <c r="AP18" i="5" s="1"/>
  <c r="AP11" i="5"/>
  <c r="AN26" i="5"/>
  <c r="AN14" i="5"/>
  <c r="AN18" i="5" s="1"/>
  <c r="AN11" i="5"/>
  <c r="S20" i="5"/>
  <c r="S23" i="5"/>
  <c r="AZ26" i="5"/>
  <c r="AZ14" i="5"/>
  <c r="AZ18" i="5" s="1"/>
  <c r="AZ11" i="5"/>
  <c r="D26" i="5"/>
  <c r="D14" i="5"/>
  <c r="D18" i="5" s="1"/>
  <c r="D11" i="5"/>
  <c r="O26" i="5"/>
  <c r="O14" i="5"/>
  <c r="O18" i="5" s="1"/>
  <c r="O11" i="5"/>
  <c r="BD26" i="5"/>
  <c r="BD14" i="5"/>
  <c r="BD18" i="5" s="1"/>
  <c r="BD11" i="5"/>
  <c r="AK26" i="5"/>
  <c r="AK14" i="5"/>
  <c r="AK18" i="5" s="1"/>
  <c r="AK11" i="5"/>
  <c r="Z26" i="5"/>
  <c r="Z14" i="5"/>
  <c r="Z18" i="5" s="1"/>
  <c r="Z11" i="5"/>
  <c r="U26" i="5"/>
  <c r="U14" i="5"/>
  <c r="U18" i="5" s="1"/>
  <c r="U11" i="5"/>
  <c r="AT26" i="5"/>
  <c r="AT14" i="5"/>
  <c r="AT18" i="5" s="1"/>
  <c r="AT11" i="5"/>
  <c r="L26" i="5"/>
  <c r="L14" i="5"/>
  <c r="L18" i="5" s="1"/>
  <c r="L11" i="5"/>
  <c r="AV26" i="5"/>
  <c r="AV14" i="5"/>
  <c r="AV18" i="5" s="1"/>
  <c r="AV11" i="5"/>
  <c r="B26" i="5"/>
  <c r="B14" i="5"/>
  <c r="B18" i="5" s="1"/>
  <c r="B11" i="5"/>
  <c r="J26" i="5"/>
  <c r="J14" i="5"/>
  <c r="J18" i="5" s="1"/>
  <c r="J11" i="5"/>
  <c r="AB26" i="5"/>
  <c r="AB14" i="5"/>
  <c r="AB18" i="5" s="1"/>
  <c r="AB11" i="5"/>
  <c r="C27" i="13"/>
  <c r="BC23" i="5"/>
  <c r="BC20" i="5"/>
  <c r="AW26" i="5"/>
  <c r="AW14" i="5"/>
  <c r="AW18" i="5" s="1"/>
  <c r="AW11" i="5"/>
  <c r="D15" i="10"/>
  <c r="D17" i="10" s="1"/>
  <c r="AH26" i="5"/>
  <c r="AH14" i="5"/>
  <c r="AH18" i="5" s="1"/>
  <c r="AH11" i="5"/>
  <c r="G21" i="14" l="1"/>
  <c r="G18" i="10"/>
  <c r="G6" i="8"/>
  <c r="BC50" i="5"/>
  <c r="BC41" i="5"/>
  <c r="BC36" i="5"/>
  <c r="BC38" i="5" s="1"/>
  <c r="BC25" i="5"/>
  <c r="BC30" i="5"/>
  <c r="BF23" i="5"/>
  <c r="BF20" i="5"/>
  <c r="AX20" i="5"/>
  <c r="AX23" i="5"/>
  <c r="AS23" i="5"/>
  <c r="AS20" i="5"/>
  <c r="BA50" i="5"/>
  <c r="BA41" i="5"/>
  <c r="BA36" i="5"/>
  <c r="BA38" i="5" s="1"/>
  <c r="BA30" i="5"/>
  <c r="BA25" i="5"/>
  <c r="C20" i="5"/>
  <c r="C23" i="5"/>
  <c r="AR23" i="5"/>
  <c r="AR20" i="5"/>
  <c r="AL20" i="5"/>
  <c r="AL23" i="5"/>
  <c r="AT23" i="5"/>
  <c r="AT20" i="5"/>
  <c r="BH23" i="5"/>
  <c r="BH20" i="5"/>
  <c r="B20" i="5"/>
  <c r="B23" i="5"/>
  <c r="BD23" i="5"/>
  <c r="BD20" i="5"/>
  <c r="AZ20" i="5"/>
  <c r="AZ23" i="5"/>
  <c r="AI20" i="5"/>
  <c r="AI23" i="5"/>
  <c r="I23" i="5"/>
  <c r="I20" i="5"/>
  <c r="C7" i="15"/>
  <c r="G15" i="7"/>
  <c r="C10" i="11"/>
  <c r="BC28" i="5"/>
  <c r="BC29" i="5" s="1"/>
  <c r="BC40" i="5" s="1"/>
  <c r="BC43" i="5" s="1"/>
  <c r="C18" i="15"/>
  <c r="D27" i="13"/>
  <c r="C22" i="15"/>
  <c r="AG23" i="5"/>
  <c r="AG20" i="5"/>
  <c r="BB20" i="5"/>
  <c r="BB23" i="5"/>
  <c r="AA23" i="5"/>
  <c r="AA20" i="5"/>
  <c r="F20" i="5"/>
  <c r="F23" i="5"/>
  <c r="AD20" i="5"/>
  <c r="AD23" i="5"/>
  <c r="AY20" i="5"/>
  <c r="AY23" i="5"/>
  <c r="M20" i="5"/>
  <c r="M23" i="5"/>
  <c r="AX44" i="5"/>
  <c r="BC44" i="5"/>
  <c r="BB44" i="5"/>
  <c r="BF44" i="5"/>
  <c r="AZ44" i="5"/>
  <c r="BD44" i="5"/>
  <c r="BE44" i="5"/>
  <c r="AY44" i="5"/>
  <c r="BH44" i="5"/>
  <c r="BI44" i="5"/>
  <c r="BA44" i="5"/>
  <c r="BG44" i="5"/>
  <c r="U23" i="5"/>
  <c r="U20" i="5"/>
  <c r="F21" i="14"/>
  <c r="F18" i="10"/>
  <c r="F6" i="8"/>
  <c r="E6" i="8"/>
  <c r="E21" i="14"/>
  <c r="E18" i="10"/>
  <c r="D6" i="8"/>
  <c r="D21" i="14"/>
  <c r="D18" i="10"/>
  <c r="AH23" i="5"/>
  <c r="AH20" i="5"/>
  <c r="AV20" i="5"/>
  <c r="AV23" i="5"/>
  <c r="O20" i="5"/>
  <c r="O23" i="5"/>
  <c r="S50" i="5"/>
  <c r="S36" i="5"/>
  <c r="S38" i="5" s="1"/>
  <c r="S41" i="5"/>
  <c r="S30" i="5"/>
  <c r="S25" i="5"/>
  <c r="S28" i="5" s="1"/>
  <c r="S29" i="5" s="1"/>
  <c r="S40" i="5" s="1"/>
  <c r="S43" i="5" s="1"/>
  <c r="AJ20" i="5"/>
  <c r="AJ23" i="5"/>
  <c r="BG23" i="5"/>
  <c r="BG20" i="5"/>
  <c r="BI20" i="5"/>
  <c r="BI23" i="5"/>
  <c r="AO23" i="5"/>
  <c r="AO20" i="5"/>
  <c r="AC20" i="5"/>
  <c r="AC23" i="5"/>
  <c r="AM20" i="5"/>
  <c r="AM23" i="5"/>
  <c r="AF23" i="5"/>
  <c r="AF20" i="5"/>
  <c r="AE28" i="5"/>
  <c r="AE29" i="5" s="1"/>
  <c r="AE40" i="5" s="1"/>
  <c r="AE43" i="5" s="1"/>
  <c r="P20" i="5"/>
  <c r="P23" i="5"/>
  <c r="E15" i="10"/>
  <c r="E17" i="10" s="1"/>
  <c r="AB20" i="5"/>
  <c r="AB23" i="5"/>
  <c r="AN23" i="5"/>
  <c r="AN20" i="5"/>
  <c r="W20" i="5"/>
  <c r="W23" i="5"/>
  <c r="Q20" i="5"/>
  <c r="Q23" i="5"/>
  <c r="AU20" i="5"/>
  <c r="AU23" i="5"/>
  <c r="AE50" i="5"/>
  <c r="AE41" i="5"/>
  <c r="AE36" i="5"/>
  <c r="AE38" i="5" s="1"/>
  <c r="AE25" i="5"/>
  <c r="AE30" i="5"/>
  <c r="G50" i="5"/>
  <c r="G36" i="5"/>
  <c r="G38" i="5" s="1"/>
  <c r="G41" i="5"/>
  <c r="G29" i="5"/>
  <c r="G40" i="5" s="1"/>
  <c r="G43" i="5" s="1"/>
  <c r="G25" i="5"/>
  <c r="G30" i="5"/>
  <c r="L23" i="5"/>
  <c r="L20" i="5"/>
  <c r="Z23" i="5"/>
  <c r="Z20" i="5"/>
  <c r="X20" i="5"/>
  <c r="X23" i="5"/>
  <c r="C19" i="15"/>
  <c r="D28" i="13"/>
  <c r="F9" i="1" s="1"/>
  <c r="G28" i="5"/>
  <c r="D20" i="5"/>
  <c r="D23" i="5"/>
  <c r="AQ50" i="5"/>
  <c r="AQ36" i="5"/>
  <c r="AQ38" i="5" s="1"/>
  <c r="AQ25" i="5"/>
  <c r="AQ28" i="5" s="1"/>
  <c r="AQ29" i="5" s="1"/>
  <c r="AQ40" i="5" s="1"/>
  <c r="AQ43" i="5" s="1"/>
  <c r="AQ30" i="5"/>
  <c r="AQ41" i="5"/>
  <c r="H19" i="13"/>
  <c r="V23" i="5"/>
  <c r="V20" i="5"/>
  <c r="C6" i="8"/>
  <c r="H12" i="6"/>
  <c r="C21" i="14"/>
  <c r="C18" i="10"/>
  <c r="C19" i="10" s="1"/>
  <c r="H23" i="5"/>
  <c r="H20" i="5"/>
  <c r="Y23" i="5"/>
  <c r="Y20" i="5"/>
  <c r="R20" i="5"/>
  <c r="R23" i="5"/>
  <c r="AW20" i="5"/>
  <c r="AW23" i="5"/>
  <c r="AP23" i="5"/>
  <c r="AP20" i="5"/>
  <c r="E20" i="5"/>
  <c r="E23" i="5"/>
  <c r="T23" i="5"/>
  <c r="T20" i="5"/>
  <c r="K23" i="5"/>
  <c r="K20" i="5"/>
  <c r="BE23" i="5"/>
  <c r="BE20" i="5"/>
  <c r="J23" i="5"/>
  <c r="J20" i="5"/>
  <c r="AK20" i="5"/>
  <c r="AK23" i="5"/>
  <c r="N20" i="5"/>
  <c r="N23" i="5"/>
  <c r="BA28" i="5"/>
  <c r="BA29" i="5" s="1"/>
  <c r="BA40" i="5" s="1"/>
  <c r="BA43" i="5" s="1"/>
  <c r="D19" i="10" l="1"/>
  <c r="C20" i="10"/>
  <c r="C5" i="7" s="1"/>
  <c r="L41" i="5"/>
  <c r="L50" i="5"/>
  <c r="L36" i="5"/>
  <c r="L38" i="5" s="1"/>
  <c r="L25" i="5"/>
  <c r="L30" i="5"/>
  <c r="F15" i="10"/>
  <c r="F17" i="10" s="1"/>
  <c r="AD50" i="5"/>
  <c r="AD41" i="5"/>
  <c r="AD36" i="5"/>
  <c r="AD38" i="5" s="1"/>
  <c r="AD29" i="5"/>
  <c r="AD40" i="5" s="1"/>
  <c r="AD43" i="5" s="1"/>
  <c r="AD25" i="5"/>
  <c r="AD30" i="5"/>
  <c r="AZ50" i="5"/>
  <c r="AZ41" i="5"/>
  <c r="AZ30" i="5"/>
  <c r="AZ36" i="5"/>
  <c r="AZ38" i="5" s="1"/>
  <c r="AZ25" i="5"/>
  <c r="AX41" i="5"/>
  <c r="AX50" i="5"/>
  <c r="G4" i="6"/>
  <c r="AX25" i="5"/>
  <c r="AX30" i="5"/>
  <c r="AX36" i="5"/>
  <c r="AX38" i="5" s="1"/>
  <c r="D50" i="5"/>
  <c r="D41" i="5"/>
  <c r="D30" i="5"/>
  <c r="D36" i="5"/>
  <c r="D38" i="5" s="1"/>
  <c r="D25" i="5"/>
  <c r="D28" i="5" s="1"/>
  <c r="D29" i="5" s="1"/>
  <c r="D40" i="5" s="1"/>
  <c r="D43" i="5" s="1"/>
  <c r="AU28" i="5"/>
  <c r="P28" i="5"/>
  <c r="P29" i="5" s="1"/>
  <c r="P40" i="5" s="1"/>
  <c r="P43" i="5" s="1"/>
  <c r="BI41" i="5"/>
  <c r="BI50" i="5"/>
  <c r="BI36" i="5"/>
  <c r="BI38" i="5" s="1"/>
  <c r="BI25" i="5"/>
  <c r="BI30" i="5"/>
  <c r="O41" i="5"/>
  <c r="O50" i="5"/>
  <c r="O36" i="5"/>
  <c r="O38" i="5" s="1"/>
  <c r="O25" i="5"/>
  <c r="O28" i="5" s="1"/>
  <c r="O29" i="5" s="1"/>
  <c r="O40" i="5" s="1"/>
  <c r="O43" i="5" s="1"/>
  <c r="O30" i="5"/>
  <c r="F41" i="5"/>
  <c r="F36" i="5"/>
  <c r="F38" i="5" s="1"/>
  <c r="F50" i="5"/>
  <c r="F30" i="5"/>
  <c r="F25" i="5"/>
  <c r="BD28" i="5"/>
  <c r="BD29" i="5" s="1"/>
  <c r="BD40" i="5" s="1"/>
  <c r="BD43" i="5" s="1"/>
  <c r="C50" i="5"/>
  <c r="C41" i="5"/>
  <c r="C36" i="5"/>
  <c r="C38" i="5" s="1"/>
  <c r="C25" i="5"/>
  <c r="C30" i="5"/>
  <c r="AP50" i="5"/>
  <c r="AP36" i="5"/>
  <c r="AP38" i="5" s="1"/>
  <c r="AP41" i="5"/>
  <c r="AP25" i="5"/>
  <c r="AP28" i="5" s="1"/>
  <c r="AP29" i="5" s="1"/>
  <c r="AP40" i="5" s="1"/>
  <c r="AP43" i="5" s="1"/>
  <c r="AP30" i="5"/>
  <c r="AK50" i="5"/>
  <c r="AK41" i="5"/>
  <c r="AK30" i="5"/>
  <c r="AK36" i="5"/>
  <c r="AK38" i="5" s="1"/>
  <c r="AK25" i="5"/>
  <c r="AK28" i="5" s="1"/>
  <c r="AK29" i="5" s="1"/>
  <c r="AK40" i="5" s="1"/>
  <c r="AK43" i="5" s="1"/>
  <c r="AU50" i="5"/>
  <c r="AU41" i="5"/>
  <c r="AU36" i="5"/>
  <c r="AU38" i="5" s="1"/>
  <c r="AU29" i="5"/>
  <c r="AU40" i="5" s="1"/>
  <c r="AU43" i="5" s="1"/>
  <c r="AU25" i="5"/>
  <c r="AU30" i="5"/>
  <c r="P50" i="5"/>
  <c r="P41" i="5"/>
  <c r="P36" i="5"/>
  <c r="P38" i="5" s="1"/>
  <c r="P25" i="5"/>
  <c r="P30" i="5"/>
  <c r="BG50" i="5"/>
  <c r="BG41" i="5"/>
  <c r="BG36" i="5"/>
  <c r="BG38" i="5" s="1"/>
  <c r="BG29" i="5"/>
  <c r="BG40" i="5" s="1"/>
  <c r="BG43" i="5" s="1"/>
  <c r="BG25" i="5"/>
  <c r="BG30" i="5"/>
  <c r="AA41" i="5"/>
  <c r="AA50" i="5"/>
  <c r="AA36" i="5"/>
  <c r="AA38" i="5" s="1"/>
  <c r="AA25" i="5"/>
  <c r="AA28" i="5" s="1"/>
  <c r="AA29" i="5" s="1"/>
  <c r="AA40" i="5" s="1"/>
  <c r="AA43" i="5" s="1"/>
  <c r="AA30" i="5"/>
  <c r="B28" i="5"/>
  <c r="B29" i="5" s="1"/>
  <c r="Q28" i="5"/>
  <c r="F10" i="11"/>
  <c r="C11" i="11" s="1"/>
  <c r="D10" i="11"/>
  <c r="C4" i="6"/>
  <c r="B50" i="5"/>
  <c r="B41" i="5"/>
  <c r="B25" i="5"/>
  <c r="B30" i="5"/>
  <c r="B36" i="5"/>
  <c r="B38" i="5" s="1"/>
  <c r="E41" i="5"/>
  <c r="E36" i="5"/>
  <c r="E38" i="5" s="1"/>
  <c r="E30" i="5"/>
  <c r="E50" i="5"/>
  <c r="E25" i="5"/>
  <c r="E28" i="5" s="1"/>
  <c r="E29" i="5" s="1"/>
  <c r="E40" i="5" s="1"/>
  <c r="E43" i="5" s="1"/>
  <c r="C28" i="5"/>
  <c r="C29" i="5" s="1"/>
  <c r="C40" i="5" s="1"/>
  <c r="C43" i="5" s="1"/>
  <c r="V50" i="5"/>
  <c r="V41" i="5"/>
  <c r="V36" i="5"/>
  <c r="V38" i="5" s="1"/>
  <c r="V30" i="5"/>
  <c r="V25" i="5"/>
  <c r="V28" i="5" s="1"/>
  <c r="V29" i="5" s="1"/>
  <c r="V40" i="5" s="1"/>
  <c r="V43" i="5" s="1"/>
  <c r="BG28" i="5"/>
  <c r="AW41" i="5"/>
  <c r="AW50" i="5"/>
  <c r="AW25" i="5"/>
  <c r="AW30" i="5"/>
  <c r="AW36" i="5"/>
  <c r="AW38" i="5" s="1"/>
  <c r="Q50" i="5"/>
  <c r="Q36" i="5"/>
  <c r="Q38" i="5" s="1"/>
  <c r="Q29" i="5"/>
  <c r="Q40" i="5" s="1"/>
  <c r="Q43" i="5" s="1"/>
  <c r="Q25" i="5"/>
  <c r="Q30" i="5"/>
  <c r="Q41" i="5"/>
  <c r="AF50" i="5"/>
  <c r="AF41" i="5"/>
  <c r="AF36" i="5"/>
  <c r="AF38" i="5" s="1"/>
  <c r="AF30" i="5"/>
  <c r="AF25" i="5"/>
  <c r="AF28" i="5" s="1"/>
  <c r="AF29" i="5" s="1"/>
  <c r="AF40" i="5" s="1"/>
  <c r="AF43" i="5" s="1"/>
  <c r="AH50" i="5"/>
  <c r="AH41" i="5"/>
  <c r="AH36" i="5"/>
  <c r="AH38" i="5" s="1"/>
  <c r="AH30" i="5"/>
  <c r="AH25" i="5"/>
  <c r="U50" i="5"/>
  <c r="U41" i="5"/>
  <c r="U36" i="5"/>
  <c r="U38" i="5" s="1"/>
  <c r="U30" i="5"/>
  <c r="U25" i="5"/>
  <c r="BB28" i="5"/>
  <c r="BB29" i="5" s="1"/>
  <c r="BB40" i="5" s="1"/>
  <c r="BB43" i="5" s="1"/>
  <c r="BH50" i="5"/>
  <c r="BH41" i="5"/>
  <c r="BH36" i="5"/>
  <c r="BH38" i="5" s="1"/>
  <c r="BH25" i="5"/>
  <c r="BH30" i="5"/>
  <c r="D4" i="6"/>
  <c r="N41" i="5"/>
  <c r="N50" i="5"/>
  <c r="N36" i="5"/>
  <c r="N38" i="5" s="1"/>
  <c r="N25" i="5"/>
  <c r="N28" i="5" s="1"/>
  <c r="N30" i="5"/>
  <c r="BE50" i="5"/>
  <c r="BE41" i="5"/>
  <c r="BE36" i="5"/>
  <c r="BE38" i="5" s="1"/>
  <c r="BE30" i="5"/>
  <c r="BE25" i="5"/>
  <c r="BE28" i="5" s="1"/>
  <c r="BE29" i="5" s="1"/>
  <c r="BE40" i="5" s="1"/>
  <c r="BE43" i="5" s="1"/>
  <c r="F20" i="13"/>
  <c r="G20" i="13" s="1"/>
  <c r="D26" i="13"/>
  <c r="D25" i="13"/>
  <c r="AJ50" i="5"/>
  <c r="AJ41" i="5"/>
  <c r="AJ36" i="5"/>
  <c r="AJ38" i="5" s="1"/>
  <c r="AJ25" i="5"/>
  <c r="AJ28" i="5" s="1"/>
  <c r="AJ29" i="5" s="1"/>
  <c r="AJ40" i="5" s="1"/>
  <c r="AJ43" i="5" s="1"/>
  <c r="AJ30" i="5"/>
  <c r="AH28" i="5"/>
  <c r="AH29" i="5" s="1"/>
  <c r="AH40" i="5" s="1"/>
  <c r="AH43" i="5" s="1"/>
  <c r="U28" i="5"/>
  <c r="U29" i="5" s="1"/>
  <c r="U40" i="5" s="1"/>
  <c r="U43" i="5" s="1"/>
  <c r="BB50" i="5"/>
  <c r="BB41" i="5"/>
  <c r="BB36" i="5"/>
  <c r="BB38" i="5" s="1"/>
  <c r="BB30" i="5"/>
  <c r="BB25" i="5"/>
  <c r="BH28" i="5"/>
  <c r="BH29" i="5" s="1"/>
  <c r="BH40" i="5" s="1"/>
  <c r="BH43" i="5" s="1"/>
  <c r="BI28" i="5"/>
  <c r="BI29" i="5" s="1"/>
  <c r="BI40" i="5" s="1"/>
  <c r="BI43" i="5" s="1"/>
  <c r="AV41" i="5"/>
  <c r="AV50" i="5"/>
  <c r="AV36" i="5"/>
  <c r="AV38" i="5" s="1"/>
  <c r="AV25" i="5"/>
  <c r="AV28" i="5" s="1"/>
  <c r="AV29" i="5" s="1"/>
  <c r="AV40" i="5" s="1"/>
  <c r="AV43" i="5" s="1"/>
  <c r="AV30" i="5"/>
  <c r="R50" i="5"/>
  <c r="R36" i="5"/>
  <c r="R38" i="5" s="1"/>
  <c r="R41" i="5"/>
  <c r="R25" i="5"/>
  <c r="R28" i="5" s="1"/>
  <c r="R29" i="5" s="1"/>
  <c r="R40" i="5" s="1"/>
  <c r="R43" i="5" s="1"/>
  <c r="R30" i="5"/>
  <c r="W50" i="5"/>
  <c r="W41" i="5"/>
  <c r="W36" i="5"/>
  <c r="W38" i="5" s="1"/>
  <c r="W30" i="5"/>
  <c r="W25" i="5"/>
  <c r="W28" i="5" s="1"/>
  <c r="W29" i="5" s="1"/>
  <c r="W40" i="5" s="1"/>
  <c r="W43" i="5" s="1"/>
  <c r="M28" i="5"/>
  <c r="M29" i="5" s="1"/>
  <c r="M40" i="5" s="1"/>
  <c r="M43" i="5" s="1"/>
  <c r="AG50" i="5"/>
  <c r="AG41" i="5"/>
  <c r="AG36" i="5"/>
  <c r="AG38" i="5" s="1"/>
  <c r="AG30" i="5"/>
  <c r="AG29" i="5"/>
  <c r="AG25" i="5"/>
  <c r="I50" i="5"/>
  <c r="I41" i="5"/>
  <c r="I36" i="5"/>
  <c r="I38" i="5" s="1"/>
  <c r="I30" i="5"/>
  <c r="I29" i="5"/>
  <c r="I40" i="5" s="1"/>
  <c r="I43" i="5" s="1"/>
  <c r="I25" i="5"/>
  <c r="AT50" i="5"/>
  <c r="AT41" i="5"/>
  <c r="AT36" i="5"/>
  <c r="AT38" i="5" s="1"/>
  <c r="AT30" i="5"/>
  <c r="AT29" i="5"/>
  <c r="AT25" i="5"/>
  <c r="BD50" i="5"/>
  <c r="BD41" i="5"/>
  <c r="BD36" i="5"/>
  <c r="BD38" i="5" s="1"/>
  <c r="BD30" i="5"/>
  <c r="BD25" i="5"/>
  <c r="K50" i="5"/>
  <c r="K41" i="5"/>
  <c r="K36" i="5"/>
  <c r="K38" i="5" s="1"/>
  <c r="K25" i="5"/>
  <c r="K28" i="5" s="1"/>
  <c r="K29" i="5" s="1"/>
  <c r="K40" i="5" s="1"/>
  <c r="K43" i="5" s="1"/>
  <c r="K30" i="5"/>
  <c r="Y41" i="5"/>
  <c r="Y50" i="5"/>
  <c r="Y36" i="5"/>
  <c r="Y38" i="5" s="1"/>
  <c r="Y25" i="5"/>
  <c r="Y28" i="5" s="1"/>
  <c r="Y29" i="5" s="1"/>
  <c r="Y40" i="5" s="1"/>
  <c r="Y43" i="5" s="1"/>
  <c r="Y30" i="5"/>
  <c r="AN50" i="5"/>
  <c r="AN41" i="5"/>
  <c r="AN36" i="5"/>
  <c r="AN38" i="5" s="1"/>
  <c r="AN25" i="5"/>
  <c r="AN30" i="5"/>
  <c r="AM50" i="5"/>
  <c r="AM41" i="5"/>
  <c r="AM36" i="5"/>
  <c r="AM38" i="5" s="1"/>
  <c r="AM30" i="5"/>
  <c r="AM25" i="5"/>
  <c r="AM28" i="5" s="1"/>
  <c r="AM29" i="5" s="1"/>
  <c r="AM40" i="5" s="1"/>
  <c r="AM43" i="5" s="1"/>
  <c r="M41" i="5"/>
  <c r="M50" i="5"/>
  <c r="M36" i="5"/>
  <c r="M38" i="5" s="1"/>
  <c r="M25" i="5"/>
  <c r="M30" i="5"/>
  <c r="AG28" i="5"/>
  <c r="I28" i="5"/>
  <c r="AT28" i="5"/>
  <c r="L28" i="5"/>
  <c r="L29" i="5" s="1"/>
  <c r="L40" i="5" s="1"/>
  <c r="L43" i="5" s="1"/>
  <c r="BF50" i="5"/>
  <c r="BF41" i="5"/>
  <c r="BF36" i="5"/>
  <c r="BF38" i="5" s="1"/>
  <c r="BF30" i="5"/>
  <c r="BF25" i="5"/>
  <c r="BF28" i="5" s="1"/>
  <c r="BF29" i="5" s="1"/>
  <c r="BF40" i="5" s="1"/>
  <c r="BF43" i="5" s="1"/>
  <c r="X50" i="5"/>
  <c r="X41" i="5"/>
  <c r="X30" i="5"/>
  <c r="X36" i="5"/>
  <c r="X38" i="5" s="1"/>
  <c r="X25" i="5"/>
  <c r="X28" i="5" s="1"/>
  <c r="X29" i="5" s="1"/>
  <c r="X40" i="5" s="1"/>
  <c r="X43" i="5" s="1"/>
  <c r="AN28" i="5"/>
  <c r="AN29" i="5" s="1"/>
  <c r="AN40" i="5" s="1"/>
  <c r="AN43" i="5" s="1"/>
  <c r="AC28" i="5"/>
  <c r="AC29" i="5" s="1"/>
  <c r="AC40" i="5" s="1"/>
  <c r="AC43" i="5" s="1"/>
  <c r="AL28" i="5"/>
  <c r="AS50" i="5"/>
  <c r="AS41" i="5"/>
  <c r="AS36" i="5"/>
  <c r="AS38" i="5" s="1"/>
  <c r="AS30" i="5"/>
  <c r="AS25" i="5"/>
  <c r="AS28" i="5" s="1"/>
  <c r="AS29" i="5" s="1"/>
  <c r="AS40" i="5" s="1"/>
  <c r="AS43" i="5" s="1"/>
  <c r="J50" i="5"/>
  <c r="J41" i="5"/>
  <c r="J36" i="5"/>
  <c r="J38" i="5" s="1"/>
  <c r="J30" i="5"/>
  <c r="J25" i="5"/>
  <c r="J28" i="5" s="1"/>
  <c r="J29" i="5" s="1"/>
  <c r="J40" i="5" s="1"/>
  <c r="J43" i="5" s="1"/>
  <c r="T50" i="5"/>
  <c r="T36" i="5"/>
  <c r="T38" i="5" s="1"/>
  <c r="T30" i="5"/>
  <c r="T25" i="5"/>
  <c r="T28" i="5" s="1"/>
  <c r="T29" i="5" s="1"/>
  <c r="T40" i="5" s="1"/>
  <c r="T43" i="5" s="1"/>
  <c r="T41" i="5"/>
  <c r="H50" i="5"/>
  <c r="H36" i="5"/>
  <c r="H38" i="5" s="1"/>
  <c r="H30" i="5"/>
  <c r="H25" i="5"/>
  <c r="H41" i="5"/>
  <c r="E4" i="6"/>
  <c r="Z41" i="5"/>
  <c r="Z50" i="5"/>
  <c r="Z25" i="5"/>
  <c r="Z30" i="5"/>
  <c r="Z36" i="5"/>
  <c r="Z38" i="5" s="1"/>
  <c r="E9" i="6" s="1"/>
  <c r="AB28" i="5"/>
  <c r="AC50" i="5"/>
  <c r="AC41" i="5"/>
  <c r="AC36" i="5"/>
  <c r="AC38" i="5" s="1"/>
  <c r="AC25" i="5"/>
  <c r="AC30" i="5"/>
  <c r="AY41" i="5"/>
  <c r="AY50" i="5"/>
  <c r="AY36" i="5"/>
  <c r="AY38" i="5" s="1"/>
  <c r="AY25" i="5"/>
  <c r="AY28" i="5" s="1"/>
  <c r="AY29" i="5" s="1"/>
  <c r="AY40" i="5" s="1"/>
  <c r="AY43" i="5" s="1"/>
  <c r="AY30" i="5"/>
  <c r="AI50" i="5"/>
  <c r="AI41" i="5"/>
  <c r="AI36" i="5"/>
  <c r="AI38" i="5" s="1"/>
  <c r="AI25" i="5"/>
  <c r="AI28" i="5" s="1"/>
  <c r="AI29" i="5" s="1"/>
  <c r="AI40" i="5" s="1"/>
  <c r="AI43" i="5" s="1"/>
  <c r="AI30" i="5"/>
  <c r="AL50" i="5"/>
  <c r="AL41" i="5"/>
  <c r="F4" i="6"/>
  <c r="AL30" i="5"/>
  <c r="AL36" i="5"/>
  <c r="AL38" i="5" s="1"/>
  <c r="F9" i="6" s="1"/>
  <c r="AL29" i="5"/>
  <c r="AL25" i="5"/>
  <c r="F28" i="5"/>
  <c r="F29" i="5" s="1"/>
  <c r="F40" i="5" s="1"/>
  <c r="F43" i="5" s="1"/>
  <c r="AW28" i="5"/>
  <c r="AW29" i="5" s="1"/>
  <c r="AW40" i="5" s="1"/>
  <c r="AW43" i="5" s="1"/>
  <c r="H28" i="5"/>
  <c r="H29" i="5" s="1"/>
  <c r="H40" i="5" s="1"/>
  <c r="H43" i="5" s="1"/>
  <c r="Z28" i="5"/>
  <c r="AB50" i="5"/>
  <c r="AB41" i="5"/>
  <c r="AB29" i="5"/>
  <c r="AB40" i="5" s="1"/>
  <c r="AB43" i="5" s="1"/>
  <c r="AB25" i="5"/>
  <c r="AB30" i="5"/>
  <c r="AB36" i="5"/>
  <c r="AB38" i="5" s="1"/>
  <c r="AO50" i="5"/>
  <c r="AO36" i="5"/>
  <c r="AO38" i="5" s="1"/>
  <c r="AO41" i="5"/>
  <c r="AO25" i="5"/>
  <c r="AO28" i="5" s="1"/>
  <c r="AO29" i="5" s="1"/>
  <c r="AO40" i="5" s="1"/>
  <c r="AO43" i="5" s="1"/>
  <c r="AO30" i="5"/>
  <c r="AD28" i="5"/>
  <c r="AZ28" i="5"/>
  <c r="AZ29" i="5" s="1"/>
  <c r="AZ40" i="5" s="1"/>
  <c r="AZ43" i="5" s="1"/>
  <c r="AR50" i="5"/>
  <c r="AR36" i="5"/>
  <c r="AR38" i="5" s="1"/>
  <c r="AR30" i="5"/>
  <c r="AR25" i="5"/>
  <c r="AR28" i="5" s="1"/>
  <c r="AR29" i="5" s="1"/>
  <c r="AR40" i="5" s="1"/>
  <c r="AR43" i="5" s="1"/>
  <c r="AR41" i="5"/>
  <c r="AX28" i="5"/>
  <c r="AX29" i="5" s="1"/>
  <c r="D6" i="6" l="1"/>
  <c r="D5" i="9" s="1"/>
  <c r="N29" i="5"/>
  <c r="G7" i="6"/>
  <c r="AX40" i="5"/>
  <c r="C7" i="6"/>
  <c r="B40" i="5"/>
  <c r="C29" i="13"/>
  <c r="G21" i="13"/>
  <c r="G11" i="6"/>
  <c r="B12" i="1" s="1"/>
  <c r="G4" i="9"/>
  <c r="G6" i="9" s="1"/>
  <c r="C41" i="15"/>
  <c r="G18" i="6"/>
  <c r="G8" i="6"/>
  <c r="H9" i="1"/>
  <c r="F7" i="6"/>
  <c r="AL40" i="5"/>
  <c r="AT40" i="5"/>
  <c r="AT43" i="5" s="1"/>
  <c r="AG40" i="5"/>
  <c r="AG43" i="5" s="1"/>
  <c r="H20" i="13"/>
  <c r="H21" i="13" s="1"/>
  <c r="G5" i="6"/>
  <c r="F11" i="6"/>
  <c r="F4" i="9"/>
  <c r="F6" i="9" s="1"/>
  <c r="F18" i="6"/>
  <c r="F8" i="6"/>
  <c r="D9" i="6"/>
  <c r="E6" i="6"/>
  <c r="E5" i="9" s="1"/>
  <c r="E19" i="10"/>
  <c r="D20" i="10"/>
  <c r="D5" i="7" s="1"/>
  <c r="C9" i="6"/>
  <c r="Z29" i="5"/>
  <c r="G6" i="6"/>
  <c r="G5" i="9" s="1"/>
  <c r="E5" i="6"/>
  <c r="D11" i="6"/>
  <c r="D4" i="9"/>
  <c r="D6" i="9" s="1"/>
  <c r="D18" i="6"/>
  <c r="D8" i="6"/>
  <c r="G15" i="10"/>
  <c r="G17" i="10" s="1"/>
  <c r="F5" i="6"/>
  <c r="E11" i="6"/>
  <c r="E18" i="6"/>
  <c r="E8" i="6"/>
  <c r="E4" i="9"/>
  <c r="E6" i="9" s="1"/>
  <c r="D5" i="6"/>
  <c r="C4" i="9"/>
  <c r="C6" i="9" s="1"/>
  <c r="C18" i="6"/>
  <c r="C11" i="6"/>
  <c r="H4" i="6"/>
  <c r="C8" i="6"/>
  <c r="G9" i="6"/>
  <c r="C6" i="6"/>
  <c r="F6" i="6"/>
  <c r="F5" i="9" s="1"/>
  <c r="F11" i="11"/>
  <c r="D11" i="11"/>
  <c r="E29" i="13" l="1"/>
  <c r="C20" i="15"/>
  <c r="C30" i="13"/>
  <c r="E7" i="9"/>
  <c r="E8" i="9"/>
  <c r="F10" i="6"/>
  <c r="AL43" i="5"/>
  <c r="D7" i="7"/>
  <c r="D7" i="8"/>
  <c r="B43" i="5"/>
  <c r="C10" i="6"/>
  <c r="F7" i="7"/>
  <c r="F7" i="8"/>
  <c r="G8" i="9"/>
  <c r="G7" i="9"/>
  <c r="D7" i="6"/>
  <c r="H7" i="6" s="1"/>
  <c r="N40" i="5"/>
  <c r="G7" i="7"/>
  <c r="G7" i="8"/>
  <c r="G10" i="6"/>
  <c r="AX43" i="5"/>
  <c r="D7" i="9"/>
  <c r="D9" i="9" s="1"/>
  <c r="D8" i="9"/>
  <c r="F7" i="9"/>
  <c r="F8" i="9"/>
  <c r="E7" i="6"/>
  <c r="Z40" i="5"/>
  <c r="E26" i="13"/>
  <c r="E25" i="13"/>
  <c r="E30" i="13" s="1"/>
  <c r="E28" i="13"/>
  <c r="E27" i="13"/>
  <c r="F19" i="10"/>
  <c r="E20" i="10"/>
  <c r="E5" i="7" s="1"/>
  <c r="C7" i="7"/>
  <c r="C7" i="8"/>
  <c r="E9" i="9"/>
  <c r="E7" i="7"/>
  <c r="E7" i="8"/>
  <c r="C5" i="9"/>
  <c r="H6" i="6"/>
  <c r="H9" i="6"/>
  <c r="D11" i="9" l="1"/>
  <c r="C13" i="6"/>
  <c r="E10" i="6"/>
  <c r="Z43" i="5"/>
  <c r="D10" i="6"/>
  <c r="N43" i="5"/>
  <c r="G19" i="10"/>
  <c r="G20" i="10" s="1"/>
  <c r="G5" i="7" s="1"/>
  <c r="F20" i="10"/>
  <c r="F5" i="7" s="1"/>
  <c r="F9" i="8"/>
  <c r="F17" i="7"/>
  <c r="G8" i="8"/>
  <c r="G6" i="7"/>
  <c r="F13" i="6"/>
  <c r="F18" i="14" s="1"/>
  <c r="F8" i="8"/>
  <c r="F6" i="7"/>
  <c r="G17" i="7"/>
  <c r="G9" i="8"/>
  <c r="E9" i="8"/>
  <c r="E17" i="7"/>
  <c r="F9" i="9"/>
  <c r="D6" i="7"/>
  <c r="E8" i="8"/>
  <c r="E6" i="7"/>
  <c r="G13" i="6"/>
  <c r="D17" i="7"/>
  <c r="C7" i="9"/>
  <c r="C8" i="9"/>
  <c r="C34" i="14"/>
  <c r="C4" i="15"/>
  <c r="C6" i="15" s="1"/>
  <c r="E11" i="9"/>
  <c r="E10" i="9"/>
  <c r="E23" i="14" s="1"/>
  <c r="G9" i="9"/>
  <c r="H10" i="6"/>
  <c r="C17" i="7" l="1"/>
  <c r="C9" i="8"/>
  <c r="C8" i="8"/>
  <c r="C6" i="7"/>
  <c r="C9" i="9"/>
  <c r="D13" i="6"/>
  <c r="D18" i="14" s="1"/>
  <c r="D9" i="8"/>
  <c r="E13" i="6"/>
  <c r="E18" i="14" s="1"/>
  <c r="F19" i="14"/>
  <c r="F20" i="14" s="1"/>
  <c r="F24" i="14" s="1"/>
  <c r="F26" i="14" s="1"/>
  <c r="F11" i="9"/>
  <c r="F10" i="9"/>
  <c r="F23" i="14" s="1"/>
  <c r="C18" i="14"/>
  <c r="G11" i="9"/>
  <c r="G10" i="9"/>
  <c r="G23" i="14" s="1"/>
  <c r="E16" i="11"/>
  <c r="E12" i="9"/>
  <c r="G18" i="14"/>
  <c r="D8" i="8"/>
  <c r="D16" i="11"/>
  <c r="D12" i="9"/>
  <c r="D19" i="14" l="1"/>
  <c r="D20" i="14" s="1"/>
  <c r="D24" i="14" s="1"/>
  <c r="D26" i="14" s="1"/>
  <c r="H13" i="6"/>
  <c r="C11" i="9"/>
  <c r="C10" i="9"/>
  <c r="C23" i="14" s="1"/>
  <c r="D10" i="9"/>
  <c r="D23" i="14" s="1"/>
  <c r="E19" i="14"/>
  <c r="E20" i="14" s="1"/>
  <c r="E24" i="14" s="1"/>
  <c r="E26" i="14" s="1"/>
  <c r="C20" i="14"/>
  <c r="C24" i="14" s="1"/>
  <c r="C26" i="14" s="1"/>
  <c r="C19" i="14"/>
  <c r="G16" i="11"/>
  <c r="G12" i="9"/>
  <c r="F16" i="11"/>
  <c r="F12" i="9"/>
  <c r="E13" i="9"/>
  <c r="E18" i="11" s="1"/>
  <c r="E16" i="7"/>
  <c r="E20" i="8"/>
  <c r="E21" i="8" s="1"/>
  <c r="E17" i="11"/>
  <c r="D13" i="9"/>
  <c r="D18" i="11" s="1"/>
  <c r="D16" i="7"/>
  <c r="D17" i="11"/>
  <c r="G19" i="14"/>
  <c r="G20" i="14" s="1"/>
  <c r="G24" i="14" s="1"/>
  <c r="C31" i="14" l="1"/>
  <c r="C32" i="14" s="1"/>
  <c r="G26" i="14"/>
  <c r="Y45" i="5"/>
  <c r="Y46" i="5" s="1"/>
  <c r="Y47" i="5" s="1"/>
  <c r="W45" i="5"/>
  <c r="W46" i="5" s="1"/>
  <c r="W47" i="5" s="1"/>
  <c r="X45" i="5"/>
  <c r="X46" i="5" s="1"/>
  <c r="X47" i="5" s="1"/>
  <c r="S45" i="5"/>
  <c r="S46" i="5" s="1"/>
  <c r="S47" i="5" s="1"/>
  <c r="Q45" i="5"/>
  <c r="Q46" i="5" s="1"/>
  <c r="Q47" i="5" s="1"/>
  <c r="U45" i="5"/>
  <c r="U46" i="5" s="1"/>
  <c r="U47" i="5" s="1"/>
  <c r="N45" i="5"/>
  <c r="N46" i="5" s="1"/>
  <c r="O45" i="5"/>
  <c r="O46" i="5" s="1"/>
  <c r="O47" i="5" s="1"/>
  <c r="V45" i="5"/>
  <c r="V46" i="5" s="1"/>
  <c r="V47" i="5" s="1"/>
  <c r="P45" i="5"/>
  <c r="P46" i="5" s="1"/>
  <c r="P47" i="5" s="1"/>
  <c r="R45" i="5"/>
  <c r="R46" i="5" s="1"/>
  <c r="R47" i="5" s="1"/>
  <c r="T45" i="5"/>
  <c r="T46" i="5" s="1"/>
  <c r="T47" i="5" s="1"/>
  <c r="C29" i="14"/>
  <c r="C33" i="14" s="1"/>
  <c r="C16" i="11"/>
  <c r="C12" i="9"/>
  <c r="AH45" i="5"/>
  <c r="AH46" i="5" s="1"/>
  <c r="AH47" i="5" s="1"/>
  <c r="AB45" i="5"/>
  <c r="AB46" i="5" s="1"/>
  <c r="AB47" i="5" s="1"/>
  <c r="AD45" i="5"/>
  <c r="AD46" i="5" s="1"/>
  <c r="AD47" i="5" s="1"/>
  <c r="AF45" i="5"/>
  <c r="AF46" i="5" s="1"/>
  <c r="AF47" i="5" s="1"/>
  <c r="AG45" i="5"/>
  <c r="AG46" i="5" s="1"/>
  <c r="AG47" i="5" s="1"/>
  <c r="AA45" i="5"/>
  <c r="AA46" i="5" s="1"/>
  <c r="AA47" i="5" s="1"/>
  <c r="AE45" i="5"/>
  <c r="AE46" i="5" s="1"/>
  <c r="AE47" i="5" s="1"/>
  <c r="AJ45" i="5"/>
  <c r="AJ46" i="5" s="1"/>
  <c r="AJ47" i="5" s="1"/>
  <c r="AK45" i="5"/>
  <c r="AK46" i="5" s="1"/>
  <c r="AK47" i="5" s="1"/>
  <c r="AI45" i="5"/>
  <c r="AI46" i="5" s="1"/>
  <c r="AI47" i="5" s="1"/>
  <c r="AC45" i="5"/>
  <c r="AC46" i="5" s="1"/>
  <c r="AC47" i="5" s="1"/>
  <c r="Z45" i="5"/>
  <c r="Z46" i="5" s="1"/>
  <c r="F13" i="9"/>
  <c r="F18" i="11" s="1"/>
  <c r="F16" i="7"/>
  <c r="F20" i="8"/>
  <c r="F21" i="8" s="1"/>
  <c r="F17" i="11"/>
  <c r="C8" i="15"/>
  <c r="G16" i="7"/>
  <c r="G17" i="11"/>
  <c r="G20" i="8"/>
  <c r="G21" i="8" s="1"/>
  <c r="G13" i="9"/>
  <c r="G18" i="11" s="1"/>
  <c r="D14" i="6" l="1"/>
  <c r="N47" i="5"/>
  <c r="AW45" i="5"/>
  <c r="AW46" i="5" s="1"/>
  <c r="AW47" i="5" s="1"/>
  <c r="AV45" i="5"/>
  <c r="AV46" i="5" s="1"/>
  <c r="AV47" i="5" s="1"/>
  <c r="AU45" i="5"/>
  <c r="AU46" i="5" s="1"/>
  <c r="AU47" i="5" s="1"/>
  <c r="AM45" i="5"/>
  <c r="AM46" i="5" s="1"/>
  <c r="AM47" i="5" s="1"/>
  <c r="AO45" i="5"/>
  <c r="AO46" i="5" s="1"/>
  <c r="AO47" i="5" s="1"/>
  <c r="AP45" i="5"/>
  <c r="AP46" i="5" s="1"/>
  <c r="AP47" i="5" s="1"/>
  <c r="AR45" i="5"/>
  <c r="AR46" i="5" s="1"/>
  <c r="AR47" i="5" s="1"/>
  <c r="AL45" i="5"/>
  <c r="AL46" i="5" s="1"/>
  <c r="AS45" i="5"/>
  <c r="AS46" i="5" s="1"/>
  <c r="AS47" i="5" s="1"/>
  <c r="AQ45" i="5"/>
  <c r="AQ46" i="5" s="1"/>
  <c r="AQ47" i="5" s="1"/>
  <c r="AN45" i="5"/>
  <c r="AN46" i="5" s="1"/>
  <c r="AN47" i="5" s="1"/>
  <c r="AT45" i="5"/>
  <c r="AT46" i="5" s="1"/>
  <c r="AT47" i="5" s="1"/>
  <c r="E14" i="6"/>
  <c r="Z47" i="5"/>
  <c r="C13" i="9"/>
  <c r="C18" i="11" s="1"/>
  <c r="C16" i="7"/>
  <c r="C20" i="8"/>
  <c r="C21" i="8" s="1"/>
  <c r="C17" i="11"/>
  <c r="D20" i="8"/>
  <c r="D21" i="8" s="1"/>
  <c r="C36" i="14"/>
  <c r="C38" i="14" s="1"/>
  <c r="D12" i="1"/>
  <c r="BF45" i="5"/>
  <c r="BF46" i="5" s="1"/>
  <c r="BF47" i="5" s="1"/>
  <c r="AZ45" i="5"/>
  <c r="AZ46" i="5" s="1"/>
  <c r="AZ47" i="5" s="1"/>
  <c r="BD45" i="5"/>
  <c r="BD46" i="5" s="1"/>
  <c r="BD47" i="5" s="1"/>
  <c r="BE45" i="5"/>
  <c r="BE46" i="5" s="1"/>
  <c r="BE47" i="5" s="1"/>
  <c r="AY45" i="5"/>
  <c r="AY46" i="5" s="1"/>
  <c r="AY47" i="5" s="1"/>
  <c r="BC45" i="5"/>
  <c r="BC46" i="5" s="1"/>
  <c r="BC47" i="5" s="1"/>
  <c r="BI45" i="5"/>
  <c r="BI46" i="5" s="1"/>
  <c r="BI47" i="5" s="1"/>
  <c r="BG45" i="5"/>
  <c r="BG46" i="5" s="1"/>
  <c r="BG47" i="5" s="1"/>
  <c r="BB45" i="5"/>
  <c r="BB46" i="5" s="1"/>
  <c r="BB47" i="5" s="1"/>
  <c r="BH45" i="5"/>
  <c r="BH46" i="5" s="1"/>
  <c r="BH47" i="5" s="1"/>
  <c r="BA45" i="5"/>
  <c r="BA46" i="5" s="1"/>
  <c r="BA47" i="5" s="1"/>
  <c r="AX45" i="5"/>
  <c r="AX46" i="5" s="1"/>
  <c r="D15" i="6" l="1"/>
  <c r="F14" i="6"/>
  <c r="AL47" i="5"/>
  <c r="G14" i="6"/>
  <c r="AX47" i="5"/>
  <c r="E15" i="6"/>
  <c r="B45" i="5"/>
  <c r="B46" i="5" s="1"/>
  <c r="G45" i="5"/>
  <c r="G46" i="5" s="1"/>
  <c r="G47" i="5" s="1"/>
  <c r="J45" i="5"/>
  <c r="J46" i="5" s="1"/>
  <c r="J47" i="5" s="1"/>
  <c r="F45" i="5"/>
  <c r="F46" i="5" s="1"/>
  <c r="F47" i="5" s="1"/>
  <c r="H45" i="5"/>
  <c r="H46" i="5" s="1"/>
  <c r="H47" i="5" s="1"/>
  <c r="I45" i="5"/>
  <c r="I46" i="5" s="1"/>
  <c r="I47" i="5" s="1"/>
  <c r="D45" i="5"/>
  <c r="D46" i="5" s="1"/>
  <c r="D47" i="5" s="1"/>
  <c r="C45" i="5"/>
  <c r="C46" i="5" s="1"/>
  <c r="C47" i="5" s="1"/>
  <c r="M45" i="5"/>
  <c r="M46" i="5" s="1"/>
  <c r="M47" i="5" s="1"/>
  <c r="L45" i="5"/>
  <c r="L46" i="5" s="1"/>
  <c r="L47" i="5" s="1"/>
  <c r="K45" i="5"/>
  <c r="K46" i="5" s="1"/>
  <c r="K47" i="5" s="1"/>
  <c r="E45" i="5"/>
  <c r="E46" i="5" s="1"/>
  <c r="E47" i="5" s="1"/>
  <c r="F15" i="6" l="1"/>
  <c r="C14" i="6"/>
  <c r="H14" i="6" s="1"/>
  <c r="B47" i="5"/>
  <c r="G15" i="6"/>
  <c r="C15" i="6" l="1"/>
  <c r="H15" i="6" s="1"/>
  <c r="B52" i="5"/>
  <c r="C52" i="5" l="1"/>
  <c r="B48" i="5"/>
  <c r="B49" i="5" l="1"/>
  <c r="D52" i="5"/>
  <c r="C48" i="5"/>
  <c r="C49" i="5" s="1"/>
  <c r="B53" i="5" l="1"/>
  <c r="C53" i="5" s="1"/>
  <c r="E52" i="5"/>
  <c r="D48" i="5"/>
  <c r="D49" i="5" s="1"/>
  <c r="F52" i="5" l="1"/>
  <c r="E48" i="5"/>
  <c r="E49" i="5" s="1"/>
  <c r="D53" i="5"/>
  <c r="E53" i="5" l="1"/>
  <c r="G52" i="5"/>
  <c r="F48" i="5"/>
  <c r="F49" i="5" s="1"/>
  <c r="H52" i="5" l="1"/>
  <c r="G48" i="5"/>
  <c r="G49" i="5" s="1"/>
  <c r="F53" i="5"/>
  <c r="G53" i="5" s="1"/>
  <c r="I52" i="5" l="1"/>
  <c r="H48" i="5"/>
  <c r="H49" i="5" s="1"/>
  <c r="H53" i="5" s="1"/>
  <c r="J52" i="5" l="1"/>
  <c r="I48" i="5"/>
  <c r="I49" i="5" s="1"/>
  <c r="I53" i="5" s="1"/>
  <c r="K52" i="5" l="1"/>
  <c r="J48" i="5"/>
  <c r="J49" i="5" s="1"/>
  <c r="J53" i="5" s="1"/>
  <c r="K48" i="5" l="1"/>
  <c r="K49" i="5" s="1"/>
  <c r="K53" i="5" s="1"/>
  <c r="L52" i="5"/>
  <c r="M52" i="5" l="1"/>
  <c r="L48" i="5"/>
  <c r="L49" i="5" s="1"/>
  <c r="L53" i="5" s="1"/>
  <c r="N52" i="5" l="1"/>
  <c r="M48" i="5"/>
  <c r="M49" i="5" l="1"/>
  <c r="C16" i="6"/>
  <c r="O52" i="5"/>
  <c r="N48" i="5"/>
  <c r="N49" i="5" l="1"/>
  <c r="P52" i="5"/>
  <c r="O48" i="5"/>
  <c r="O49" i="5" s="1"/>
  <c r="C17" i="6"/>
  <c r="M53" i="5"/>
  <c r="N53" i="5" s="1"/>
  <c r="O53" i="5" s="1"/>
  <c r="C19" i="6" l="1"/>
  <c r="C5" i="8"/>
  <c r="C10" i="8" s="1"/>
  <c r="C22" i="8" s="1"/>
  <c r="C24" i="8" s="1"/>
  <c r="P48" i="5"/>
  <c r="P49" i="5" s="1"/>
  <c r="P53" i="5" s="1"/>
  <c r="Q52" i="5"/>
  <c r="Q48" i="5" l="1"/>
  <c r="Q49" i="5" s="1"/>
  <c r="Q53" i="5" s="1"/>
  <c r="R52" i="5"/>
  <c r="D23" i="8"/>
  <c r="C8" i="7"/>
  <c r="C9" i="7" s="1"/>
  <c r="C13" i="7"/>
  <c r="C14" i="7" s="1"/>
  <c r="C18" i="7" s="1"/>
  <c r="C19" i="7" l="1"/>
  <c r="S52" i="5"/>
  <c r="R48" i="5"/>
  <c r="R49" i="5" s="1"/>
  <c r="T52" i="5" l="1"/>
  <c r="S48" i="5"/>
  <c r="S49" i="5" s="1"/>
  <c r="R53" i="5"/>
  <c r="U52" i="5" l="1"/>
  <c r="T48" i="5"/>
  <c r="T49" i="5" s="1"/>
  <c r="S53" i="5"/>
  <c r="T53" i="5" s="1"/>
  <c r="V52" i="5" l="1"/>
  <c r="U48" i="5"/>
  <c r="U49" i="5" s="1"/>
  <c r="U53" i="5" s="1"/>
  <c r="W52" i="5" l="1"/>
  <c r="V48" i="5"/>
  <c r="V49" i="5" s="1"/>
  <c r="V53" i="5" s="1"/>
  <c r="W48" i="5" l="1"/>
  <c r="W49" i="5" s="1"/>
  <c r="W53" i="5" s="1"/>
  <c r="X52" i="5"/>
  <c r="Y52" i="5" l="1"/>
  <c r="X48" i="5"/>
  <c r="X49" i="5" s="1"/>
  <c r="X53" i="5" s="1"/>
  <c r="Z52" i="5" l="1"/>
  <c r="Y48" i="5"/>
  <c r="Y49" i="5" l="1"/>
  <c r="D16" i="6"/>
  <c r="AA52" i="5"/>
  <c r="Z48" i="5"/>
  <c r="Z49" i="5" l="1"/>
  <c r="AB52" i="5"/>
  <c r="AA48" i="5"/>
  <c r="AA49" i="5" s="1"/>
  <c r="D17" i="6"/>
  <c r="Y53" i="5"/>
  <c r="Z53" i="5" s="1"/>
  <c r="AA53" i="5" s="1"/>
  <c r="D5" i="8" l="1"/>
  <c r="D10" i="8" s="1"/>
  <c r="D22" i="8" s="1"/>
  <c r="D24" i="8" s="1"/>
  <c r="D19" i="6"/>
  <c r="AC52" i="5"/>
  <c r="AB48" i="5"/>
  <c r="AB49" i="5" s="1"/>
  <c r="AB53" i="5"/>
  <c r="AD52" i="5" l="1"/>
  <c r="AC48" i="5"/>
  <c r="AC49" i="5" s="1"/>
  <c r="D13" i="7"/>
  <c r="D14" i="7" s="1"/>
  <c r="D18" i="7" s="1"/>
  <c r="AC53" i="5"/>
  <c r="E23" i="8"/>
  <c r="D8" i="7"/>
  <c r="D9" i="7" s="1"/>
  <c r="D19" i="7" s="1"/>
  <c r="AE52" i="5" l="1"/>
  <c r="AD48" i="5"/>
  <c r="AD49" i="5" l="1"/>
  <c r="AD53" i="5" s="1"/>
  <c r="AF52" i="5"/>
  <c r="AE48" i="5"/>
  <c r="AE49" i="5" s="1"/>
  <c r="AG52" i="5" l="1"/>
  <c r="AF48" i="5"/>
  <c r="AF49" i="5" s="1"/>
  <c r="AE53" i="5"/>
  <c r="AF53" i="5" s="1"/>
  <c r="AH52" i="5" l="1"/>
  <c r="AG48" i="5"/>
  <c r="AG49" i="5" s="1"/>
  <c r="AG53" i="5" s="1"/>
  <c r="AI52" i="5" l="1"/>
  <c r="AH48" i="5"/>
  <c r="AH49" i="5" s="1"/>
  <c r="AH53" i="5" s="1"/>
  <c r="AI48" i="5" l="1"/>
  <c r="AI49" i="5" s="1"/>
  <c r="AI53" i="5" s="1"/>
  <c r="AJ52" i="5"/>
  <c r="AJ48" i="5" l="1"/>
  <c r="AJ49" i="5" s="1"/>
  <c r="AJ53" i="5" s="1"/>
  <c r="AK52" i="5"/>
  <c r="AK48" i="5" l="1"/>
  <c r="AL52" i="5"/>
  <c r="AM52" i="5" l="1"/>
  <c r="AL48" i="5"/>
  <c r="AK49" i="5"/>
  <c r="E16" i="6"/>
  <c r="AL49" i="5" l="1"/>
  <c r="E17" i="6"/>
  <c r="AK53" i="5"/>
  <c r="AL53" i="5" s="1"/>
  <c r="AN52" i="5"/>
  <c r="AM48" i="5"/>
  <c r="AM49" i="5" s="1"/>
  <c r="AO52" i="5" l="1"/>
  <c r="AN48" i="5"/>
  <c r="AN49" i="5" s="1"/>
  <c r="AM53" i="5"/>
  <c r="AN53" i="5" s="1"/>
  <c r="E5" i="8"/>
  <c r="E10" i="8" s="1"/>
  <c r="E22" i="8" s="1"/>
  <c r="E24" i="8" s="1"/>
  <c r="E19" i="6"/>
  <c r="F23" i="8" l="1"/>
  <c r="E8" i="7"/>
  <c r="E9" i="7" s="1"/>
  <c r="E13" i="7"/>
  <c r="E14" i="7" s="1"/>
  <c r="E18" i="7" s="1"/>
  <c r="AP52" i="5"/>
  <c r="AO48" i="5"/>
  <c r="AQ52" i="5" l="1"/>
  <c r="AP48" i="5"/>
  <c r="AP49" i="5" s="1"/>
  <c r="AO49" i="5"/>
  <c r="E19" i="7"/>
  <c r="AO53" i="5" l="1"/>
  <c r="AP53" i="5" s="1"/>
  <c r="AR52" i="5"/>
  <c r="AQ48" i="5"/>
  <c r="AQ49" i="5" s="1"/>
  <c r="AS52" i="5" l="1"/>
  <c r="AR48" i="5"/>
  <c r="AR49" i="5" s="1"/>
  <c r="AQ53" i="5"/>
  <c r="AR53" i="5" l="1"/>
  <c r="AT52" i="5"/>
  <c r="AS48" i="5"/>
  <c r="AS49" i="5" s="1"/>
  <c r="AU52" i="5" l="1"/>
  <c r="AT48" i="5"/>
  <c r="AT49" i="5" s="1"/>
  <c r="AS53" i="5"/>
  <c r="AT53" i="5" s="1"/>
  <c r="AU48" i="5" l="1"/>
  <c r="AU49" i="5" s="1"/>
  <c r="AU53" i="5" s="1"/>
  <c r="AV52" i="5"/>
  <c r="AW52" i="5" l="1"/>
  <c r="AV48" i="5"/>
  <c r="AV49" i="5" s="1"/>
  <c r="AV53" i="5" s="1"/>
  <c r="AX52" i="5" l="1"/>
  <c r="AW48" i="5"/>
  <c r="AW49" i="5" l="1"/>
  <c r="F16" i="6"/>
  <c r="AY52" i="5"/>
  <c r="AX48" i="5"/>
  <c r="AX49" i="5" l="1"/>
  <c r="AZ52" i="5"/>
  <c r="AY48" i="5"/>
  <c r="AY49" i="5" s="1"/>
  <c r="F17" i="6"/>
  <c r="AW53" i="5"/>
  <c r="AX53" i="5" s="1"/>
  <c r="F5" i="8" l="1"/>
  <c r="F10" i="8" s="1"/>
  <c r="F22" i="8" s="1"/>
  <c r="F24" i="8" s="1"/>
  <c r="F19" i="6"/>
  <c r="AZ48" i="5"/>
  <c r="AZ49" i="5" s="1"/>
  <c r="BA52" i="5"/>
  <c r="AY53" i="5"/>
  <c r="AZ53" i="5" s="1"/>
  <c r="BA48" i="5" l="1"/>
  <c r="BB52" i="5"/>
  <c r="F13" i="7"/>
  <c r="F14" i="7" s="1"/>
  <c r="F18" i="7" s="1"/>
  <c r="G23" i="8"/>
  <c r="F8" i="7"/>
  <c r="F9" i="7" s="1"/>
  <c r="F19" i="7" l="1"/>
  <c r="BC52" i="5"/>
  <c r="BB48" i="5"/>
  <c r="BB49" i="5" s="1"/>
  <c r="BA49" i="5"/>
  <c r="BA53" i="5" l="1"/>
  <c r="BB53" i="5" s="1"/>
  <c r="BD52" i="5"/>
  <c r="BC48" i="5"/>
  <c r="BC49" i="5" s="1"/>
  <c r="BE52" i="5" l="1"/>
  <c r="BD48" i="5"/>
  <c r="BD49" i="5" s="1"/>
  <c r="BC53" i="5"/>
  <c r="BD53" i="5" s="1"/>
  <c r="BF52" i="5" l="1"/>
  <c r="BE48" i="5"/>
  <c r="BE49" i="5" s="1"/>
  <c r="BE53" i="5" s="1"/>
  <c r="BG52" i="5" l="1"/>
  <c r="BF48" i="5"/>
  <c r="BF49" i="5" s="1"/>
  <c r="BF53" i="5" s="1"/>
  <c r="BG48" i="5" l="1"/>
  <c r="BG49" i="5" s="1"/>
  <c r="BG53" i="5" s="1"/>
  <c r="BH52" i="5"/>
  <c r="BI52" i="5" l="1"/>
  <c r="BI48" i="5" s="1"/>
  <c r="BH48" i="5"/>
  <c r="BH49" i="5" s="1"/>
  <c r="BH53" i="5" s="1"/>
  <c r="BI49" i="5" l="1"/>
  <c r="G17" i="6" s="1"/>
  <c r="G16" i="6"/>
  <c r="H16" i="6" s="1"/>
  <c r="G5" i="8" l="1"/>
  <c r="G10" i="8" s="1"/>
  <c r="G22" i="8" s="1"/>
  <c r="G24" i="8" s="1"/>
  <c r="H17" i="6"/>
  <c r="C40" i="15"/>
  <c r="D15" i="1" s="1"/>
  <c r="G19" i="6"/>
  <c r="BI53" i="5"/>
  <c r="G13" i="7" l="1"/>
  <c r="G14" i="7" s="1"/>
  <c r="H15" i="1"/>
  <c r="C9" i="15"/>
  <c r="C10" i="15" s="1"/>
  <c r="G8" i="7"/>
  <c r="G9" i="7" s="1"/>
  <c r="G34" i="15"/>
  <c r="F32" i="15"/>
  <c r="F33" i="15"/>
  <c r="E34" i="15"/>
  <c r="G33" i="15"/>
  <c r="G32" i="15"/>
  <c r="E33" i="15"/>
  <c r="D34" i="15"/>
  <c r="D32" i="15"/>
  <c r="F34" i="15"/>
  <c r="E32" i="15"/>
  <c r="D33" i="15"/>
  <c r="F17" i="15" l="1"/>
  <c r="F16" i="15"/>
  <c r="F19" i="15"/>
  <c r="G19" i="15" s="1"/>
  <c r="F18" i="15"/>
  <c r="F20" i="15"/>
  <c r="G20" i="15" s="1"/>
  <c r="H20" i="15" s="1"/>
  <c r="D27" i="15" s="1"/>
  <c r="F27" i="15" s="1"/>
  <c r="G18" i="7"/>
  <c r="G19" i="7" s="1"/>
  <c r="F15" i="1"/>
  <c r="C39" i="15"/>
  <c r="C38" i="15"/>
  <c r="H19" i="15" l="1"/>
  <c r="D26" i="15" s="1"/>
  <c r="F26" i="15" s="1"/>
  <c r="H12" i="1" s="1"/>
  <c r="D21" i="15"/>
  <c r="E21" i="15" s="1"/>
  <c r="C21" i="15"/>
  <c r="H17" i="15" l="1"/>
  <c r="D28" i="15" s="1"/>
  <c r="F28" i="15" s="1"/>
  <c r="H16" i="15"/>
  <c r="H22" i="15" s="1"/>
  <c r="H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300-000001000000}">
      <text>
        <r>
          <rPr>
            <sz val="10"/>
            <rFont val="Arial"/>
            <family val="2"/>
          </rPr>
          <t>Months 1–3 civil &amp; commissioning; revenue from month 4.</t>
        </r>
      </text>
    </comment>
    <comment ref="C50" authorId="0" shapeId="0" xr:uid="{00000000-0006-0000-0300-000002000000}">
      <text>
        <r>
          <rPr>
            <sz val="10"/>
            <rFont val="Arial"/>
            <family val="2"/>
          </rPr>
          <t>Repo held 5.25% (RBI MPC Jun-2026); MSME term loans ≈ 9.5–11%.</t>
        </r>
      </text>
    </comment>
    <comment ref="C53" authorId="0" shapeId="0" xr:uid="{00000000-0006-0000-0300-000003000000}">
      <text>
        <r>
          <rPr>
            <sz val="10"/>
            <rFont val="Arial"/>
            <family val="2"/>
          </rPr>
          <t>115BAB 15% (eff 17.16%) lapsed for units commencing after 31-Mar-2024; greenfield uses 115BAA.</t>
        </r>
      </text>
    </comment>
  </commentList>
</comments>
</file>

<file path=xl/sharedStrings.xml><?xml version="1.0" encoding="utf-8"?>
<sst xmlns="http://schemas.openxmlformats.org/spreadsheetml/2006/main" count="601" uniqueCount="481">
  <si>
    <t>MANUFACTURING PLANT — 5-YEAR FINANCIAL MODEL</t>
  </si>
  <si>
    <t>BLANK TEMPLATE — Institutional VC Financial Model  ·  fill the yellow cells and every sheet updates</t>
  </si>
  <si>
    <t>Three-statement model · cap table · DCF · exit waterfall · scenario engine  ·  ₹ Lakh (1 Cr = 100 Lakh)</t>
  </si>
  <si>
    <t>▶  HOW TO USE:  enter your numbers in every YELLOW cell (Assumptions first, then Funding, Fixed Assets, Cap Table, DCF).  All production, sales, expenses, profit, statements, cap table, DCF and returns recalculate automatically.</t>
  </si>
  <si>
    <t>Change the case on the Scenario Manager tab (cell C4).</t>
  </si>
  <si>
    <t>Round size</t>
  </si>
  <si>
    <t>Post-money</t>
  </si>
  <si>
    <t>VC ownership (this round)</t>
  </si>
  <si>
    <t>FY5 revenue</t>
  </si>
  <si>
    <t>FY5 EBITDA %</t>
  </si>
  <si>
    <t>DCF enterprise value</t>
  </si>
  <si>
    <t>WACC</t>
  </si>
  <si>
    <t>VC gross IRR</t>
  </si>
  <si>
    <t>VC MOIC</t>
  </si>
  <si>
    <t>Payback (yrs)</t>
  </si>
  <si>
    <t>Net worth FY5</t>
  </si>
  <si>
    <t>5-yr PAT</t>
  </si>
  <si>
    <t>WORKBOOK MAP</t>
  </si>
  <si>
    <t>•  Scenario Manager — one switch drives Base/Upside/Downside through the whole model.</t>
  </si>
  <si>
    <t>•  Assumptions — every blue driver with a live source link.</t>
  </si>
  <si>
    <t>•  Monthly Model — 60-month engine (production→sales→cost→profit).</t>
  </si>
  <si>
    <t>•  Annual P&amp;L / Balance Sheet / Cash Flow — three fully-linked, tied statements.</t>
  </si>
  <si>
    <t>•  Working Capital · Fixed Assets · Debt · Funding — supporting schedules.</t>
  </si>
  <si>
    <t>•  Cap Table — Seed→Series A→Series B rounds, ESOP, dilution &amp; ownership.</t>
  </si>
  <si>
    <t>•  DCF Valuation — WACC build, FCFF, terminal value → enterprise &amp; equity value.</t>
  </si>
  <si>
    <t>•  Returns &amp; Waterfall — exit, 1× liquidation preference, MOIC/IRR, sensitivity.</t>
  </si>
  <si>
    <t>Illustrative model on public benchmarks (RBI, MoSPI, CBIC, Income-tax Act, CERC, CCIL). Not investment advice or an audited forecast — replace the illustrative product/capacity with your plant data and have terms reviewed before circulation.</t>
  </si>
  <si>
    <t>FEASIBILITY MODEL — HOW TO USE THIS TEMPLATE</t>
  </si>
  <si>
    <t>A blank, fully-linked 5-year (60-month) VC feasibility model. Enter your numbers once in the yellow cells; production, sales, expenses, profit, the three financial statements, cap table, DCF and investor returns all update automatically.</t>
  </si>
  <si>
    <t>1 · COLOUR LEGEND</t>
  </si>
  <si>
    <t>Yellow fill</t>
  </si>
  <si>
    <t>enter your value here (this is an input)</t>
  </si>
  <si>
    <t>Green text</t>
  </si>
  <si>
    <t>a live link — pulls from another sheet / the Scenario Manager (do not edit)</t>
  </si>
  <si>
    <t>Black text</t>
  </si>
  <si>
    <t>an automated formula (do not edit)</t>
  </si>
  <si>
    <t>Grey italic</t>
  </si>
  <si>
    <t>a note, source link or memo</t>
  </si>
  <si>
    <t>2 · FILL ORDER  (do these in sequence)</t>
  </si>
  <si>
    <t>Step 1 — Scenario Manager</t>
  </si>
  <si>
    <t xml:space="preserve">   Set the active case in cell C4 (1=Base, 2=Upside, 3=Downside). Fill the Base column of swing drivers; Upside/Downside are optional.</t>
  </si>
  <si>
    <t>Step 2 — Assumptions</t>
  </si>
  <si>
    <t xml:space="preserve">   Fill every yellow cell: timing, capacity &amp; utilisation, pricing, raw-material &amp; cost %, energy, manpower, other opex, financing, tax and working-capital days.</t>
  </si>
  <si>
    <t>Step 3 — Funding</t>
  </si>
  <si>
    <t xml:space="preserve">   Enter the Sources &amp; Uses amounts (capex line items, promoter &amp; VC equity, term loan).</t>
  </si>
  <si>
    <t>Step 4 — Fixed Assets</t>
  </si>
  <si>
    <t xml:space="preserve">   Enter the useful life (years) for each asset class — this drives depreciation.</t>
  </si>
  <si>
    <t>Step 5 — Cap Table</t>
  </si>
  <si>
    <t xml:space="preserve">   Enter founder shares, ESOP %, and each round’s investment &amp; pre-money (Seed, Series A, projected Series B).</t>
  </si>
  <si>
    <t>Step 6 — DCF Valuation</t>
  </si>
  <si>
    <t xml:space="preserve">   Enter risk-free rate, equity risk premium, beta, target equity weight and terminal growth.</t>
  </si>
  <si>
    <t>Step 7 — Returns &amp; Waterfall</t>
  </si>
  <si>
    <t xml:space="preserve">   Enter liquidation-preference multiples and the exit multiples for the sensitivity grid.</t>
  </si>
  <si>
    <t>3 · WHAT EACH SHEET DOES</t>
  </si>
  <si>
    <t>Cover</t>
  </si>
  <si>
    <t>KPI dashboard + charts (auto-populated).</t>
  </si>
  <si>
    <t>Scenario Manager</t>
  </si>
  <si>
    <t>One switch drives Base / Upside / Downside through the whole model.</t>
  </si>
  <si>
    <t>Assumptions</t>
  </si>
  <si>
    <t>All operating drivers, each with a live source link.</t>
  </si>
  <si>
    <t>Monthly Model</t>
  </si>
  <si>
    <t>The 60-month engine: production → sales → cost → profit.</t>
  </si>
  <si>
    <t>Annual P&amp;L</t>
  </si>
  <si>
    <t>Yearly P&amp;L, aggregated from the monthly engine.</t>
  </si>
  <si>
    <t>Balance Sheet</t>
  </si>
  <si>
    <t>Annual balance sheet (auto-ties: check row = 0).</t>
  </si>
  <si>
    <t>Cash Flow</t>
  </si>
  <si>
    <t>Indirect-method cash flow; closing cash feeds the balance sheet.</t>
  </si>
  <si>
    <t>Working Capital</t>
  </si>
  <si>
    <t>Debtor / inventory / creditor build and WC finance.</t>
  </si>
  <si>
    <t>Fixed Assets</t>
  </si>
  <si>
    <t>Depreciation schedule and net-block roll-forward.</t>
  </si>
  <si>
    <t>Debt Schedule</t>
  </si>
  <si>
    <t>Term-loan amortisation + working-capital interest.</t>
  </si>
  <si>
    <t>Funding</t>
  </si>
  <si>
    <t>Sources &amp; uses of funds.</t>
  </si>
  <si>
    <t>Cap Table</t>
  </si>
  <si>
    <t>Rounds, ESOP, price/share, dilution and ownership.</t>
  </si>
  <si>
    <t>DCF Valuation</t>
  </si>
  <si>
    <t>WACC build → FCFF → terminal value → enterprise &amp; equity value.</t>
  </si>
  <si>
    <t>Returns &amp; Waterfall</t>
  </si>
  <si>
    <t>Exit, 1× liquidation preference, MOIC / IRR and sensitivity.</t>
  </si>
  <si>
    <t>4 · CONVENTIONS &amp; NOTES</t>
  </si>
  <si>
    <t>•  Monetary figures are in ₹ Lakh (1 Crore = 100 Lakh). Per-unit rates (₹/unit, ₹/kWh, ₹/month) are in actual ₹.</t>
  </si>
  <si>
    <t>•  The financial year runs April–March (Indian FY). Month 1 = the first month after funding close.</t>
  </si>
  <si>
    <t>•  Empty inputs deliberately show 0 (not errors); values appear as you fill the yellow cells.</t>
  </si>
  <si>
    <t>•  The product names, location and sheet labels are placeholders — rename them to your plant and products.</t>
  </si>
  <si>
    <t>•  Source links point to issuing authorities (RBI, MoSPI, CBIC, Income-tax, CERC, CCIL); values are as-of their dates and refreshed manually.</t>
  </si>
  <si>
    <t>•  Illustrative model — not investment advice or an audited forecast. Have terms and figures reviewed before circulating to investors.</t>
  </si>
  <si>
    <t>SCENARIO MANAGER</t>
  </si>
  <si>
    <t>Set the active case in the yellow cell. Base / Upside / Downside flow through the entire model via CHOOSE().</t>
  </si>
  <si>
    <t>Active scenario (1=Base, 2=Upside, 3=Downside)</t>
  </si>
  <si>
    <t>Swing driver</t>
  </si>
  <si>
    <t>Base</t>
  </si>
  <si>
    <t>Upside</t>
  </si>
  <si>
    <t>Downside</t>
  </si>
  <si>
    <t>ACTIVE</t>
  </si>
  <si>
    <t>Utilisation – steady ceiling</t>
  </si>
  <si>
    <t>Utilisation – monthly step-up</t>
  </si>
  <si>
    <t>Annual price escalation</t>
  </si>
  <si>
    <t>RM – Product A (% rev)</t>
  </si>
  <si>
    <t>RM – Product B (% rev)</t>
  </si>
  <si>
    <t>Exit EV/EBITDA multiple</t>
  </si>
  <si>
    <t>Downside also implicitly stresses volume (lower ceiling &amp; slower ramp) and margins (higher RM).</t>
  </si>
  <si>
    <t>ASSUMPTIONS  —  Manufacturing Plant (5-Year Model)</t>
  </si>
  <si>
    <t>BLANK TEMPLATE — enter values only in the YELLOW cells below.  Green cells are linked to the Scenario Manager; black cells are formulas.  Monetary flows in ₹ Lakh (1 Cr = 100 Lakh); rates in actual ₹.</t>
  </si>
  <si>
    <t>Assumption</t>
  </si>
  <si>
    <t>Value</t>
  </si>
  <si>
    <t>Unit</t>
  </si>
  <si>
    <t>Basis / live source</t>
  </si>
  <si>
    <t>1. TIMING &amp; CALENDAR</t>
  </si>
  <si>
    <t>Model start (FY begins Apr)</t>
  </si>
  <si>
    <t>date</t>
  </si>
  <si>
    <t>Indian FY Apr–Mar</t>
  </si>
  <si>
    <t>Commercial production starts in month</t>
  </si>
  <si>
    <t>month #</t>
  </si>
  <si>
    <t>Greenfield gestation ≈ 3 months</t>
  </si>
  <si>
    <t>Projection horizon</t>
  </si>
  <si>
    <t>months</t>
  </si>
  <si>
    <t>5 years × 12</t>
  </si>
  <si>
    <t>2. CAPACITY &amp; UTILISATION</t>
  </si>
  <si>
    <t>Product A – installed capacity</t>
  </si>
  <si>
    <t>units/mo</t>
  </si>
  <si>
    <t>Primary product line</t>
  </si>
  <si>
    <t>Product B – installed capacity</t>
  </si>
  <si>
    <t>Secondary product line</t>
  </si>
  <si>
    <t>Utilisation – opening (month 4)</t>
  </si>
  <si>
    <t>% cap</t>
  </si>
  <si>
    <t>Greenfield ramp start</t>
  </si>
  <si>
    <t>ppt/mo</t>
  </si>
  <si>
    <t>← Scenario Manager</t>
  </si>
  <si>
    <t>3. PRICING (net of GST)</t>
  </si>
  <si>
    <t>Product A – realisation</t>
  </si>
  <si>
    <t>₹/unit</t>
  </si>
  <si>
    <t>Net selling price ex-GST</t>
  </si>
  <si>
    <t>Product B – realisation</t>
  </si>
  <si>
    <t>%/yr</t>
  </si>
  <si>
    <t>GST on output (info)</t>
  </si>
  <si>
    <t>%</t>
  </si>
  <si>
    <t>CBIC – GST rate schedule</t>
  </si>
  <si>
    <t>4. RAW MATERIAL &amp; DIRECT COST</t>
  </si>
  <si>
    <t>RM – Product A (% of A rev)</t>
  </si>
  <si>
    <t>% rev</t>
  </si>
  <si>
    <t>RM – Product B (% of B rev)</t>
  </si>
  <si>
    <t>RM efficiency gain</t>
  </si>
  <si>
    <t>/yr</t>
  </si>
  <si>
    <t>Scale procurement + yield</t>
  </si>
  <si>
    <t>Consumables &amp; tooling</t>
  </si>
  <si>
    <t>Inserts, coolant, perishables</t>
  </si>
  <si>
    <t>Energy intensity – Product A</t>
  </si>
  <si>
    <t>kWh/unit</t>
  </si>
  <si>
    <t>Machining energy/part</t>
  </si>
  <si>
    <t>Energy intensity – Product B</t>
  </si>
  <si>
    <t>Larger part / more ops</t>
  </si>
  <si>
    <t>Power tariff (HT industrial)</t>
  </si>
  <si>
    <t>₹/kWh</t>
  </si>
  <si>
    <t>Electricity regulator (SERC/CERC) tariff order</t>
  </si>
  <si>
    <t>Power tariff escalation</t>
  </si>
  <si>
    <t>Fuel-surcharge linked</t>
  </si>
  <si>
    <t>5. MANPOWER</t>
  </si>
  <si>
    <t>Direct labour – FY1</t>
  </si>
  <si>
    <t>persons</t>
  </si>
  <si>
    <t>Ramp-linked</t>
  </si>
  <si>
    <t>Direct labour – FY2</t>
  </si>
  <si>
    <t>Direct labour – FY3</t>
  </si>
  <si>
    <t>Direct labour – FY4</t>
  </si>
  <si>
    <t>Direct labour – FY5</t>
  </si>
  <si>
    <t>Average direct wage</t>
  </si>
  <si>
    <t>₹/mo</t>
  </si>
  <si>
    <t>Above statutory minimum wage (skilled) – CLC</t>
  </si>
  <si>
    <t>Indirect + admin – FY1</t>
  </si>
  <si>
    <t>Supervisors, QA, admin</t>
  </si>
  <si>
    <t>Indirect + admin – FY2</t>
  </si>
  <si>
    <t>Indirect + admin – FY3</t>
  </si>
  <si>
    <t>Indirect + admin – FY4</t>
  </si>
  <si>
    <t>Indirect + admin – FY5</t>
  </si>
  <si>
    <t>Average indirect salary</t>
  </si>
  <si>
    <t>Wage / salary escalation</t>
  </si>
  <si>
    <t>Above CPI (labour market) – MoSPI</t>
  </si>
  <si>
    <t>6. OTHER OPERATING COST (₹ Lakh)</t>
  </si>
  <si>
    <t>Factory rent &amp; lease</t>
  </si>
  <si>
    <t>₹L/mo</t>
  </si>
  <si>
    <t>Leased shed (asset-light)</t>
  </si>
  <si>
    <t>Rent escalation</t>
  </si>
  <si>
    <t>Lease step-up</t>
  </si>
  <si>
    <t>Maintenance (% of P&amp;M/yr)</t>
  </si>
  <si>
    <t>% p.a.</t>
  </si>
  <si>
    <t>Preventive + spares</t>
  </si>
  <si>
    <t>Selling &amp; distribution</t>
  </si>
  <si>
    <t>Freight, marketing, commission</t>
  </si>
  <si>
    <t>Administrative &amp; other</t>
  </si>
  <si>
    <t>Insurance, IT, travel, prof.</t>
  </si>
  <si>
    <t>Admin escalation</t>
  </si>
  <si>
    <t>7. FINANCING &amp; TAX</t>
  </si>
  <si>
    <t>Term-loan interest</t>
  </si>
  <si>
    <t>RBI repo 5.25% + MSME spread</t>
  </si>
  <si>
    <t>Working-capital loan interest</t>
  </si>
  <si>
    <t>CC/OD pricing</t>
  </si>
  <si>
    <t>Bank WC funding (% of gap)</t>
  </si>
  <si>
    <t>% gap</t>
  </si>
  <si>
    <t>25% margin from equity</t>
  </si>
  <si>
    <t>Effective corporate tax rate</t>
  </si>
  <si>
    <t>115BAA 22%+10% surcharge+4% cess</t>
  </si>
  <si>
    <t>8. WORKING CAPITAL (days)</t>
  </si>
  <si>
    <t>Debtor days</t>
  </si>
  <si>
    <t>days</t>
  </si>
  <si>
    <t>OEM/Tier-1 terms</t>
  </si>
  <si>
    <t>Inventory days</t>
  </si>
  <si>
    <t>RM+WIP+FG</t>
  </si>
  <si>
    <t>Creditor days</t>
  </si>
  <si>
    <t>Supplier credit</t>
  </si>
  <si>
    <t>Source links point to issuing authorities (RBI, MoSPI, CBIC, CERC, Income-tax); values as-of dates noted, refreshed manually. Connect Excel data types / Power Query to auto-refresh.</t>
  </si>
  <si>
    <t>MONTHLY OPERATING MODEL — 60 Months (₹ figures in ₹ Lakh)</t>
  </si>
  <si>
    <t>Production → Sales → Cost → Profit. Every cell is a live formula linked to Assumptions &amp; Scenario Manager.</t>
  </si>
  <si>
    <t>Fiscal Year</t>
  </si>
  <si>
    <t>Month #</t>
  </si>
  <si>
    <t>Month</t>
  </si>
  <si>
    <t>PRODUCTION</t>
  </si>
  <si>
    <t>Capacity utilisation (%)</t>
  </si>
  <si>
    <t>Product A – production (units)</t>
  </si>
  <si>
    <t>Product B – production (units)</t>
  </si>
  <si>
    <t>Total production (units)</t>
  </si>
  <si>
    <t>SALES &amp; REVENUE</t>
  </si>
  <si>
    <t>Product A – units sold</t>
  </si>
  <si>
    <t>Product B – units sold</t>
  </si>
  <si>
    <t>Product A – realisation (₹/unit)</t>
  </si>
  <si>
    <t>Product B – realisation (₹/unit)</t>
  </si>
  <si>
    <t>Product A – revenue</t>
  </si>
  <si>
    <t>Product B – revenue</t>
  </si>
  <si>
    <t>Net revenue</t>
  </si>
  <si>
    <t>DIRECT / VARIABLE COST</t>
  </si>
  <si>
    <t>Raw material – Product A</t>
  </si>
  <si>
    <t>Raw material – Product B</t>
  </si>
  <si>
    <t>Power &amp; fuel</t>
  </si>
  <si>
    <t>Direct labour</t>
  </si>
  <si>
    <t>Total direct cost</t>
  </si>
  <si>
    <t>Gross profit</t>
  </si>
  <si>
    <t>Gross margin (%)</t>
  </si>
  <si>
    <t>OPERATING EXPENSES</t>
  </si>
  <si>
    <t>Employee cost (indirect &amp; admin)</t>
  </si>
  <si>
    <t>Repairs &amp; maintenance</t>
  </si>
  <si>
    <t>Total operating expenses</t>
  </si>
  <si>
    <t>EBITDA</t>
  </si>
  <si>
    <t>EBITDA margin (%)</t>
  </si>
  <si>
    <t>Depreciation &amp; amortisation</t>
  </si>
  <si>
    <t>EBIT</t>
  </si>
  <si>
    <t>Finance cost – term loan</t>
  </si>
  <si>
    <t>Finance cost – working capital</t>
  </si>
  <si>
    <t>Total finance cost</t>
  </si>
  <si>
    <t>Profit before tax</t>
  </si>
  <si>
    <t>Tax expense</t>
  </si>
  <si>
    <t>Profit after tax (PAT)</t>
  </si>
  <si>
    <t>PAT margin (%)</t>
  </si>
  <si>
    <t>Memo: Cumulative PBT</t>
  </si>
  <si>
    <t>Memo: Cumulative PAT</t>
  </si>
  <si>
    <t>ANNUAL PROFIT &amp; LOSS (₹ Lakh)</t>
  </si>
  <si>
    <t>Auto-aggregated from the 60-month engine. FY0 = funding/commissioning; FY1 is a partial ramp year.</t>
  </si>
  <si>
    <t>₹ Lakh</t>
  </si>
  <si>
    <t>FY0</t>
  </si>
  <si>
    <t>FY1</t>
  </si>
  <si>
    <t>FY2</t>
  </si>
  <si>
    <t>FY3</t>
  </si>
  <si>
    <t>FY4</t>
  </si>
  <si>
    <t>FY5</t>
  </si>
  <si>
    <t>5-yr total</t>
  </si>
  <si>
    <t xml:space="preserve">   Revenue growth %</t>
  </si>
  <si>
    <t>-</t>
  </si>
  <si>
    <t>Direct / variable cost</t>
  </si>
  <si>
    <t xml:space="preserve">   Gross margin %</t>
  </si>
  <si>
    <t>Operating expenses</t>
  </si>
  <si>
    <t xml:space="preserve">   EBITDA margin %</t>
  </si>
  <si>
    <t>Finance cost</t>
  </si>
  <si>
    <t xml:space="preserve">   PAT margin %</t>
  </si>
  <si>
    <t>Cumulative PAT</t>
  </si>
  <si>
    <t>BALANCE SHEET (₹ Lakh)</t>
  </si>
  <si>
    <t>As at year-end</t>
  </si>
  <si>
    <t>ASSETS</t>
  </si>
  <si>
    <t>Net fixed assets</t>
  </si>
  <si>
    <t>Inventory</t>
  </si>
  <si>
    <t>Trade debtors</t>
  </si>
  <si>
    <t>Cash &amp; bank</t>
  </si>
  <si>
    <t>Total assets</t>
  </si>
  <si>
    <t>EQUITY &amp; LIABILITIES</t>
  </si>
  <si>
    <t>Equity share capital &amp; premium</t>
  </si>
  <si>
    <t>Reserves &amp; surplus (retained earnings)</t>
  </si>
  <si>
    <t>Net worth</t>
  </si>
  <si>
    <t>Term loan</t>
  </si>
  <si>
    <t>Working-capital loan</t>
  </si>
  <si>
    <t>Trade creditors</t>
  </si>
  <si>
    <t>Total equity &amp; liabilities</t>
  </si>
  <si>
    <t>Balance check (assets − E&amp;L)</t>
  </si>
  <si>
    <t>Cash is drawn from the Cash-Flow statement; the check row confirms the three statements tie (≈ 0).</t>
  </si>
  <si>
    <t>CASH-FLOW STATEMENT (indirect method, ₹ Lakh)</t>
  </si>
  <si>
    <t>OPERATING ACTIVITIES</t>
  </si>
  <si>
    <t>Profit after tax</t>
  </si>
  <si>
    <t>Add: depreciation &amp; amortisation</t>
  </si>
  <si>
    <t>(Increase)/decrease in debtors</t>
  </si>
  <si>
    <t>(Increase)/decrease in inventory</t>
  </si>
  <si>
    <t>Increase/(decrease) in creditors</t>
  </si>
  <si>
    <t>Net cash from operations</t>
  </si>
  <si>
    <t>INVESTING ACTIVITIES</t>
  </si>
  <si>
    <t>Capital expenditure</t>
  </si>
  <si>
    <t>Net cash from investing</t>
  </si>
  <si>
    <t>FINANCING ACTIVITIES</t>
  </si>
  <si>
    <t>Equity raised</t>
  </si>
  <si>
    <t>Term loan drawn</t>
  </si>
  <si>
    <t>Term loan principal repaid</t>
  </si>
  <si>
    <t>Increase/(decrease) in WC loan</t>
  </si>
  <si>
    <t>Net cash from financing</t>
  </si>
  <si>
    <t>Net change in cash</t>
  </si>
  <si>
    <t>Opening cash</t>
  </si>
  <si>
    <t>Closing cash</t>
  </si>
  <si>
    <t>WORKING CAPITAL SCHEDULE (₹ Lakh)</t>
  </si>
  <si>
    <t>Particulars</t>
  </si>
  <si>
    <t>Direct cost</t>
  </si>
  <si>
    <t>Debtors</t>
  </si>
  <si>
    <t>Creditors</t>
  </si>
  <si>
    <t>Net working capital (operating)</t>
  </si>
  <si>
    <t>Change in net working capital</t>
  </si>
  <si>
    <t>WC gap funded by bank + margin</t>
  </si>
  <si>
    <t>Bank WC loan (drawn)</t>
  </si>
  <si>
    <t>WC interest</t>
  </si>
  <si>
    <t>Bank funds 75% of the operating WC gap; the 25% margin is met from equity (margin-money line in Funding).</t>
  </si>
  <si>
    <t>FIXED ASSETS &amp; DEPRECIATION (₹ Lakh)</t>
  </si>
  <si>
    <t>DEPRECIATION RATE SCHEDULE (straight-line, Companies Act Sch. II basis)</t>
  </si>
  <si>
    <t>Asset</t>
  </si>
  <si>
    <t>Cost</t>
  </si>
  <si>
    <t>Life (yrs)</t>
  </si>
  <si>
    <t>Annual dep.</t>
  </si>
  <si>
    <t>Plant &amp; machinery (incl. contingency)</t>
  </si>
  <si>
    <t>Utilities &amp; electricals</t>
  </si>
  <si>
    <t>Tools, dies &amp; fixtures</t>
  </si>
  <si>
    <t>Office, IT &amp; ERP</t>
  </si>
  <si>
    <t>Preliminary &amp; pre-operative (amortised)</t>
  </si>
  <si>
    <t>Total</t>
  </si>
  <si>
    <t>Monthly depreciation (→ Monthly Model)</t>
  </si>
  <si>
    <t>NET BLOCK ROLL-FORWARD (₹ Lakh)</t>
  </si>
  <si>
    <t>Gross block — opening</t>
  </si>
  <si>
    <t>Add: capex additions</t>
  </si>
  <si>
    <t>Gross block — closing</t>
  </si>
  <si>
    <t>Depreciation for the year</t>
  </si>
  <si>
    <t>Accumulated depreciation</t>
  </si>
  <si>
    <t>Net block — closing</t>
  </si>
  <si>
    <t>DEBT SCHEDULE (₹ Lakh)</t>
  </si>
  <si>
    <t>TERM-LOAN AMORTISATION  (7-yr tenor, 12-month principal moratorium)</t>
  </si>
  <si>
    <t>Year</t>
  </si>
  <si>
    <t>Opening</t>
  </si>
  <si>
    <t>Interest</t>
  </si>
  <si>
    <t>Principal</t>
  </si>
  <si>
    <t>Closing</t>
  </si>
  <si>
    <t>Year 1</t>
  </si>
  <si>
    <t>Year 2</t>
  </si>
  <si>
    <t>Year 3</t>
  </si>
  <si>
    <t>Year 4</t>
  </si>
  <si>
    <t>Year 5</t>
  </si>
  <si>
    <t>Year 6</t>
  </si>
  <si>
    <t>Year 7</t>
  </si>
  <si>
    <t>FY1–FY5 interest (D5:D9) feeds the Monthly Model (÷12).</t>
  </si>
  <si>
    <t>WORKING-CAPITAL FINANCE  (₹ Lakh)</t>
  </si>
  <si>
    <t>WC gap</t>
  </si>
  <si>
    <t>Bank WC loan</t>
  </si>
  <si>
    <t>FUNDING — SOURCES &amp; USES (₹ Lakh)</t>
  </si>
  <si>
    <t>USES OF FUNDS</t>
  </si>
  <si>
    <t>Plant &amp; machinery</t>
  </si>
  <si>
    <t>Preliminary &amp; pre-operative</t>
  </si>
  <si>
    <t>Contingency</t>
  </si>
  <si>
    <t>Margin money for working capital</t>
  </si>
  <si>
    <t>Total project cost</t>
  </si>
  <si>
    <t>SOURCES OF FUNDS</t>
  </si>
  <si>
    <t>Promoter equity</t>
  </si>
  <si>
    <t>VC equity — Series A (this round)</t>
  </si>
  <si>
    <t>Total sources</t>
  </si>
  <si>
    <t>Balance check (sources − uses)</t>
  </si>
  <si>
    <t>Total capitalised capex (dep &amp; maintenance base)</t>
  </si>
  <si>
    <t>Debt : equity at inception = term loan ÷ (promoter + VC).</t>
  </si>
  <si>
    <t>CAP TABLE, ROUNDS &amp; DILUTION</t>
  </si>
  <si>
    <t>CAP-TABLE INPUTS</t>
  </si>
  <si>
    <t>Founder shares (nos.)</t>
  </si>
  <si>
    <t>ESOP pool (% of post-Series A FD)</t>
  </si>
  <si>
    <t>Seed investment (₹ Lakh)</t>
  </si>
  <si>
    <t>Seed pre-money (₹ Lakh)</t>
  </si>
  <si>
    <t>Series A investment (₹ Lakh)</t>
  </si>
  <si>
    <t>Series A pre-money (₹ Lakh)</t>
  </si>
  <si>
    <t>Series B investment — projected (₹ Lakh)</t>
  </si>
  <si>
    <t>Series B pre-money — projected (₹ Lakh)</t>
  </si>
  <si>
    <t>Series B round timing (FY)</t>
  </si>
  <si>
    <t>ROUND-BY-ROUND SHARE LEDGER</t>
  </si>
  <si>
    <t>Round</t>
  </si>
  <si>
    <t>Investment</t>
  </si>
  <si>
    <t>Pre-money</t>
  </si>
  <si>
    <t>Price/share (₹)</t>
  </si>
  <si>
    <t>New shares</t>
  </si>
  <si>
    <t>Shares o/s</t>
  </si>
  <si>
    <t>Founders</t>
  </si>
  <si>
    <t>Seed</t>
  </si>
  <si>
    <t>ESOP pool</t>
  </si>
  <si>
    <t>Series A (VC)</t>
  </si>
  <si>
    <t>Series B (projected)</t>
  </si>
  <si>
    <t>Fully diluted total</t>
  </si>
  <si>
    <t>OWNERSHIP</t>
  </si>
  <si>
    <t>Holder</t>
  </si>
  <si>
    <t>Shares</t>
  </si>
  <si>
    <t>Own % (post-A)</t>
  </si>
  <si>
    <t>Own % (FD post-B)</t>
  </si>
  <si>
    <t>Invested (₹L)</t>
  </si>
  <si>
    <t>Series B is an illustrative future round shown for dilution; the 3-statement model runs on committed capital (promoter + Series A + term loan).</t>
  </si>
  <si>
    <t>DCF VALUATION (FCFF, ₹ Lakh)</t>
  </si>
  <si>
    <t>WACC BUILD-UP</t>
  </si>
  <si>
    <t>Risk-free rate (India 10Y G-sec)</t>
  </si>
  <si>
    <t>CCIL / RBI</t>
  </si>
  <si>
    <t>Equity risk premium</t>
  </si>
  <si>
    <t>India ERP</t>
  </si>
  <si>
    <t>Levered beta (sector)</t>
  </si>
  <si>
    <t>Sector comparables (your sector)</t>
  </si>
  <si>
    <t>Cost of equity  (Ke = Rf + β·ERP)</t>
  </si>
  <si>
    <t>CAPM</t>
  </si>
  <si>
    <t>Pre-tax cost of debt</t>
  </si>
  <si>
    <t>Term-loan rate</t>
  </si>
  <si>
    <t>Tax rate</t>
  </si>
  <si>
    <t>115BAA</t>
  </si>
  <si>
    <t>After-tax cost of debt</t>
  </si>
  <si>
    <t>Kd·(1−t)</t>
  </si>
  <si>
    <t>Target equity weight</t>
  </si>
  <si>
    <t>Long-run structure</t>
  </si>
  <si>
    <t>Target debt weight</t>
  </si>
  <si>
    <t>We·Ke + Wd·Kd</t>
  </si>
  <si>
    <t>FREE CASH FLOW TO FIRM  &amp;  DISCOUNTING</t>
  </si>
  <si>
    <t>Period (t)</t>
  </si>
  <si>
    <t>Less: tax on EBIT</t>
  </si>
  <si>
    <t>NOPAT</t>
  </si>
  <si>
    <t>Add: depreciation</t>
  </si>
  <si>
    <t>Less: capex</t>
  </si>
  <si>
    <t>Less: change in NWC</t>
  </si>
  <si>
    <t>Free cash flow to firm (FCFF)</t>
  </si>
  <si>
    <t>Discount factor @ WACC</t>
  </si>
  <si>
    <t>PV of FCFF</t>
  </si>
  <si>
    <t>ENTERPRISE &amp; EQUITY VALUE  (₹ Lakh)</t>
  </si>
  <si>
    <t>Sum of PV of FCFF (FY1–FY5)</t>
  </si>
  <si>
    <t>Terminal growth (g)</t>
  </si>
  <si>
    <t>Terminal value (Gordon)  = FCFF₅·(1+g)/(WACC−g)</t>
  </si>
  <si>
    <t>PV of terminal value</t>
  </si>
  <si>
    <t>Enterprise value (DCF)</t>
  </si>
  <si>
    <t>Memo: EV via exit multiple (FY5 EBITDA × mult)</t>
  </si>
  <si>
    <t>Less: net debt today (loan − opening cash)</t>
  </si>
  <si>
    <t>Equity value (DCF)</t>
  </si>
  <si>
    <t>Series A post-money (cap table)</t>
  </si>
  <si>
    <t>DCF equity value vs Series A post-money</t>
  </si>
  <si>
    <t>Base DCF uses the Gordon terminal value; the exit-multiple EV (row 34) is shown as a cross-check. WACC &amp; g are editable.</t>
  </si>
  <si>
    <t>INVESTOR RETURNS &amp; EXIT WATERFALL (₹ Lakh)</t>
  </si>
  <si>
    <t>1.  EXIT ECONOMICS (Year 5)</t>
  </si>
  <si>
    <t>FY5 EBITDA</t>
  </si>
  <si>
    <t>Enterprise value at exit</t>
  </si>
  <si>
    <t>Less: term loan outstanding (FY5)</t>
  </si>
  <si>
    <t>Less: WC loan (FY5)</t>
  </si>
  <si>
    <t>Add: cash &amp; bank (FY5)</t>
  </si>
  <si>
    <t>Equity value at exit</t>
  </si>
  <si>
    <t>2.  LIQUIDATION WATERFALL  (non-participating, 1× preferred)</t>
  </si>
  <si>
    <t>Preference multiple — Series A / Series B</t>
  </si>
  <si>
    <t>Invested</t>
  </si>
  <si>
    <t>1× pref</t>
  </si>
  <si>
    <t>As-converted</t>
  </si>
  <si>
    <t>Converts?</t>
  </si>
  <si>
    <t>Proceeds</t>
  </si>
  <si>
    <t>Residual pool / base / per-share (₹L)</t>
  </si>
  <si>
    <t>Check: Σ proceeds = equity value</t>
  </si>
  <si>
    <t>'Cap Table'!$C$28</t>
  </si>
  <si>
    <t>3.  RETURN BY INVESTOR</t>
  </si>
  <si>
    <t>'Cap Table'!$C$29</t>
  </si>
  <si>
    <t>Investor</t>
  </si>
  <si>
    <t>MOIC</t>
  </si>
  <si>
    <t>Gross IRR</t>
  </si>
  <si>
    <t>4.  SERIES A SENSITIVITY — Gross IRR</t>
  </si>
  <si>
    <t>FY5 EBITDA ▼  /  Exit multiple ►</t>
  </si>
  <si>
    <t>Downside −15%</t>
  </si>
  <si>
    <t>Upside +15%</t>
  </si>
  <si>
    <t>5.  PROJECT RETURN METRICS</t>
  </si>
  <si>
    <t>FY5 Return on Equity (on net worth)</t>
  </si>
  <si>
    <t>FY5 Return on Capital Employed</t>
  </si>
  <si>
    <t>Payback on equity (yrs)</t>
  </si>
  <si>
    <t>5-yr revenue CAGR (FY1→FY5)</t>
  </si>
  <si>
    <t>Waterfall is first-order (convert decision uses as-converted at full equity value); adequate where equity value ≫ total preference. Series B illustrative.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</si>
</sst>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-"/>
    <numFmt numFmtId="165" formatCode="0.0%;\(0.0%\);\-"/>
    <numFmt numFmtId="166" formatCode="0.00\x"/>
    <numFmt numFmtId="167" formatCode="#,##0.0"/>
    <numFmt numFmtId="168" formatCode="\₹#,##0"/>
    <numFmt numFmtId="169" formatCode="\₹#,##0.00"/>
    <numFmt numFmtId="170" formatCode="#,##0.0;\(#,##0.0\);\-"/>
    <numFmt numFmtId="171" formatCode="&quot;FY&quot;0"/>
    <numFmt numFmtId="172" formatCode="#,##0.00;\(#,##0.00\)"/>
    <numFmt numFmtId="173" formatCode="0.000"/>
  </numFmts>
  <fonts count="26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sz val="12"/>
      <color rgb="FF305496"/>
      <name val="Arial"/>
      <charset val="1"/>
    </font>
    <font>
      <i/>
      <sz val="8"/>
      <color rgb="FF808080"/>
      <name val="Arial"/>
      <charset val="1"/>
    </font>
    <font>
      <b/>
      <sz val="9"/>
      <color rgb="FF7030A0"/>
      <name val="Arial"/>
      <charset val="1"/>
    </font>
    <font>
      <b/>
      <sz val="12"/>
      <color rgb="FF7030A0"/>
      <name val="Arial"/>
      <charset val="1"/>
    </font>
    <font>
      <b/>
      <sz val="9"/>
      <color rgb="FFFFFFFF"/>
      <name val="Arial"/>
      <charset val="1"/>
    </font>
    <font>
      <b/>
      <sz val="15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20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0000FF"/>
      <name val="Arial"/>
      <charset val="1"/>
    </font>
    <font>
      <b/>
      <sz val="9"/>
      <color rgb="FF008000"/>
      <name val="Arial"/>
      <charset val="1"/>
    </font>
    <font>
      <b/>
      <sz val="9"/>
      <color rgb="FF000000"/>
      <name val="Arial"/>
      <charset val="1"/>
    </font>
    <font>
      <b/>
      <sz val="9"/>
      <color rgb="FF808080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14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7030A0"/>
      <name val="Arial"/>
      <charset val="1"/>
    </font>
    <font>
      <sz val="10"/>
      <color rgb="FF008000"/>
      <name val="Arial"/>
      <charset val="1"/>
    </font>
    <font>
      <i/>
      <u/>
      <sz val="8"/>
      <color rgb="FF0563C1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305496"/>
        <bgColor rgb="FF2E5496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2E5496"/>
      </patternFill>
    </fill>
    <fill>
      <patternFill patternType="solid">
        <fgColor rgb="FFFFFFFF"/>
        <bgColor rgb="FFF2F2F2"/>
      </patternFill>
    </fill>
    <fill>
      <patternFill patternType="solid">
        <fgColor rgb="FF2E5496"/>
        <bgColor rgb="FF30549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0" fillId="0" borderId="0" xfId="0" applyFont="1"/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8" fillId="5" borderId="0" xfId="0" applyFont="1" applyFill="1"/>
    <xf numFmtId="167" fontId="7" fillId="4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13" fillId="2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9" fillId="0" borderId="0" xfId="0" applyFont="1"/>
    <xf numFmtId="164" fontId="20" fillId="0" borderId="0" xfId="0" applyNumberFormat="1" applyFont="1" applyAlignment="1">
      <alignment horizontal="left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5" fontId="21" fillId="2" borderId="1" xfId="0" applyNumberFormat="1" applyFont="1" applyFill="1" applyBorder="1" applyAlignment="1">
      <alignment horizontal="center" vertical="center"/>
    </xf>
    <xf numFmtId="165" fontId="20" fillId="4" borderId="1" xfId="0" applyNumberFormat="1" applyFont="1" applyFill="1" applyBorder="1" applyAlignment="1">
      <alignment horizontal="center" vertical="center"/>
    </xf>
    <xf numFmtId="166" fontId="21" fillId="2" borderId="1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" xfId="0" applyBorder="1"/>
    <xf numFmtId="17" fontId="2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23" fillId="2" borderId="1" xfId="0" applyNumberFormat="1" applyFont="1" applyFill="1" applyBorder="1" applyAlignment="1">
      <alignment horizontal="center" vertical="center"/>
    </xf>
    <xf numFmtId="168" fontId="21" fillId="2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2" fontId="21" fillId="2" borderId="1" xfId="0" applyNumberFormat="1" applyFont="1" applyFill="1" applyBorder="1" applyAlignment="1">
      <alignment horizontal="center" vertical="center"/>
    </xf>
    <xf numFmtId="169" fontId="21" fillId="2" borderId="1" xfId="0" applyNumberFormat="1" applyFont="1" applyFill="1" applyBorder="1" applyAlignment="1">
      <alignment horizontal="center" vertical="center"/>
    </xf>
    <xf numFmtId="170" fontId="21" fillId="2" borderId="1" xfId="0" applyNumberFormat="1" applyFont="1" applyFill="1" applyBorder="1" applyAlignment="1">
      <alignment horizontal="center" vertical="center"/>
    </xf>
    <xf numFmtId="10" fontId="2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171" fontId="8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7" fontId="8" fillId="7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0" fontId="20" fillId="4" borderId="0" xfId="0" applyFont="1" applyFill="1" applyAlignment="1">
      <alignment horizontal="left" vertical="center"/>
    </xf>
    <xf numFmtId="164" fontId="20" fillId="4" borderId="0" xfId="0" applyNumberFormat="1" applyFont="1" applyFill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70" fontId="20" fillId="4" borderId="0" xfId="0" applyNumberFormat="1" applyFont="1" applyFill="1" applyAlignment="1">
      <alignment horizontal="right" vertical="center"/>
    </xf>
    <xf numFmtId="170" fontId="23" fillId="0" borderId="0" xfId="0" applyNumberFormat="1" applyFont="1" applyAlignment="1">
      <alignment horizontal="right" vertical="center"/>
    </xf>
    <xf numFmtId="0" fontId="20" fillId="8" borderId="0" xfId="0" applyFont="1" applyFill="1" applyAlignment="1">
      <alignment horizontal="left" vertical="center"/>
    </xf>
    <xf numFmtId="170" fontId="20" fillId="8" borderId="0" xfId="0" applyNumberFormat="1" applyFont="1" applyFill="1" applyAlignment="1">
      <alignment horizontal="right" vertical="center"/>
    </xf>
    <xf numFmtId="0" fontId="20" fillId="0" borderId="2" xfId="0" applyFont="1" applyBorder="1" applyAlignment="1">
      <alignment horizontal="left" vertical="center"/>
    </xf>
    <xf numFmtId="170" fontId="11" fillId="0" borderId="2" xfId="0" applyNumberFormat="1" applyFont="1" applyBorder="1" applyAlignment="1">
      <alignment horizontal="right" vertical="center"/>
    </xf>
    <xf numFmtId="170" fontId="20" fillId="4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70" fontId="20" fillId="0" borderId="0" xfId="0" applyNumberFormat="1" applyFont="1" applyAlignment="1">
      <alignment horizontal="right" vertical="center"/>
    </xf>
    <xf numFmtId="170" fontId="20" fillId="0" borderId="2" xfId="0" applyNumberFormat="1" applyFont="1" applyBorder="1" applyAlignment="1">
      <alignment horizontal="right" vertical="center"/>
    </xf>
    <xf numFmtId="170" fontId="20" fillId="8" borderId="2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170" fontId="20" fillId="2" borderId="0" xfId="0" applyNumberFormat="1" applyFont="1" applyFill="1" applyAlignment="1">
      <alignment horizontal="right" vertical="center"/>
    </xf>
    <xf numFmtId="0" fontId="0" fillId="7" borderId="0" xfId="0" applyFill="1"/>
    <xf numFmtId="172" fontId="3" fillId="0" borderId="0" xfId="0" applyNumberFormat="1" applyFont="1" applyAlignment="1">
      <alignment horizontal="right" vertical="center"/>
    </xf>
    <xf numFmtId="170" fontId="11" fillId="0" borderId="1" xfId="0" applyNumberFormat="1" applyFont="1" applyBorder="1" applyAlignment="1">
      <alignment horizontal="right" vertical="center"/>
    </xf>
    <xf numFmtId="170" fontId="20" fillId="4" borderId="1" xfId="0" applyNumberFormat="1" applyFont="1" applyFill="1" applyBorder="1" applyAlignment="1">
      <alignment horizontal="right" vertical="center"/>
    </xf>
    <xf numFmtId="170" fontId="20" fillId="8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/>
    </xf>
    <xf numFmtId="164" fontId="20" fillId="4" borderId="1" xfId="0" applyNumberFormat="1" applyFont="1" applyFill="1" applyBorder="1" applyAlignment="1">
      <alignment horizontal="right" vertical="center"/>
    </xf>
    <xf numFmtId="164" fontId="20" fillId="8" borderId="1" xfId="0" applyNumberFormat="1" applyFont="1" applyFill="1" applyBorder="1" applyAlignment="1">
      <alignment horizontal="right" vertical="center"/>
    </xf>
    <xf numFmtId="0" fontId="11" fillId="0" borderId="0" xfId="0" applyFont="1"/>
    <xf numFmtId="3" fontId="21" fillId="2" borderId="1" xfId="0" applyNumberFormat="1" applyFont="1" applyFill="1" applyBorder="1" applyAlignment="1">
      <alignment horizontal="right" vertical="center"/>
    </xf>
    <xf numFmtId="165" fontId="21" fillId="2" borderId="1" xfId="0" applyNumberFormat="1" applyFont="1" applyFill="1" applyBorder="1" applyAlignment="1">
      <alignment horizontal="right" vertical="center"/>
    </xf>
    <xf numFmtId="164" fontId="23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horizontal="right" vertical="center"/>
    </xf>
    <xf numFmtId="3" fontId="20" fillId="4" borderId="0" xfId="0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horizontal="right" vertical="center"/>
    </xf>
    <xf numFmtId="165" fontId="20" fillId="4" borderId="0" xfId="0" applyNumberFormat="1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0" fontId="23" fillId="0" borderId="1" xfId="0" applyNumberFormat="1" applyFont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173" fontId="11" fillId="0" borderId="0" xfId="0" applyNumberFormat="1" applyFont="1" applyAlignment="1">
      <alignment horizontal="right" vertical="center"/>
    </xf>
    <xf numFmtId="164" fontId="20" fillId="0" borderId="0" xfId="0" applyNumberFormat="1" applyFont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4" fontId="20" fillId="8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164" fontId="0" fillId="0" borderId="0" xfId="0" applyNumberFormat="1"/>
    <xf numFmtId="170" fontId="3" fillId="0" borderId="0" xfId="0" applyNumberFormat="1" applyFont="1" applyAlignment="1">
      <alignment horizontal="right" vertical="center"/>
    </xf>
    <xf numFmtId="166" fontId="20" fillId="2" borderId="0" xfId="0" applyNumberFormat="1" applyFont="1" applyFill="1" applyAlignment="1">
      <alignment horizontal="right" vertical="center"/>
    </xf>
    <xf numFmtId="165" fontId="20" fillId="8" borderId="0" xfId="0" applyNumberFormat="1" applyFont="1" applyFill="1" applyAlignment="1">
      <alignment horizontal="right" vertical="center"/>
    </xf>
    <xf numFmtId="166" fontId="20" fillId="0" borderId="0" xfId="0" applyNumberFormat="1" applyFont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6" fontId="21" fillId="2" borderId="0" xfId="0" applyNumberFormat="1" applyFont="1" applyFill="1" applyAlignment="1">
      <alignment horizontal="center" vertical="center"/>
    </xf>
    <xf numFmtId="165" fontId="11" fillId="9" borderId="0" xfId="0" applyNumberFormat="1" applyFont="1" applyFill="1" applyAlignment="1">
      <alignment horizontal="center" vertical="center"/>
    </xf>
    <xf numFmtId="165" fontId="20" fillId="8" borderId="0" xfId="0" applyNumberFormat="1" applyFont="1" applyFill="1" applyAlignment="1">
      <alignment horizontal="center" vertical="center"/>
    </xf>
    <xf numFmtId="165" fontId="23" fillId="2" borderId="0" xfId="0" applyNumberFormat="1" applyFont="1" applyFill="1" applyAlignment="1">
      <alignment horizontal="right" vertical="center"/>
    </xf>
    <xf numFmtId="167" fontId="20" fillId="8" borderId="0" xfId="0" applyNumberFormat="1" applyFont="1" applyFill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5" borderId="0" xfId="0" applyFont="1" applyFill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BFBFBF"/>
      <rgbColor rgb="FF808080"/>
      <rgbColor rgb="FF9999FF"/>
      <rgbColor rgb="FFBE4B48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C0504D"/>
      <rgbColor rgb="FF7030A0"/>
      <rgbColor rgb="FF305496"/>
      <rgbColor rgb="FF2E54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&amp; EBITDA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0549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P&amp;L'!$C$3:$G$3</c:f>
              <c:strCache>
                <c:ptCount val="5"/>
                <c:pt idx="0">
                  <c:v>FY1</c:v>
                </c:pt>
                <c:pt idx="1">
                  <c:v>FY2</c:v>
                </c:pt>
                <c:pt idx="2">
                  <c:v>FY3</c:v>
                </c:pt>
                <c:pt idx="3">
                  <c:v>FY4</c:v>
                </c:pt>
                <c:pt idx="4">
                  <c:v>FY5</c:v>
                </c:pt>
              </c:strCache>
            </c:strRef>
          </c:cat>
          <c:val>
            <c:numRef>
              <c:f>'Annual P&amp;L'!$C$4:$G$4</c:f>
              <c:numCache>
                <c:formatCode>#,##0.0;\(#,##0.0\);\-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B-4417-BF00-02162DF6CC29}"/>
            </c:ext>
          </c:extLst>
        </c:ser>
        <c:ser>
          <c:idx val="1"/>
          <c:order val="1"/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P&amp;L'!$C$3:$G$3</c:f>
              <c:strCache>
                <c:ptCount val="5"/>
                <c:pt idx="0">
                  <c:v>FY1</c:v>
                </c:pt>
                <c:pt idx="1">
                  <c:v>FY2</c:v>
                </c:pt>
                <c:pt idx="2">
                  <c:v>FY3</c:v>
                </c:pt>
                <c:pt idx="3">
                  <c:v>FY4</c:v>
                </c:pt>
                <c:pt idx="4">
                  <c:v>FY5</c:v>
                </c:pt>
              </c:strCache>
            </c:strRef>
          </c:cat>
          <c:val>
            <c:numRef>
              <c:f>'Annual P&amp;L'!$C$10:$G$10</c:f>
              <c:numCache>
                <c:formatCode>#,##0.0;\(#,##0.0\);\-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B-4417-BF00-02162DF6C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28964"/>
        <c:axId val="8724448"/>
      </c:barChart>
      <c:catAx>
        <c:axId val="90628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4448"/>
        <c:crosses val="autoZero"/>
        <c:auto val="1"/>
        <c:lblAlgn val="ctr"/>
        <c:lblOffset val="100"/>
        <c:noMultiLvlLbl val="0"/>
      </c:catAx>
      <c:valAx>
        <c:axId val="8724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289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Cash balance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Flow'!$B$3:$G$3</c:f>
              <c:strCache>
                <c:ptCount val="6"/>
                <c:pt idx="0">
                  <c:v>FY0</c:v>
                </c:pt>
                <c:pt idx="1">
                  <c:v>FY1</c:v>
                </c:pt>
                <c:pt idx="2">
                  <c:v>FY2</c:v>
                </c:pt>
                <c:pt idx="3">
                  <c:v>FY3</c:v>
                </c:pt>
                <c:pt idx="4">
                  <c:v>FY4</c:v>
                </c:pt>
                <c:pt idx="5">
                  <c:v>FY5</c:v>
                </c:pt>
              </c:strCache>
            </c:strRef>
          </c:cat>
          <c:val>
            <c:numRef>
              <c:f>'Cash Flow'!$B$24:$G$24</c:f>
              <c:numCache>
                <c:formatCode>#,##0.0;\(#,##0.0\);\-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19-4116-AEA6-BC7FF809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038357"/>
        <c:axId val="35400779"/>
      </c:lineChart>
      <c:catAx>
        <c:axId val="55038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400779"/>
        <c:crosses val="autoZero"/>
        <c:auto val="1"/>
        <c:lblAlgn val="ctr"/>
        <c:lblOffset val="100"/>
        <c:noMultiLvlLbl val="0"/>
      </c:catAx>
      <c:valAx>
        <c:axId val="35400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38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Ownership (fully diluted)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5D7-44AE-9122-4E0DFB4176E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5D7-44AE-9122-4E0DFB4176E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5D7-44AE-9122-4E0DFB4176E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5D7-44AE-9122-4E0DFB4176E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5D7-44AE-9122-4E0DFB4176E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5D7-44AE-9122-4E0DFB4176E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5D7-44AE-9122-4E0DFB4176E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5D7-44AE-9122-4E0DFB4176E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5D7-44AE-9122-4E0DFB4176E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5D7-44AE-9122-4E0DFB4176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'Cap Table'!$A$25:$A$29</c:f>
              <c:strCache>
                <c:ptCount val="5"/>
                <c:pt idx="0">
                  <c:v>Founders</c:v>
                </c:pt>
                <c:pt idx="1">
                  <c:v>Seed</c:v>
                </c:pt>
                <c:pt idx="2">
                  <c:v>ESOP pool</c:v>
                </c:pt>
                <c:pt idx="3">
                  <c:v>Series A (VC)</c:v>
                </c:pt>
                <c:pt idx="4">
                  <c:v>Series B (projected)</c:v>
                </c:pt>
              </c:strCache>
            </c:strRef>
          </c:cat>
          <c:val>
            <c:numRef>
              <c:f>'Cap Table'!$E$25:$E$29</c:f>
              <c:numCache>
                <c:formatCode>0.0%;\(0.0%\);\-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D7-44AE-9122-4E0DFB417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EBITDA &amp; PAT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P&amp;L'!$C$3:$G$3</c:f>
              <c:strCache>
                <c:ptCount val="5"/>
                <c:pt idx="0">
                  <c:v>FY1</c:v>
                </c:pt>
                <c:pt idx="1">
                  <c:v>FY2</c:v>
                </c:pt>
                <c:pt idx="2">
                  <c:v>FY3</c:v>
                </c:pt>
                <c:pt idx="3">
                  <c:v>FY4</c:v>
                </c:pt>
                <c:pt idx="4">
                  <c:v>FY5</c:v>
                </c:pt>
              </c:strCache>
            </c:strRef>
          </c:cat>
          <c:val>
            <c:numRef>
              <c:f>'Annual P&amp;L'!$C$11:$G$11</c:f>
              <c:numCache>
                <c:formatCode>0.0%;\(0.0%\);\-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A9-4DC8-A9DE-03FA505AAEED}"/>
            </c:ext>
          </c:extLst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P&amp;L'!$C$3:$G$3</c:f>
              <c:strCache>
                <c:ptCount val="5"/>
                <c:pt idx="0">
                  <c:v>FY1</c:v>
                </c:pt>
                <c:pt idx="1">
                  <c:v>FY2</c:v>
                </c:pt>
                <c:pt idx="2">
                  <c:v>FY3</c:v>
                </c:pt>
                <c:pt idx="3">
                  <c:v>FY4</c:v>
                </c:pt>
                <c:pt idx="4">
                  <c:v>FY5</c:v>
                </c:pt>
              </c:strCache>
            </c:strRef>
          </c:cat>
          <c:val>
            <c:numRef>
              <c:f>'Annual P&amp;L'!$C$18:$G$18</c:f>
              <c:numCache>
                <c:formatCode>0.0%;\(0.0%\);\-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A9-4DC8-A9DE-03FA505A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616689"/>
        <c:axId val="71506010"/>
      </c:lineChart>
      <c:catAx>
        <c:axId val="27616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06010"/>
        <c:crosses val="autoZero"/>
        <c:auto val="1"/>
        <c:lblAlgn val="ctr"/>
        <c:lblOffset val="100"/>
        <c:noMultiLvlLbl val="0"/>
      </c:catAx>
      <c:valAx>
        <c:axId val="71506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166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97920</xdr:colOff>
      <xdr:row>42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10</xdr:col>
      <xdr:colOff>98280</xdr:colOff>
      <xdr:row>42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97920</xdr:colOff>
      <xdr:row>57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160920</xdr:rowOff>
    </xdr:from>
    <xdr:to>
      <xdr:col>3</xdr:col>
      <xdr:colOff>732600</xdr:colOff>
      <xdr:row>34</xdr:row>
      <xdr:rowOff>13320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clc.gov.in/clc/min-wages" TargetMode="External"/><Relationship Id="rId7" Type="http://schemas.openxmlformats.org/officeDocument/2006/relationships/hyperlink" Target="https://taxsummaries.pwc.com/india/corporate/taxes-on-corporate-income" TargetMode="External"/><Relationship Id="rId2" Type="http://schemas.openxmlformats.org/officeDocument/2006/relationships/hyperlink" Target="https://cercind.gov.in/" TargetMode="External"/><Relationship Id="rId1" Type="http://schemas.openxmlformats.org/officeDocument/2006/relationships/hyperlink" Target="https://cbic-gst.gov.in/gst-goods-services-rates.html" TargetMode="External"/><Relationship Id="rId6" Type="http://schemas.openxmlformats.org/officeDocument/2006/relationships/hyperlink" Target="https://rbi.org.in/" TargetMode="External"/><Relationship Id="rId5" Type="http://schemas.openxmlformats.org/officeDocument/2006/relationships/hyperlink" Target="https://rbi.org.in/" TargetMode="External"/><Relationship Id="rId4" Type="http://schemas.openxmlformats.org/officeDocument/2006/relationships/hyperlink" Target="https://www.mospi.gov.in/themes/product/9-consumer-price-index-cpi" TargetMode="External"/><Relationship Id="rId9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il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10" width="13" customWidth="1"/>
  </cols>
  <sheetData>
    <row r="2" spans="2:10" ht="30" customHeight="1" x14ac:dyDescent="0.4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ht="15.75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2:10" x14ac:dyDescent="0.25">
      <c r="B4" s="12" t="s">
        <v>2</v>
      </c>
      <c r="C4" s="12"/>
      <c r="D4" s="12"/>
      <c r="E4" s="12"/>
      <c r="F4" s="12"/>
      <c r="G4" s="12"/>
      <c r="H4" s="12"/>
      <c r="I4" s="12"/>
      <c r="J4" s="12"/>
    </row>
    <row r="5" spans="2:10" ht="27.75" customHeight="1" x14ac:dyDescent="0.25">
      <c r="B5" s="11" t="s">
        <v>3</v>
      </c>
      <c r="C5" s="11"/>
      <c r="D5" s="11"/>
      <c r="E5" s="11"/>
      <c r="F5" s="11"/>
      <c r="G5" s="11"/>
      <c r="H5" s="11"/>
      <c r="I5" s="11"/>
      <c r="J5" s="11"/>
    </row>
    <row r="6" spans="2:10" ht="15.75" x14ac:dyDescent="0.25">
      <c r="B6" s="10" t="str">
        <f>IFERROR(CONCATENATE("ACTIVE SCENARIO:  ",CHOOSE('Scenario Manager'!C4,"BASE","UPSIDE","DOWNSIDE")),0)</f>
        <v>ACTIVE SCENARIO:  BASE</v>
      </c>
      <c r="C6" s="10"/>
      <c r="D6" s="10"/>
      <c r="E6" s="10"/>
      <c r="F6" s="12" t="s">
        <v>4</v>
      </c>
      <c r="G6" s="12"/>
      <c r="H6" s="12"/>
      <c r="I6" s="12"/>
      <c r="J6" s="12"/>
    </row>
    <row r="8" spans="2:10" x14ac:dyDescent="0.25">
      <c r="B8" s="9" t="s">
        <v>5</v>
      </c>
      <c r="C8" s="9"/>
      <c r="D8" s="9" t="s">
        <v>6</v>
      </c>
      <c r="E8" s="9"/>
      <c r="F8" s="9" t="s">
        <v>7</v>
      </c>
      <c r="G8" s="9"/>
      <c r="H8" s="9" t="s">
        <v>8</v>
      </c>
      <c r="I8" s="9"/>
    </row>
    <row r="9" spans="2:10" ht="24" customHeight="1" x14ac:dyDescent="0.25">
      <c r="B9" s="8">
        <f>Funding!C15</f>
        <v>0</v>
      </c>
      <c r="C9" s="8"/>
      <c r="D9" s="8">
        <f>'Cap Table'!$E$19</f>
        <v>0</v>
      </c>
      <c r="E9" s="8"/>
      <c r="F9" s="7">
        <f>'Cap Table'!$D$28</f>
        <v>0</v>
      </c>
      <c r="G9" s="7"/>
      <c r="H9" s="8">
        <f>'Annual P&amp;L'!G4</f>
        <v>0</v>
      </c>
      <c r="I9" s="8"/>
    </row>
    <row r="11" spans="2:10" x14ac:dyDescent="0.25">
      <c r="B11" s="9" t="s">
        <v>9</v>
      </c>
      <c r="C11" s="9"/>
      <c r="D11" s="9" t="s">
        <v>10</v>
      </c>
      <c r="E11" s="9"/>
      <c r="F11" s="9" t="s">
        <v>11</v>
      </c>
      <c r="G11" s="9"/>
      <c r="H11" s="9" t="s">
        <v>12</v>
      </c>
      <c r="I11" s="9"/>
    </row>
    <row r="12" spans="2:10" ht="24" customHeight="1" x14ac:dyDescent="0.25">
      <c r="B12" s="7">
        <f>'Annual P&amp;L'!G11</f>
        <v>0</v>
      </c>
      <c r="C12" s="7"/>
      <c r="D12" s="8">
        <f>'DCF Valuation'!$C$33</f>
        <v>0</v>
      </c>
      <c r="E12" s="8"/>
      <c r="F12" s="7">
        <f>'DCF Valuation'!$C$13</f>
        <v>0</v>
      </c>
      <c r="G12" s="7"/>
      <c r="H12" s="7">
        <f>'Returns &amp; Waterfall'!F26</f>
        <v>-1</v>
      </c>
      <c r="I12" s="7"/>
    </row>
    <row r="14" spans="2:10" x14ac:dyDescent="0.25">
      <c r="B14" s="9" t="s">
        <v>13</v>
      </c>
      <c r="C14" s="9"/>
      <c r="D14" s="9" t="s">
        <v>14</v>
      </c>
      <c r="E14" s="9"/>
      <c r="F14" s="9" t="s">
        <v>15</v>
      </c>
      <c r="G14" s="9"/>
      <c r="H14" s="9" t="s">
        <v>16</v>
      </c>
      <c r="I14" s="9"/>
    </row>
    <row r="15" spans="2:10" ht="24" customHeight="1" x14ac:dyDescent="0.25">
      <c r="B15" s="6">
        <f>'Returns &amp; Waterfall'!E26</f>
        <v>0</v>
      </c>
      <c r="C15" s="6"/>
      <c r="D15" s="5">
        <f>'Returns &amp; Waterfall'!C40</f>
        <v>0</v>
      </c>
      <c r="E15" s="5"/>
      <c r="F15" s="8">
        <f>'Balance Sheet'!G14</f>
        <v>0</v>
      </c>
      <c r="G15" s="8"/>
      <c r="H15" s="8">
        <f>'Annual P&amp;L'!G19</f>
        <v>0</v>
      </c>
      <c r="I15" s="8"/>
    </row>
    <row r="17" spans="2:10" x14ac:dyDescent="0.25">
      <c r="B17" s="4" t="s">
        <v>17</v>
      </c>
      <c r="C17" s="4"/>
      <c r="D17" s="4"/>
      <c r="E17" s="4"/>
      <c r="F17" s="4"/>
      <c r="G17" s="4"/>
      <c r="H17" s="4"/>
      <c r="I17" s="4"/>
      <c r="J17" s="4"/>
    </row>
    <row r="18" spans="2:10" x14ac:dyDescent="0.25">
      <c r="B18" s="3" t="s">
        <v>18</v>
      </c>
      <c r="C18" s="3"/>
      <c r="D18" s="3"/>
      <c r="E18" s="3"/>
      <c r="F18" s="3"/>
      <c r="G18" s="3"/>
      <c r="H18" s="3"/>
      <c r="I18" s="3"/>
      <c r="J18" s="3"/>
    </row>
    <row r="19" spans="2:10" x14ac:dyDescent="0.25">
      <c r="B19" s="3" t="s">
        <v>19</v>
      </c>
      <c r="C19" s="3"/>
      <c r="D19" s="3"/>
      <c r="E19" s="3"/>
      <c r="F19" s="3"/>
      <c r="G19" s="3"/>
      <c r="H19" s="3"/>
      <c r="I19" s="3"/>
      <c r="J19" s="3"/>
    </row>
    <row r="20" spans="2:10" x14ac:dyDescent="0.25">
      <c r="B20" s="3" t="s">
        <v>20</v>
      </c>
      <c r="C20" s="3"/>
      <c r="D20" s="3"/>
      <c r="E20" s="3"/>
      <c r="F20" s="3"/>
      <c r="G20" s="3"/>
      <c r="H20" s="3"/>
      <c r="I20" s="3"/>
      <c r="J20" s="3"/>
    </row>
    <row r="21" spans="2:10" x14ac:dyDescent="0.25">
      <c r="B21" s="3" t="s">
        <v>21</v>
      </c>
      <c r="C21" s="3"/>
      <c r="D21" s="3"/>
      <c r="E21" s="3"/>
      <c r="F21" s="3"/>
      <c r="G21" s="3"/>
      <c r="H21" s="3"/>
      <c r="I21" s="3"/>
      <c r="J21" s="3"/>
    </row>
    <row r="22" spans="2:10" x14ac:dyDescent="0.25">
      <c r="B22" s="3" t="s">
        <v>22</v>
      </c>
      <c r="C22" s="3"/>
      <c r="D22" s="3"/>
      <c r="E22" s="3"/>
      <c r="F22" s="3"/>
      <c r="G22" s="3"/>
      <c r="H22" s="3"/>
      <c r="I22" s="3"/>
      <c r="J22" s="3"/>
    </row>
    <row r="23" spans="2:10" x14ac:dyDescent="0.25">
      <c r="B23" s="3" t="s">
        <v>23</v>
      </c>
      <c r="C23" s="3"/>
      <c r="D23" s="3"/>
      <c r="E23" s="3"/>
      <c r="F23" s="3"/>
      <c r="G23" s="3"/>
      <c r="H23" s="3"/>
      <c r="I23" s="3"/>
      <c r="J23" s="3"/>
    </row>
    <row r="24" spans="2:10" x14ac:dyDescent="0.25">
      <c r="B24" s="3" t="s">
        <v>24</v>
      </c>
      <c r="C24" s="3"/>
      <c r="D24" s="3"/>
      <c r="E24" s="3"/>
      <c r="F24" s="3"/>
      <c r="G24" s="3"/>
      <c r="H24" s="3"/>
      <c r="I24" s="3"/>
      <c r="J24" s="3"/>
    </row>
    <row r="25" spans="2:10" x14ac:dyDescent="0.25">
      <c r="B25" s="3" t="s">
        <v>25</v>
      </c>
      <c r="C25" s="3"/>
      <c r="D25" s="3"/>
      <c r="E25" s="3"/>
      <c r="F25" s="3"/>
      <c r="G25" s="3"/>
      <c r="H25" s="3"/>
      <c r="I25" s="3"/>
      <c r="J25" s="3"/>
    </row>
    <row r="27" spans="2:10" ht="15" customHeight="1" x14ac:dyDescent="0.25">
      <c r="B27" s="2" t="s">
        <v>26</v>
      </c>
      <c r="C27" s="2"/>
      <c r="D27" s="2"/>
      <c r="E27" s="2"/>
      <c r="F27" s="2"/>
      <c r="G27" s="2"/>
      <c r="H27" s="2"/>
      <c r="I27" s="2"/>
      <c r="J27" s="2"/>
    </row>
    <row r="28" spans="2:10" x14ac:dyDescent="0.25">
      <c r="B28" s="2"/>
      <c r="C28" s="2"/>
      <c r="D28" s="2"/>
      <c r="E28" s="2"/>
      <c r="F28" s="2"/>
      <c r="G28" s="2"/>
      <c r="H28" s="2"/>
      <c r="I28" s="2"/>
      <c r="J28" s="2"/>
    </row>
  </sheetData>
  <mergeCells count="40">
    <mergeCell ref="B22:J22"/>
    <mergeCell ref="B23:J23"/>
    <mergeCell ref="B24:J24"/>
    <mergeCell ref="B25:J25"/>
    <mergeCell ref="B27:J28"/>
    <mergeCell ref="B17:J17"/>
    <mergeCell ref="B18:J18"/>
    <mergeCell ref="B19:J19"/>
    <mergeCell ref="B20:J20"/>
    <mergeCell ref="B21:J21"/>
    <mergeCell ref="B14:C14"/>
    <mergeCell ref="D14:E14"/>
    <mergeCell ref="F14:G14"/>
    <mergeCell ref="H14:I14"/>
    <mergeCell ref="B15:C15"/>
    <mergeCell ref="D15:E15"/>
    <mergeCell ref="F15:G15"/>
    <mergeCell ref="H15:I15"/>
    <mergeCell ref="B11:C11"/>
    <mergeCell ref="D11:E11"/>
    <mergeCell ref="F11:G11"/>
    <mergeCell ref="H11:I11"/>
    <mergeCell ref="B12:C12"/>
    <mergeCell ref="D12:E12"/>
    <mergeCell ref="F12:G12"/>
    <mergeCell ref="H12:I12"/>
    <mergeCell ref="B8:C8"/>
    <mergeCell ref="D8:E8"/>
    <mergeCell ref="F8:G8"/>
    <mergeCell ref="H8:I8"/>
    <mergeCell ref="B9:C9"/>
    <mergeCell ref="D9:E9"/>
    <mergeCell ref="F9:G9"/>
    <mergeCell ref="H9:I9"/>
    <mergeCell ref="B2:J2"/>
    <mergeCell ref="B3:J3"/>
    <mergeCell ref="B4:J4"/>
    <mergeCell ref="B5:J5"/>
    <mergeCell ref="B6:E6"/>
    <mergeCell ref="F6:J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10" width="13" customWidth="1"/>
  </cols>
  <sheetData>
    <row r="2" spans="2:11" ht="27.75" customHeight="1" x14ac:dyDescent="0.4">
      <c r="B2" s="1" t="s">
        <v>27</v>
      </c>
      <c r="C2" s="1"/>
      <c r="D2" s="1"/>
      <c r="E2" s="1"/>
      <c r="F2" s="1"/>
      <c r="G2" s="1"/>
      <c r="H2" s="1"/>
      <c r="I2" s="1"/>
      <c r="J2" s="1"/>
    </row>
    <row r="3" spans="2:11" ht="23.85" customHeight="1" x14ac:dyDescent="0.25">
      <c r="B3" s="114" t="s">
        <v>28</v>
      </c>
      <c r="C3" s="114"/>
      <c r="D3" s="114"/>
      <c r="E3" s="114"/>
      <c r="F3" s="114"/>
      <c r="G3" s="114"/>
      <c r="H3" s="114"/>
      <c r="I3" s="114"/>
      <c r="J3" s="114"/>
      <c r="K3" s="114"/>
    </row>
    <row r="5" spans="2:11" x14ac:dyDescent="0.25">
      <c r="B5" s="115" t="s">
        <v>29</v>
      </c>
      <c r="C5" s="115"/>
      <c r="D5" s="115"/>
      <c r="E5" s="115"/>
      <c r="F5" s="115"/>
      <c r="G5" s="115"/>
      <c r="H5" s="115"/>
      <c r="I5" s="115"/>
      <c r="J5" s="115"/>
      <c r="K5" s="115"/>
    </row>
    <row r="6" spans="2:11" x14ac:dyDescent="0.25">
      <c r="B6" s="16" t="s">
        <v>30</v>
      </c>
      <c r="C6" s="3" t="s">
        <v>31</v>
      </c>
      <c r="D6" s="3"/>
      <c r="E6" s="3"/>
      <c r="F6" s="3"/>
      <c r="G6" s="3"/>
      <c r="H6" s="3"/>
      <c r="I6" s="3"/>
      <c r="J6" s="3"/>
      <c r="K6" s="3"/>
    </row>
    <row r="7" spans="2:11" x14ac:dyDescent="0.25">
      <c r="B7" s="17" t="s">
        <v>32</v>
      </c>
      <c r="C7" s="3" t="s">
        <v>33</v>
      </c>
      <c r="D7" s="3"/>
      <c r="E7" s="3"/>
      <c r="F7" s="3"/>
      <c r="G7" s="3"/>
      <c r="H7" s="3"/>
      <c r="I7" s="3"/>
      <c r="J7" s="3"/>
      <c r="K7" s="3"/>
    </row>
    <row r="8" spans="2:11" x14ac:dyDescent="0.25">
      <c r="B8" s="18" t="s">
        <v>34</v>
      </c>
      <c r="C8" s="3" t="s">
        <v>35</v>
      </c>
      <c r="D8" s="3"/>
      <c r="E8" s="3"/>
      <c r="F8" s="3"/>
      <c r="G8" s="3"/>
      <c r="H8" s="3"/>
      <c r="I8" s="3"/>
      <c r="J8" s="3"/>
      <c r="K8" s="3"/>
    </row>
    <row r="9" spans="2:11" x14ac:dyDescent="0.25">
      <c r="B9" s="19" t="s">
        <v>36</v>
      </c>
      <c r="C9" s="3" t="s">
        <v>37</v>
      </c>
      <c r="D9" s="3"/>
      <c r="E9" s="3"/>
      <c r="F9" s="3"/>
      <c r="G9" s="3"/>
      <c r="H9" s="3"/>
      <c r="I9" s="3"/>
      <c r="J9" s="3"/>
      <c r="K9" s="3"/>
    </row>
    <row r="11" spans="2:11" x14ac:dyDescent="0.25">
      <c r="B11" s="115" t="s">
        <v>38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2" spans="2:11" ht="15" customHeight="1" x14ac:dyDescent="0.25">
      <c r="B12" s="116" t="s">
        <v>39</v>
      </c>
      <c r="C12" s="116"/>
      <c r="D12" s="116"/>
      <c r="E12" s="116"/>
      <c r="F12" s="116"/>
      <c r="G12" s="116"/>
      <c r="H12" s="116"/>
      <c r="I12" s="116"/>
      <c r="J12" s="116"/>
      <c r="K12" s="116"/>
    </row>
    <row r="13" spans="2:11" ht="24" customHeight="1" x14ac:dyDescent="0.25">
      <c r="B13" s="117" t="s">
        <v>40</v>
      </c>
      <c r="C13" s="117"/>
      <c r="D13" s="117"/>
      <c r="E13" s="117"/>
      <c r="F13" s="117"/>
      <c r="G13" s="117"/>
      <c r="H13" s="117"/>
      <c r="I13" s="117"/>
      <c r="J13" s="117"/>
      <c r="K13" s="117"/>
    </row>
    <row r="14" spans="2:11" ht="15" customHeight="1" x14ac:dyDescent="0.25">
      <c r="B14" s="116" t="s">
        <v>41</v>
      </c>
      <c r="C14" s="116"/>
      <c r="D14" s="116"/>
      <c r="E14" s="116"/>
      <c r="F14" s="116"/>
      <c r="G14" s="116"/>
      <c r="H14" s="116"/>
      <c r="I14" s="116"/>
      <c r="J14" s="116"/>
      <c r="K14" s="116"/>
    </row>
    <row r="15" spans="2:11" ht="24" customHeight="1" x14ac:dyDescent="0.25">
      <c r="B15" s="117" t="s">
        <v>42</v>
      </c>
      <c r="C15" s="117"/>
      <c r="D15" s="117"/>
      <c r="E15" s="117"/>
      <c r="F15" s="117"/>
      <c r="G15" s="117"/>
      <c r="H15" s="117"/>
      <c r="I15" s="117"/>
      <c r="J15" s="117"/>
      <c r="K15" s="117"/>
    </row>
    <row r="16" spans="2:11" ht="15" customHeight="1" x14ac:dyDescent="0.25">
      <c r="B16" s="116" t="s">
        <v>43</v>
      </c>
      <c r="C16" s="116"/>
      <c r="D16" s="116"/>
      <c r="E16" s="116"/>
      <c r="F16" s="116"/>
      <c r="G16" s="116"/>
      <c r="H16" s="116"/>
      <c r="I16" s="116"/>
      <c r="J16" s="116"/>
      <c r="K16" s="116"/>
    </row>
    <row r="17" spans="2:11" ht="24" customHeight="1" x14ac:dyDescent="0.25">
      <c r="B17" s="117" t="s">
        <v>44</v>
      </c>
      <c r="C17" s="117"/>
      <c r="D17" s="117"/>
      <c r="E17" s="117"/>
      <c r="F17" s="117"/>
      <c r="G17" s="117"/>
      <c r="H17" s="117"/>
      <c r="I17" s="117"/>
      <c r="J17" s="117"/>
      <c r="K17" s="117"/>
    </row>
    <row r="18" spans="2:11" ht="15" customHeight="1" x14ac:dyDescent="0.25">
      <c r="B18" s="116" t="s">
        <v>45</v>
      </c>
      <c r="C18" s="116"/>
      <c r="D18" s="116"/>
      <c r="E18" s="116"/>
      <c r="F18" s="116"/>
      <c r="G18" s="116"/>
      <c r="H18" s="116"/>
      <c r="I18" s="116"/>
      <c r="J18" s="116"/>
      <c r="K18" s="116"/>
    </row>
    <row r="19" spans="2:11" ht="24" customHeight="1" x14ac:dyDescent="0.25">
      <c r="B19" s="117" t="s">
        <v>46</v>
      </c>
      <c r="C19" s="117"/>
      <c r="D19" s="117"/>
      <c r="E19" s="117"/>
      <c r="F19" s="117"/>
      <c r="G19" s="117"/>
      <c r="H19" s="117"/>
      <c r="I19" s="117"/>
      <c r="J19" s="117"/>
      <c r="K19" s="117"/>
    </row>
    <row r="20" spans="2:11" ht="15" customHeight="1" x14ac:dyDescent="0.25">
      <c r="B20" s="116" t="s">
        <v>47</v>
      </c>
      <c r="C20" s="116"/>
      <c r="D20" s="116"/>
      <c r="E20" s="116"/>
      <c r="F20" s="116"/>
      <c r="G20" s="116"/>
      <c r="H20" s="116"/>
      <c r="I20" s="116"/>
      <c r="J20" s="116"/>
      <c r="K20" s="116"/>
    </row>
    <row r="21" spans="2:11" ht="24" customHeight="1" x14ac:dyDescent="0.25">
      <c r="B21" s="117" t="s">
        <v>48</v>
      </c>
      <c r="C21" s="117"/>
      <c r="D21" s="117"/>
      <c r="E21" s="117"/>
      <c r="F21" s="117"/>
      <c r="G21" s="117"/>
      <c r="H21" s="117"/>
      <c r="I21" s="117"/>
      <c r="J21" s="117"/>
      <c r="K21" s="117"/>
    </row>
    <row r="22" spans="2:11" ht="15" customHeight="1" x14ac:dyDescent="0.25">
      <c r="B22" s="116" t="s">
        <v>49</v>
      </c>
      <c r="C22" s="116"/>
      <c r="D22" s="116"/>
      <c r="E22" s="116"/>
      <c r="F22" s="116"/>
      <c r="G22" s="116"/>
      <c r="H22" s="116"/>
      <c r="I22" s="116"/>
      <c r="J22" s="116"/>
      <c r="K22" s="116"/>
    </row>
    <row r="23" spans="2:11" ht="24" customHeight="1" x14ac:dyDescent="0.25">
      <c r="B23" s="117" t="s">
        <v>50</v>
      </c>
      <c r="C23" s="117"/>
      <c r="D23" s="117"/>
      <c r="E23" s="117"/>
      <c r="F23" s="117"/>
      <c r="G23" s="117"/>
      <c r="H23" s="117"/>
      <c r="I23" s="117"/>
      <c r="J23" s="117"/>
      <c r="K23" s="117"/>
    </row>
    <row r="24" spans="2:11" ht="15" customHeight="1" x14ac:dyDescent="0.25">
      <c r="B24" s="116" t="s">
        <v>51</v>
      </c>
      <c r="C24" s="116"/>
      <c r="D24" s="116"/>
      <c r="E24" s="116"/>
      <c r="F24" s="116"/>
      <c r="G24" s="116"/>
      <c r="H24" s="116"/>
      <c r="I24" s="116"/>
      <c r="J24" s="116"/>
      <c r="K24" s="116"/>
    </row>
    <row r="25" spans="2:11" ht="24" customHeight="1" x14ac:dyDescent="0.25">
      <c r="B25" s="117" t="s">
        <v>52</v>
      </c>
      <c r="C25" s="117"/>
      <c r="D25" s="117"/>
      <c r="E25" s="117"/>
      <c r="F25" s="117"/>
      <c r="G25" s="117"/>
      <c r="H25" s="117"/>
      <c r="I25" s="117"/>
      <c r="J25" s="117"/>
      <c r="K25" s="117"/>
    </row>
    <row r="27" spans="2:11" x14ac:dyDescent="0.25">
      <c r="B27" s="115" t="s">
        <v>53</v>
      </c>
      <c r="C27" s="115"/>
      <c r="D27" s="115"/>
      <c r="E27" s="115"/>
      <c r="F27" s="115"/>
      <c r="G27" s="115"/>
      <c r="H27" s="115"/>
      <c r="I27" s="115"/>
      <c r="J27" s="115"/>
      <c r="K27" s="115"/>
    </row>
    <row r="28" spans="2:11" x14ac:dyDescent="0.25">
      <c r="B28" s="20" t="s">
        <v>54</v>
      </c>
      <c r="D28" s="3" t="s">
        <v>55</v>
      </c>
      <c r="E28" s="3"/>
      <c r="F28" s="3"/>
      <c r="G28" s="3"/>
      <c r="H28" s="3"/>
      <c r="I28" s="3"/>
      <c r="J28" s="3"/>
      <c r="K28" s="3"/>
    </row>
    <row r="29" spans="2:11" x14ac:dyDescent="0.25">
      <c r="B29" s="20" t="s">
        <v>56</v>
      </c>
      <c r="D29" s="3" t="s">
        <v>57</v>
      </c>
      <c r="E29" s="3"/>
      <c r="F29" s="3"/>
      <c r="G29" s="3"/>
      <c r="H29" s="3"/>
      <c r="I29" s="3"/>
      <c r="J29" s="3"/>
      <c r="K29" s="3"/>
    </row>
    <row r="30" spans="2:11" x14ac:dyDescent="0.25">
      <c r="B30" s="20" t="s">
        <v>58</v>
      </c>
      <c r="D30" s="3" t="s">
        <v>59</v>
      </c>
      <c r="E30" s="3"/>
      <c r="F30" s="3"/>
      <c r="G30" s="3"/>
      <c r="H30" s="3"/>
      <c r="I30" s="3"/>
      <c r="J30" s="3"/>
      <c r="K30" s="3"/>
    </row>
    <row r="31" spans="2:11" x14ac:dyDescent="0.25">
      <c r="B31" s="20" t="s">
        <v>60</v>
      </c>
      <c r="D31" s="3" t="s">
        <v>61</v>
      </c>
      <c r="E31" s="3"/>
      <c r="F31" s="3"/>
      <c r="G31" s="3"/>
      <c r="H31" s="3"/>
      <c r="I31" s="3"/>
      <c r="J31" s="3"/>
      <c r="K31" s="3"/>
    </row>
    <row r="32" spans="2:11" x14ac:dyDescent="0.25">
      <c r="B32" s="20" t="s">
        <v>62</v>
      </c>
      <c r="D32" s="3" t="s">
        <v>63</v>
      </c>
      <c r="E32" s="3"/>
      <c r="F32" s="3"/>
      <c r="G32" s="3"/>
      <c r="H32" s="3"/>
      <c r="I32" s="3"/>
      <c r="J32" s="3"/>
      <c r="K32" s="3"/>
    </row>
    <row r="33" spans="2:11" x14ac:dyDescent="0.25">
      <c r="B33" s="20" t="s">
        <v>64</v>
      </c>
      <c r="D33" s="3" t="s">
        <v>65</v>
      </c>
      <c r="E33" s="3"/>
      <c r="F33" s="3"/>
      <c r="G33" s="3"/>
      <c r="H33" s="3"/>
      <c r="I33" s="3"/>
      <c r="J33" s="3"/>
      <c r="K33" s="3"/>
    </row>
    <row r="34" spans="2:11" x14ac:dyDescent="0.25">
      <c r="B34" s="20" t="s">
        <v>66</v>
      </c>
      <c r="D34" s="3" t="s">
        <v>67</v>
      </c>
      <c r="E34" s="3"/>
      <c r="F34" s="3"/>
      <c r="G34" s="3"/>
      <c r="H34" s="3"/>
      <c r="I34" s="3"/>
      <c r="J34" s="3"/>
      <c r="K34" s="3"/>
    </row>
    <row r="35" spans="2:11" x14ac:dyDescent="0.25">
      <c r="B35" s="20" t="s">
        <v>68</v>
      </c>
      <c r="D35" s="3" t="s">
        <v>69</v>
      </c>
      <c r="E35" s="3"/>
      <c r="F35" s="3"/>
      <c r="G35" s="3"/>
      <c r="H35" s="3"/>
      <c r="I35" s="3"/>
      <c r="J35" s="3"/>
      <c r="K35" s="3"/>
    </row>
    <row r="36" spans="2:11" x14ac:dyDescent="0.25">
      <c r="B36" s="20" t="s">
        <v>70</v>
      </c>
      <c r="D36" s="3" t="s">
        <v>71</v>
      </c>
      <c r="E36" s="3"/>
      <c r="F36" s="3"/>
      <c r="G36" s="3"/>
      <c r="H36" s="3"/>
      <c r="I36" s="3"/>
      <c r="J36" s="3"/>
      <c r="K36" s="3"/>
    </row>
    <row r="37" spans="2:11" x14ac:dyDescent="0.25">
      <c r="B37" s="20" t="s">
        <v>72</v>
      </c>
      <c r="D37" s="3" t="s">
        <v>73</v>
      </c>
      <c r="E37" s="3"/>
      <c r="F37" s="3"/>
      <c r="G37" s="3"/>
      <c r="H37" s="3"/>
      <c r="I37" s="3"/>
      <c r="J37" s="3"/>
      <c r="K37" s="3"/>
    </row>
    <row r="38" spans="2:11" x14ac:dyDescent="0.25">
      <c r="B38" s="20" t="s">
        <v>74</v>
      </c>
      <c r="D38" s="3" t="s">
        <v>75</v>
      </c>
      <c r="E38" s="3"/>
      <c r="F38" s="3"/>
      <c r="G38" s="3"/>
      <c r="H38" s="3"/>
      <c r="I38" s="3"/>
      <c r="J38" s="3"/>
      <c r="K38" s="3"/>
    </row>
    <row r="39" spans="2:11" x14ac:dyDescent="0.25">
      <c r="B39" s="20" t="s">
        <v>76</v>
      </c>
      <c r="D39" s="3" t="s">
        <v>77</v>
      </c>
      <c r="E39" s="3"/>
      <c r="F39" s="3"/>
      <c r="G39" s="3"/>
      <c r="H39" s="3"/>
      <c r="I39" s="3"/>
      <c r="J39" s="3"/>
      <c r="K39" s="3"/>
    </row>
    <row r="40" spans="2:11" x14ac:dyDescent="0.25">
      <c r="B40" s="20" t="s">
        <v>78</v>
      </c>
      <c r="D40" s="3" t="s">
        <v>79</v>
      </c>
      <c r="E40" s="3"/>
      <c r="F40" s="3"/>
      <c r="G40" s="3"/>
      <c r="H40" s="3"/>
      <c r="I40" s="3"/>
      <c r="J40" s="3"/>
      <c r="K40" s="3"/>
    </row>
    <row r="41" spans="2:11" x14ac:dyDescent="0.25">
      <c r="B41" s="20" t="s">
        <v>80</v>
      </c>
      <c r="D41" s="3" t="s">
        <v>81</v>
      </c>
      <c r="E41" s="3"/>
      <c r="F41" s="3"/>
      <c r="G41" s="3"/>
      <c r="H41" s="3"/>
      <c r="I41" s="3"/>
      <c r="J41" s="3"/>
      <c r="K41" s="3"/>
    </row>
    <row r="43" spans="2:11" x14ac:dyDescent="0.25">
      <c r="B43" s="115" t="s">
        <v>82</v>
      </c>
      <c r="C43" s="115"/>
      <c r="D43" s="115"/>
      <c r="E43" s="115"/>
      <c r="F43" s="115"/>
      <c r="G43" s="115"/>
      <c r="H43" s="115"/>
      <c r="I43" s="115"/>
      <c r="J43" s="115"/>
      <c r="K43" s="115"/>
    </row>
    <row r="44" spans="2:11" ht="21.75" customHeight="1" x14ac:dyDescent="0.25">
      <c r="B44" s="117" t="s">
        <v>83</v>
      </c>
      <c r="C44" s="117"/>
      <c r="D44" s="117"/>
      <c r="E44" s="117"/>
      <c r="F44" s="117"/>
      <c r="G44" s="117"/>
      <c r="H44" s="117"/>
      <c r="I44" s="117"/>
      <c r="J44" s="117"/>
      <c r="K44" s="117"/>
    </row>
    <row r="45" spans="2:11" ht="21.75" customHeight="1" x14ac:dyDescent="0.25">
      <c r="B45" s="117" t="s">
        <v>84</v>
      </c>
      <c r="C45" s="117"/>
      <c r="D45" s="117"/>
      <c r="E45" s="117"/>
      <c r="F45" s="117"/>
      <c r="G45" s="117"/>
      <c r="H45" s="117"/>
      <c r="I45" s="117"/>
      <c r="J45" s="117"/>
      <c r="K45" s="117"/>
    </row>
    <row r="46" spans="2:11" ht="21.75" customHeight="1" x14ac:dyDescent="0.25">
      <c r="B46" s="117" t="s">
        <v>85</v>
      </c>
      <c r="C46" s="117"/>
      <c r="D46" s="117"/>
      <c r="E46" s="117"/>
      <c r="F46" s="117"/>
      <c r="G46" s="117"/>
      <c r="H46" s="117"/>
      <c r="I46" s="117"/>
      <c r="J46" s="117"/>
      <c r="K46" s="117"/>
    </row>
    <row r="47" spans="2:11" ht="21.75" customHeight="1" x14ac:dyDescent="0.25">
      <c r="B47" s="117" t="s">
        <v>86</v>
      </c>
      <c r="C47" s="117"/>
      <c r="D47" s="117"/>
      <c r="E47" s="117"/>
      <c r="F47" s="117"/>
      <c r="G47" s="117"/>
      <c r="H47" s="117"/>
      <c r="I47" s="117"/>
      <c r="J47" s="117"/>
      <c r="K47" s="117"/>
    </row>
    <row r="48" spans="2:11" ht="21.75" customHeight="1" x14ac:dyDescent="0.25">
      <c r="B48" s="117" t="s">
        <v>87</v>
      </c>
      <c r="C48" s="117"/>
      <c r="D48" s="117"/>
      <c r="E48" s="117"/>
      <c r="F48" s="117"/>
      <c r="G48" s="117"/>
      <c r="H48" s="117"/>
      <c r="I48" s="117"/>
      <c r="J48" s="117"/>
      <c r="K48" s="117"/>
    </row>
    <row r="49" spans="2:11" ht="21.75" customHeight="1" x14ac:dyDescent="0.25">
      <c r="B49" s="117" t="s">
        <v>88</v>
      </c>
      <c r="C49" s="117"/>
      <c r="D49" s="117"/>
      <c r="E49" s="117"/>
      <c r="F49" s="117"/>
      <c r="G49" s="117"/>
      <c r="H49" s="117"/>
      <c r="I49" s="117"/>
      <c r="J49" s="117"/>
      <c r="K49" s="117"/>
    </row>
  </sheetData>
  <mergeCells count="44">
    <mergeCell ref="B46:K46"/>
    <mergeCell ref="B47:K47"/>
    <mergeCell ref="B48:K48"/>
    <mergeCell ref="B49:K49"/>
    <mergeCell ref="D40:K40"/>
    <mergeCell ref="D41:K41"/>
    <mergeCell ref="B43:K43"/>
    <mergeCell ref="B44:K44"/>
    <mergeCell ref="B45:K45"/>
    <mergeCell ref="D35:K35"/>
    <mergeCell ref="D36:K36"/>
    <mergeCell ref="D37:K37"/>
    <mergeCell ref="D38:K38"/>
    <mergeCell ref="D39:K39"/>
    <mergeCell ref="D30:K30"/>
    <mergeCell ref="D31:K31"/>
    <mergeCell ref="D32:K32"/>
    <mergeCell ref="D33:K33"/>
    <mergeCell ref="D34:K34"/>
    <mergeCell ref="B24:K24"/>
    <mergeCell ref="B25:K25"/>
    <mergeCell ref="B27:K27"/>
    <mergeCell ref="D28:K28"/>
    <mergeCell ref="D29:K29"/>
    <mergeCell ref="B19:K19"/>
    <mergeCell ref="B20:K20"/>
    <mergeCell ref="B21:K21"/>
    <mergeCell ref="B22:K22"/>
    <mergeCell ref="B23:K23"/>
    <mergeCell ref="B14:K14"/>
    <mergeCell ref="B15:K15"/>
    <mergeCell ref="B16:K16"/>
    <mergeCell ref="B17:K17"/>
    <mergeCell ref="B18:K18"/>
    <mergeCell ref="C8:K8"/>
    <mergeCell ref="C9:K9"/>
    <mergeCell ref="B11:K11"/>
    <mergeCell ref="B12:K12"/>
    <mergeCell ref="B13:K13"/>
    <mergeCell ref="B2:J2"/>
    <mergeCell ref="B3:K3"/>
    <mergeCell ref="B5:K5"/>
    <mergeCell ref="C6:K6"/>
    <mergeCell ref="C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tabSelected="1" zoomScaleNormal="100" workbookViewId="0"/>
  </sheetViews>
  <sheetFormatPr defaultColWidth="8.7109375" defaultRowHeight="15" x14ac:dyDescent="0.25"/>
  <cols>
    <col min="1" max="1" width="34" customWidth="1"/>
    <col min="2" max="2" width="2" customWidth="1"/>
    <col min="3" max="5" width="13" customWidth="1"/>
    <col min="6" max="6" width="2" customWidth="1"/>
    <col min="7" max="7" width="13" customWidth="1"/>
  </cols>
  <sheetData>
    <row r="1" spans="1:7" ht="18" x14ac:dyDescent="0.25">
      <c r="A1" s="21" t="s">
        <v>89</v>
      </c>
    </row>
    <row r="2" spans="1:7" x14ac:dyDescent="0.25">
      <c r="A2" s="15" t="s">
        <v>90</v>
      </c>
    </row>
    <row r="4" spans="1:7" x14ac:dyDescent="0.25">
      <c r="A4" s="22" t="s">
        <v>91</v>
      </c>
      <c r="C4" s="23">
        <v>1</v>
      </c>
      <c r="E4" s="24" t="str">
        <f>IFERROR(CHOOSE(C4,"◀ BASE","◀ UPSIDE","◀ DOWNSIDE"),0)</f>
        <v>◀ BASE</v>
      </c>
    </row>
    <row r="6" spans="1:7" x14ac:dyDescent="0.25">
      <c r="A6" s="25" t="s">
        <v>92</v>
      </c>
      <c r="C6" s="26" t="s">
        <v>93</v>
      </c>
      <c r="D6" s="26" t="s">
        <v>94</v>
      </c>
      <c r="E6" s="26" t="s">
        <v>95</v>
      </c>
      <c r="G6" s="26" t="s">
        <v>96</v>
      </c>
    </row>
    <row r="7" spans="1:7" x14ac:dyDescent="0.25">
      <c r="A7" s="27" t="s">
        <v>97</v>
      </c>
      <c r="C7" s="28"/>
      <c r="D7" s="28"/>
      <c r="E7" s="28"/>
      <c r="G7" s="29">
        <f t="shared" ref="G7:G12" si="0">IFERROR(CHOOSE($C$4,C7,D7,E7),0)</f>
        <v>0</v>
      </c>
    </row>
    <row r="8" spans="1:7" x14ac:dyDescent="0.25">
      <c r="A8" s="27" t="s">
        <v>98</v>
      </c>
      <c r="C8" s="28"/>
      <c r="D8" s="28"/>
      <c r="E8" s="28"/>
      <c r="G8" s="29">
        <f t="shared" si="0"/>
        <v>0</v>
      </c>
    </row>
    <row r="9" spans="1:7" x14ac:dyDescent="0.25">
      <c r="A9" s="27" t="s">
        <v>99</v>
      </c>
      <c r="C9" s="28"/>
      <c r="D9" s="28"/>
      <c r="E9" s="28"/>
      <c r="G9" s="29">
        <f t="shared" si="0"/>
        <v>0</v>
      </c>
    </row>
    <row r="10" spans="1:7" x14ac:dyDescent="0.25">
      <c r="A10" s="27" t="s">
        <v>100</v>
      </c>
      <c r="C10" s="28"/>
      <c r="D10" s="28"/>
      <c r="E10" s="28"/>
      <c r="G10" s="29">
        <f t="shared" si="0"/>
        <v>0</v>
      </c>
    </row>
    <row r="11" spans="1:7" x14ac:dyDescent="0.25">
      <c r="A11" s="27" t="s">
        <v>101</v>
      </c>
      <c r="C11" s="28"/>
      <c r="D11" s="28"/>
      <c r="E11" s="28"/>
      <c r="G11" s="29">
        <f t="shared" si="0"/>
        <v>0</v>
      </c>
    </row>
    <row r="12" spans="1:7" x14ac:dyDescent="0.25">
      <c r="A12" s="27" t="s">
        <v>102</v>
      </c>
      <c r="C12" s="30"/>
      <c r="D12" s="30"/>
      <c r="E12" s="30"/>
      <c r="G12" s="31">
        <f t="shared" si="0"/>
        <v>0</v>
      </c>
    </row>
    <row r="14" spans="1:7" x14ac:dyDescent="0.25">
      <c r="A14" s="15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9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42" customWidth="1"/>
    <col min="2" max="2" width="3" customWidth="1"/>
    <col min="3" max="3" width="14" customWidth="1"/>
    <col min="4" max="4" width="15" customWidth="1"/>
    <col min="5" max="5" width="60" customWidth="1"/>
  </cols>
  <sheetData>
    <row r="1" spans="1:5" ht="19.5" x14ac:dyDescent="0.3">
      <c r="A1" s="118" t="s">
        <v>104</v>
      </c>
      <c r="B1" s="118"/>
      <c r="C1" s="118"/>
      <c r="D1" s="118"/>
      <c r="E1" s="118"/>
    </row>
    <row r="2" spans="1:5" x14ac:dyDescent="0.25">
      <c r="A2" s="12" t="s">
        <v>105</v>
      </c>
      <c r="B2" s="12"/>
      <c r="C2" s="12"/>
      <c r="D2" s="12"/>
      <c r="E2" s="12"/>
    </row>
    <row r="3" spans="1:5" x14ac:dyDescent="0.25">
      <c r="A3" s="25" t="s">
        <v>106</v>
      </c>
      <c r="B3" s="26"/>
      <c r="C3" s="26" t="s">
        <v>107</v>
      </c>
      <c r="D3" s="26" t="s">
        <v>108</v>
      </c>
      <c r="E3" s="26" t="s">
        <v>109</v>
      </c>
    </row>
    <row r="4" spans="1:5" x14ac:dyDescent="0.25">
      <c r="A4" s="32" t="s">
        <v>110</v>
      </c>
      <c r="B4" s="33"/>
      <c r="C4" s="33"/>
      <c r="D4" s="33"/>
      <c r="E4" s="33"/>
    </row>
    <row r="5" spans="1:5" x14ac:dyDescent="0.25">
      <c r="A5" s="27" t="s">
        <v>111</v>
      </c>
      <c r="B5" s="34"/>
      <c r="C5" s="35"/>
      <c r="D5" s="36" t="s">
        <v>112</v>
      </c>
      <c r="E5" s="37" t="s">
        <v>113</v>
      </c>
    </row>
    <row r="6" spans="1:5" x14ac:dyDescent="0.25">
      <c r="A6" s="27" t="s">
        <v>114</v>
      </c>
      <c r="B6" s="34"/>
      <c r="C6" s="23"/>
      <c r="D6" s="36" t="s">
        <v>115</v>
      </c>
      <c r="E6" s="37" t="s">
        <v>116</v>
      </c>
    </row>
    <row r="7" spans="1:5" x14ac:dyDescent="0.25">
      <c r="A7" s="27" t="s">
        <v>117</v>
      </c>
      <c r="B7" s="34"/>
      <c r="C7" s="23"/>
      <c r="D7" s="36" t="s">
        <v>118</v>
      </c>
      <c r="E7" s="37" t="s">
        <v>119</v>
      </c>
    </row>
    <row r="8" spans="1:5" x14ac:dyDescent="0.25">
      <c r="A8" s="32" t="s">
        <v>120</v>
      </c>
      <c r="B8" s="33"/>
      <c r="C8" s="33"/>
      <c r="D8" s="33"/>
      <c r="E8" s="33"/>
    </row>
    <row r="9" spans="1:5" x14ac:dyDescent="0.25">
      <c r="A9" s="27" t="s">
        <v>121</v>
      </c>
      <c r="B9" s="34"/>
      <c r="C9" s="23"/>
      <c r="D9" s="36" t="s">
        <v>122</v>
      </c>
      <c r="E9" s="37" t="s">
        <v>123</v>
      </c>
    </row>
    <row r="10" spans="1:5" x14ac:dyDescent="0.25">
      <c r="A10" s="27" t="s">
        <v>124</v>
      </c>
      <c r="B10" s="34"/>
      <c r="C10" s="23"/>
      <c r="D10" s="36" t="s">
        <v>122</v>
      </c>
      <c r="E10" s="37" t="s">
        <v>125</v>
      </c>
    </row>
    <row r="11" spans="1:5" x14ac:dyDescent="0.25">
      <c r="A11" s="27" t="s">
        <v>126</v>
      </c>
      <c r="B11" s="34"/>
      <c r="C11" s="28"/>
      <c r="D11" s="36" t="s">
        <v>127</v>
      </c>
      <c r="E11" s="37" t="s">
        <v>128</v>
      </c>
    </row>
    <row r="12" spans="1:5" x14ac:dyDescent="0.25">
      <c r="A12" s="27" t="s">
        <v>98</v>
      </c>
      <c r="B12" s="34"/>
      <c r="C12" s="38">
        <f>'Scenario Manager'!$G$8</f>
        <v>0</v>
      </c>
      <c r="D12" s="36" t="s">
        <v>129</v>
      </c>
      <c r="E12" s="37" t="s">
        <v>130</v>
      </c>
    </row>
    <row r="13" spans="1:5" x14ac:dyDescent="0.25">
      <c r="A13" s="27" t="s">
        <v>97</v>
      </c>
      <c r="B13" s="34"/>
      <c r="C13" s="38">
        <f>'Scenario Manager'!$G$7</f>
        <v>0</v>
      </c>
      <c r="D13" s="36" t="s">
        <v>127</v>
      </c>
      <c r="E13" s="37" t="s">
        <v>130</v>
      </c>
    </row>
    <row r="14" spans="1:5" x14ac:dyDescent="0.25">
      <c r="A14" s="32" t="s">
        <v>131</v>
      </c>
      <c r="B14" s="33"/>
      <c r="C14" s="33"/>
      <c r="D14" s="33"/>
      <c r="E14" s="33"/>
    </row>
    <row r="15" spans="1:5" x14ac:dyDescent="0.25">
      <c r="A15" s="27" t="s">
        <v>132</v>
      </c>
      <c r="B15" s="34"/>
      <c r="C15" s="39"/>
      <c r="D15" s="36" t="s">
        <v>133</v>
      </c>
      <c r="E15" s="37" t="s">
        <v>134</v>
      </c>
    </row>
    <row r="16" spans="1:5" x14ac:dyDescent="0.25">
      <c r="A16" s="27" t="s">
        <v>135</v>
      </c>
      <c r="B16" s="34"/>
      <c r="C16" s="39"/>
      <c r="D16" s="36" t="s">
        <v>133</v>
      </c>
      <c r="E16" s="37" t="s">
        <v>134</v>
      </c>
    </row>
    <row r="17" spans="1:5" x14ac:dyDescent="0.25">
      <c r="A17" s="27" t="s">
        <v>99</v>
      </c>
      <c r="B17" s="34"/>
      <c r="C17" s="38">
        <f>'Scenario Manager'!$G$9</f>
        <v>0</v>
      </c>
      <c r="D17" s="36" t="s">
        <v>136</v>
      </c>
      <c r="E17" s="37" t="s">
        <v>130</v>
      </c>
    </row>
    <row r="18" spans="1:5" x14ac:dyDescent="0.25">
      <c r="A18" s="27" t="s">
        <v>137</v>
      </c>
      <c r="B18" s="34"/>
      <c r="C18" s="28"/>
      <c r="D18" s="36" t="s">
        <v>138</v>
      </c>
      <c r="E18" s="40" t="s">
        <v>139</v>
      </c>
    </row>
    <row r="19" spans="1:5" x14ac:dyDescent="0.25">
      <c r="A19" s="32" t="s">
        <v>140</v>
      </c>
      <c r="B19" s="33"/>
      <c r="C19" s="33"/>
      <c r="D19" s="33"/>
      <c r="E19" s="33"/>
    </row>
    <row r="20" spans="1:5" x14ac:dyDescent="0.25">
      <c r="A20" s="27" t="s">
        <v>141</v>
      </c>
      <c r="B20" s="34"/>
      <c r="C20" s="38">
        <f>'Scenario Manager'!$G$10</f>
        <v>0</v>
      </c>
      <c r="D20" s="36" t="s">
        <v>142</v>
      </c>
      <c r="E20" s="37" t="s">
        <v>130</v>
      </c>
    </row>
    <row r="21" spans="1:5" x14ac:dyDescent="0.25">
      <c r="A21" s="27" t="s">
        <v>143</v>
      </c>
      <c r="B21" s="34"/>
      <c r="C21" s="38">
        <f>'Scenario Manager'!$G$11</f>
        <v>0</v>
      </c>
      <c r="D21" s="36" t="s">
        <v>142</v>
      </c>
      <c r="E21" s="37" t="s">
        <v>130</v>
      </c>
    </row>
    <row r="22" spans="1:5" x14ac:dyDescent="0.25">
      <c r="A22" s="27" t="s">
        <v>144</v>
      </c>
      <c r="B22" s="34"/>
      <c r="C22" s="28"/>
      <c r="D22" s="36" t="s">
        <v>145</v>
      </c>
      <c r="E22" s="37" t="s">
        <v>146</v>
      </c>
    </row>
    <row r="23" spans="1:5" x14ac:dyDescent="0.25">
      <c r="A23" s="27" t="s">
        <v>147</v>
      </c>
      <c r="B23" s="34"/>
      <c r="C23" s="28"/>
      <c r="D23" s="36" t="s">
        <v>142</v>
      </c>
      <c r="E23" s="37" t="s">
        <v>148</v>
      </c>
    </row>
    <row r="24" spans="1:5" x14ac:dyDescent="0.25">
      <c r="A24" s="27" t="s">
        <v>149</v>
      </c>
      <c r="B24" s="34"/>
      <c r="C24" s="41"/>
      <c r="D24" s="36" t="s">
        <v>150</v>
      </c>
      <c r="E24" s="37" t="s">
        <v>151</v>
      </c>
    </row>
    <row r="25" spans="1:5" x14ac:dyDescent="0.25">
      <c r="A25" s="27" t="s">
        <v>152</v>
      </c>
      <c r="B25" s="34"/>
      <c r="C25" s="41"/>
      <c r="D25" s="36" t="s">
        <v>150</v>
      </c>
      <c r="E25" s="37" t="s">
        <v>153</v>
      </c>
    </row>
    <row r="26" spans="1:5" x14ac:dyDescent="0.25">
      <c r="A26" s="27" t="s">
        <v>154</v>
      </c>
      <c r="B26" s="34"/>
      <c r="C26" s="42"/>
      <c r="D26" s="36" t="s">
        <v>155</v>
      </c>
      <c r="E26" s="40" t="s">
        <v>156</v>
      </c>
    </row>
    <row r="27" spans="1:5" x14ac:dyDescent="0.25">
      <c r="A27" s="27" t="s">
        <v>157</v>
      </c>
      <c r="B27" s="34"/>
      <c r="C27" s="28"/>
      <c r="D27" s="36" t="s">
        <v>136</v>
      </c>
      <c r="E27" s="37" t="s">
        <v>158</v>
      </c>
    </row>
    <row r="28" spans="1:5" x14ac:dyDescent="0.25">
      <c r="A28" s="32" t="s">
        <v>159</v>
      </c>
      <c r="B28" s="33"/>
      <c r="C28" s="33"/>
      <c r="D28" s="33"/>
      <c r="E28" s="33"/>
    </row>
    <row r="29" spans="1:5" x14ac:dyDescent="0.25">
      <c r="A29" s="27" t="s">
        <v>160</v>
      </c>
      <c r="B29" s="34"/>
      <c r="C29" s="23"/>
      <c r="D29" s="36" t="s">
        <v>161</v>
      </c>
      <c r="E29" s="37" t="s">
        <v>162</v>
      </c>
    </row>
    <row r="30" spans="1:5" x14ac:dyDescent="0.25">
      <c r="A30" s="27" t="s">
        <v>163</v>
      </c>
      <c r="B30" s="34"/>
      <c r="C30" s="23"/>
      <c r="D30" s="36" t="s">
        <v>161</v>
      </c>
      <c r="E30" s="34"/>
    </row>
    <row r="31" spans="1:5" x14ac:dyDescent="0.25">
      <c r="A31" s="27" t="s">
        <v>164</v>
      </c>
      <c r="B31" s="34"/>
      <c r="C31" s="23"/>
      <c r="D31" s="36" t="s">
        <v>161</v>
      </c>
      <c r="E31" s="34"/>
    </row>
    <row r="32" spans="1:5" x14ac:dyDescent="0.25">
      <c r="A32" s="27" t="s">
        <v>165</v>
      </c>
      <c r="B32" s="34"/>
      <c r="C32" s="23"/>
      <c r="D32" s="36" t="s">
        <v>161</v>
      </c>
      <c r="E32" s="34"/>
    </row>
    <row r="33" spans="1:5" x14ac:dyDescent="0.25">
      <c r="A33" s="27" t="s">
        <v>166</v>
      </c>
      <c r="B33" s="34"/>
      <c r="C33" s="23"/>
      <c r="D33" s="36" t="s">
        <v>161</v>
      </c>
      <c r="E33" s="34"/>
    </row>
    <row r="34" spans="1:5" x14ac:dyDescent="0.25">
      <c r="A34" s="27" t="s">
        <v>167</v>
      </c>
      <c r="B34" s="34"/>
      <c r="C34" s="39"/>
      <c r="D34" s="36" t="s">
        <v>168</v>
      </c>
      <c r="E34" s="40" t="s">
        <v>169</v>
      </c>
    </row>
    <row r="35" spans="1:5" x14ac:dyDescent="0.25">
      <c r="A35" s="27" t="s">
        <v>170</v>
      </c>
      <c r="B35" s="34"/>
      <c r="C35" s="23"/>
      <c r="D35" s="36" t="s">
        <v>161</v>
      </c>
      <c r="E35" s="37" t="s">
        <v>171</v>
      </c>
    </row>
    <row r="36" spans="1:5" x14ac:dyDescent="0.25">
      <c r="A36" s="27" t="s">
        <v>172</v>
      </c>
      <c r="B36" s="34"/>
      <c r="C36" s="23"/>
      <c r="D36" s="36" t="s">
        <v>161</v>
      </c>
      <c r="E36" s="34"/>
    </row>
    <row r="37" spans="1:5" x14ac:dyDescent="0.25">
      <c r="A37" s="27" t="s">
        <v>173</v>
      </c>
      <c r="B37" s="34"/>
      <c r="C37" s="23"/>
      <c r="D37" s="36" t="s">
        <v>161</v>
      </c>
      <c r="E37" s="34"/>
    </row>
    <row r="38" spans="1:5" x14ac:dyDescent="0.25">
      <c r="A38" s="27" t="s">
        <v>174</v>
      </c>
      <c r="B38" s="34"/>
      <c r="C38" s="23"/>
      <c r="D38" s="36" t="s">
        <v>161</v>
      </c>
      <c r="E38" s="34"/>
    </row>
    <row r="39" spans="1:5" x14ac:dyDescent="0.25">
      <c r="A39" s="27" t="s">
        <v>175</v>
      </c>
      <c r="B39" s="34"/>
      <c r="C39" s="23"/>
      <c r="D39" s="36" t="s">
        <v>161</v>
      </c>
      <c r="E39" s="34"/>
    </row>
    <row r="40" spans="1:5" x14ac:dyDescent="0.25">
      <c r="A40" s="27" t="s">
        <v>176</v>
      </c>
      <c r="B40" s="34"/>
      <c r="C40" s="39"/>
      <c r="D40" s="36" t="s">
        <v>168</v>
      </c>
      <c r="E40" s="34"/>
    </row>
    <row r="41" spans="1:5" x14ac:dyDescent="0.25">
      <c r="A41" s="27" t="s">
        <v>177</v>
      </c>
      <c r="B41" s="34"/>
      <c r="C41" s="28"/>
      <c r="D41" s="36" t="s">
        <v>136</v>
      </c>
      <c r="E41" s="40" t="s">
        <v>178</v>
      </c>
    </row>
    <row r="42" spans="1:5" x14ac:dyDescent="0.25">
      <c r="A42" s="32" t="s">
        <v>179</v>
      </c>
      <c r="B42" s="33"/>
      <c r="C42" s="33"/>
      <c r="D42" s="33"/>
      <c r="E42" s="33"/>
    </row>
    <row r="43" spans="1:5" x14ac:dyDescent="0.25">
      <c r="A43" s="27" t="s">
        <v>180</v>
      </c>
      <c r="B43" s="34"/>
      <c r="C43" s="43"/>
      <c r="D43" s="36" t="s">
        <v>181</v>
      </c>
      <c r="E43" s="37" t="s">
        <v>182</v>
      </c>
    </row>
    <row r="44" spans="1:5" x14ac:dyDescent="0.25">
      <c r="A44" s="27" t="s">
        <v>183</v>
      </c>
      <c r="B44" s="34"/>
      <c r="C44" s="28"/>
      <c r="D44" s="36" t="s">
        <v>136</v>
      </c>
      <c r="E44" s="37" t="s">
        <v>184</v>
      </c>
    </row>
    <row r="45" spans="1:5" x14ac:dyDescent="0.25">
      <c r="A45" s="27" t="s">
        <v>185</v>
      </c>
      <c r="B45" s="34"/>
      <c r="C45" s="28"/>
      <c r="D45" s="36" t="s">
        <v>186</v>
      </c>
      <c r="E45" s="37" t="s">
        <v>187</v>
      </c>
    </row>
    <row r="46" spans="1:5" x14ac:dyDescent="0.25">
      <c r="A46" s="27" t="s">
        <v>188</v>
      </c>
      <c r="B46" s="34"/>
      <c r="C46" s="28"/>
      <c r="D46" s="36" t="s">
        <v>142</v>
      </c>
      <c r="E46" s="37" t="s">
        <v>189</v>
      </c>
    </row>
    <row r="47" spans="1:5" x14ac:dyDescent="0.25">
      <c r="A47" s="27" t="s">
        <v>190</v>
      </c>
      <c r="B47" s="34"/>
      <c r="C47" s="43"/>
      <c r="D47" s="36" t="s">
        <v>181</v>
      </c>
      <c r="E47" s="37" t="s">
        <v>191</v>
      </c>
    </row>
    <row r="48" spans="1:5" x14ac:dyDescent="0.25">
      <c r="A48" s="27" t="s">
        <v>192</v>
      </c>
      <c r="B48" s="34"/>
      <c r="C48" s="28"/>
      <c r="D48" s="36" t="s">
        <v>136</v>
      </c>
      <c r="E48" s="34"/>
    </row>
    <row r="49" spans="1:5" x14ac:dyDescent="0.25">
      <c r="A49" s="32" t="s">
        <v>193</v>
      </c>
      <c r="B49" s="33"/>
      <c r="C49" s="33"/>
      <c r="D49" s="33"/>
      <c r="E49" s="33"/>
    </row>
    <row r="50" spans="1:5" x14ac:dyDescent="0.25">
      <c r="A50" s="27" t="s">
        <v>194</v>
      </c>
      <c r="B50" s="34"/>
      <c r="C50" s="28"/>
      <c r="D50" s="36" t="s">
        <v>186</v>
      </c>
      <c r="E50" s="40" t="s">
        <v>195</v>
      </c>
    </row>
    <row r="51" spans="1:5" x14ac:dyDescent="0.25">
      <c r="A51" s="27" t="s">
        <v>196</v>
      </c>
      <c r="B51" s="34"/>
      <c r="C51" s="28"/>
      <c r="D51" s="36" t="s">
        <v>186</v>
      </c>
      <c r="E51" s="40" t="s">
        <v>197</v>
      </c>
    </row>
    <row r="52" spans="1:5" x14ac:dyDescent="0.25">
      <c r="A52" s="27" t="s">
        <v>198</v>
      </c>
      <c r="B52" s="34"/>
      <c r="C52" s="28"/>
      <c r="D52" s="36" t="s">
        <v>199</v>
      </c>
      <c r="E52" s="37" t="s">
        <v>200</v>
      </c>
    </row>
    <row r="53" spans="1:5" x14ac:dyDescent="0.25">
      <c r="A53" s="27" t="s">
        <v>201</v>
      </c>
      <c r="B53" s="34"/>
      <c r="C53" s="44"/>
      <c r="D53" s="36" t="s">
        <v>138</v>
      </c>
      <c r="E53" s="40" t="s">
        <v>202</v>
      </c>
    </row>
    <row r="54" spans="1:5" x14ac:dyDescent="0.25">
      <c r="A54" s="32" t="s">
        <v>203</v>
      </c>
      <c r="B54" s="33"/>
      <c r="C54" s="33"/>
      <c r="D54" s="33"/>
      <c r="E54" s="33"/>
    </row>
    <row r="55" spans="1:5" x14ac:dyDescent="0.25">
      <c r="A55" s="27" t="s">
        <v>204</v>
      </c>
      <c r="B55" s="34"/>
      <c r="C55" s="23"/>
      <c r="D55" s="36" t="s">
        <v>205</v>
      </c>
      <c r="E55" s="37" t="s">
        <v>206</v>
      </c>
    </row>
    <row r="56" spans="1:5" x14ac:dyDescent="0.25">
      <c r="A56" s="27" t="s">
        <v>207</v>
      </c>
      <c r="B56" s="34"/>
      <c r="C56" s="23"/>
      <c r="D56" s="36" t="s">
        <v>205</v>
      </c>
      <c r="E56" s="37" t="s">
        <v>208</v>
      </c>
    </row>
    <row r="57" spans="1:5" x14ac:dyDescent="0.25">
      <c r="A57" s="27" t="s">
        <v>209</v>
      </c>
      <c r="B57" s="34"/>
      <c r="C57" s="23"/>
      <c r="D57" s="36" t="s">
        <v>205</v>
      </c>
      <c r="E57" s="37" t="s">
        <v>210</v>
      </c>
    </row>
    <row r="59" spans="1:5" x14ac:dyDescent="0.25">
      <c r="A59" s="119" t="s">
        <v>211</v>
      </c>
      <c r="B59" s="119"/>
      <c r="C59" s="119"/>
      <c r="D59" s="119"/>
      <c r="E59" s="119"/>
    </row>
  </sheetData>
  <mergeCells count="3">
    <mergeCell ref="A1:E1"/>
    <mergeCell ref="A2:E2"/>
    <mergeCell ref="A59:E59"/>
  </mergeCells>
  <hyperlinks>
    <hyperlink ref="E18" r:id="rId1" xr:uid="{00000000-0004-0000-0300-000000000000}"/>
    <hyperlink ref="E26" r:id="rId2" xr:uid="{00000000-0004-0000-0300-000001000000}"/>
    <hyperlink ref="E34" r:id="rId3" xr:uid="{00000000-0004-0000-0300-000002000000}"/>
    <hyperlink ref="E41" r:id="rId4" xr:uid="{00000000-0004-0000-0300-000003000000}"/>
    <hyperlink ref="E50" r:id="rId5" xr:uid="{00000000-0004-0000-0300-000004000000}"/>
    <hyperlink ref="E51" r:id="rId6" xr:uid="{00000000-0004-0000-0300-000005000000}"/>
    <hyperlink ref="E53" r:id="rId7" xr:uid="{00000000-0004-0000-0300-000006000000}"/>
  </hyperlinks>
  <pageMargins left="0.75" right="0.75" top="1" bottom="1" header="0.511811023622047" footer="0.511811023622047"/>
  <pageSetup paperSize="9" orientation="portrait" horizontalDpi="300" verticalDpi="300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53"/>
  <sheetViews>
    <sheetView showGridLines="0" topLeftCell="A27" zoomScaleNormal="100" workbookViewId="0">
      <selection activeCell="B10" sqref="B10"/>
    </sheetView>
  </sheetViews>
  <sheetFormatPr defaultColWidth="8.7109375" defaultRowHeight="15" x14ac:dyDescent="0.25"/>
  <cols>
    <col min="1" max="1" width="34" customWidth="1"/>
    <col min="2" max="61" width="10.5703125" customWidth="1"/>
  </cols>
  <sheetData>
    <row r="1" spans="1:61" ht="18" x14ac:dyDescent="0.25">
      <c r="A1" s="21" t="s">
        <v>212</v>
      </c>
    </row>
    <row r="2" spans="1:61" x14ac:dyDescent="0.25">
      <c r="A2" s="15" t="s">
        <v>213</v>
      </c>
    </row>
    <row r="3" spans="1:61" x14ac:dyDescent="0.25">
      <c r="A3" s="46" t="s">
        <v>214</v>
      </c>
      <c r="B3" s="47">
        <f t="shared" ref="B3:AG3" si="0">IFERROR(ROUNDUP(B4/12,0),0)</f>
        <v>1</v>
      </c>
      <c r="C3" s="47">
        <f t="shared" si="0"/>
        <v>1</v>
      </c>
      <c r="D3" s="47">
        <f t="shared" si="0"/>
        <v>1</v>
      </c>
      <c r="E3" s="47">
        <f t="shared" si="0"/>
        <v>1</v>
      </c>
      <c r="F3" s="47">
        <f t="shared" si="0"/>
        <v>1</v>
      </c>
      <c r="G3" s="47">
        <f t="shared" si="0"/>
        <v>1</v>
      </c>
      <c r="H3" s="47">
        <f t="shared" si="0"/>
        <v>1</v>
      </c>
      <c r="I3" s="47">
        <f t="shared" si="0"/>
        <v>1</v>
      </c>
      <c r="J3" s="47">
        <f t="shared" si="0"/>
        <v>1</v>
      </c>
      <c r="K3" s="47">
        <f t="shared" si="0"/>
        <v>1</v>
      </c>
      <c r="L3" s="47">
        <f t="shared" si="0"/>
        <v>1</v>
      </c>
      <c r="M3" s="47">
        <f t="shared" si="0"/>
        <v>1</v>
      </c>
      <c r="N3" s="47">
        <f t="shared" si="0"/>
        <v>2</v>
      </c>
      <c r="O3" s="47">
        <f t="shared" si="0"/>
        <v>2</v>
      </c>
      <c r="P3" s="47">
        <f t="shared" si="0"/>
        <v>2</v>
      </c>
      <c r="Q3" s="47">
        <f t="shared" si="0"/>
        <v>2</v>
      </c>
      <c r="R3" s="47">
        <f t="shared" si="0"/>
        <v>2</v>
      </c>
      <c r="S3" s="47">
        <f t="shared" si="0"/>
        <v>2</v>
      </c>
      <c r="T3" s="47">
        <f t="shared" si="0"/>
        <v>2</v>
      </c>
      <c r="U3" s="47">
        <f t="shared" si="0"/>
        <v>2</v>
      </c>
      <c r="V3" s="47">
        <f t="shared" si="0"/>
        <v>2</v>
      </c>
      <c r="W3" s="47">
        <f t="shared" si="0"/>
        <v>2</v>
      </c>
      <c r="X3" s="47">
        <f t="shared" si="0"/>
        <v>2</v>
      </c>
      <c r="Y3" s="47">
        <f t="shared" si="0"/>
        <v>2</v>
      </c>
      <c r="Z3" s="47">
        <f t="shared" si="0"/>
        <v>3</v>
      </c>
      <c r="AA3" s="47">
        <f t="shared" si="0"/>
        <v>3</v>
      </c>
      <c r="AB3" s="47">
        <f t="shared" si="0"/>
        <v>3</v>
      </c>
      <c r="AC3" s="47">
        <f t="shared" si="0"/>
        <v>3</v>
      </c>
      <c r="AD3" s="47">
        <f t="shared" si="0"/>
        <v>3</v>
      </c>
      <c r="AE3" s="47">
        <f t="shared" si="0"/>
        <v>3</v>
      </c>
      <c r="AF3" s="47">
        <f t="shared" si="0"/>
        <v>3</v>
      </c>
      <c r="AG3" s="47">
        <f t="shared" si="0"/>
        <v>3</v>
      </c>
      <c r="AH3" s="47">
        <f t="shared" ref="AH3:BM3" si="1">IFERROR(ROUNDUP(AH4/12,0),0)</f>
        <v>3</v>
      </c>
      <c r="AI3" s="47">
        <f t="shared" si="1"/>
        <v>3</v>
      </c>
      <c r="AJ3" s="47">
        <f t="shared" si="1"/>
        <v>3</v>
      </c>
      <c r="AK3" s="47">
        <f t="shared" si="1"/>
        <v>3</v>
      </c>
      <c r="AL3" s="47">
        <f t="shared" si="1"/>
        <v>4</v>
      </c>
      <c r="AM3" s="47">
        <f t="shared" si="1"/>
        <v>4</v>
      </c>
      <c r="AN3" s="47">
        <f t="shared" si="1"/>
        <v>4</v>
      </c>
      <c r="AO3" s="47">
        <f t="shared" si="1"/>
        <v>4</v>
      </c>
      <c r="AP3" s="47">
        <f t="shared" si="1"/>
        <v>4</v>
      </c>
      <c r="AQ3" s="47">
        <f t="shared" si="1"/>
        <v>4</v>
      </c>
      <c r="AR3" s="47">
        <f t="shared" si="1"/>
        <v>4</v>
      </c>
      <c r="AS3" s="47">
        <f t="shared" si="1"/>
        <v>4</v>
      </c>
      <c r="AT3" s="47">
        <f t="shared" si="1"/>
        <v>4</v>
      </c>
      <c r="AU3" s="47">
        <f t="shared" si="1"/>
        <v>4</v>
      </c>
      <c r="AV3" s="47">
        <f t="shared" si="1"/>
        <v>4</v>
      </c>
      <c r="AW3" s="47">
        <f t="shared" si="1"/>
        <v>4</v>
      </c>
      <c r="AX3" s="47">
        <f t="shared" si="1"/>
        <v>5</v>
      </c>
      <c r="AY3" s="47">
        <f t="shared" si="1"/>
        <v>5</v>
      </c>
      <c r="AZ3" s="47">
        <f t="shared" si="1"/>
        <v>5</v>
      </c>
      <c r="BA3" s="47">
        <f t="shared" si="1"/>
        <v>5</v>
      </c>
      <c r="BB3" s="47">
        <f t="shared" si="1"/>
        <v>5</v>
      </c>
      <c r="BC3" s="47">
        <f t="shared" si="1"/>
        <v>5</v>
      </c>
      <c r="BD3" s="47">
        <f t="shared" si="1"/>
        <v>5</v>
      </c>
      <c r="BE3" s="47">
        <f t="shared" si="1"/>
        <v>5</v>
      </c>
      <c r="BF3" s="47">
        <f t="shared" si="1"/>
        <v>5</v>
      </c>
      <c r="BG3" s="47">
        <f t="shared" si="1"/>
        <v>5</v>
      </c>
      <c r="BH3" s="47">
        <f t="shared" si="1"/>
        <v>5</v>
      </c>
      <c r="BI3" s="47">
        <f t="shared" si="1"/>
        <v>5</v>
      </c>
    </row>
    <row r="4" spans="1:61" x14ac:dyDescent="0.25">
      <c r="A4" s="46" t="s">
        <v>215</v>
      </c>
      <c r="B4" s="48">
        <v>1</v>
      </c>
      <c r="C4" s="48">
        <v>2</v>
      </c>
      <c r="D4" s="48">
        <v>3</v>
      </c>
      <c r="E4" s="48">
        <v>4</v>
      </c>
      <c r="F4" s="48">
        <v>5</v>
      </c>
      <c r="G4" s="48">
        <v>6</v>
      </c>
      <c r="H4" s="48">
        <v>7</v>
      </c>
      <c r="I4" s="48">
        <v>8</v>
      </c>
      <c r="J4" s="48">
        <v>9</v>
      </c>
      <c r="K4" s="48">
        <v>10</v>
      </c>
      <c r="L4" s="48">
        <v>11</v>
      </c>
      <c r="M4" s="48">
        <v>12</v>
      </c>
      <c r="N4" s="48">
        <v>13</v>
      </c>
      <c r="O4" s="48">
        <v>14</v>
      </c>
      <c r="P4" s="48">
        <v>15</v>
      </c>
      <c r="Q4" s="48">
        <v>16</v>
      </c>
      <c r="R4" s="48">
        <v>17</v>
      </c>
      <c r="S4" s="48">
        <v>18</v>
      </c>
      <c r="T4" s="48">
        <v>19</v>
      </c>
      <c r="U4" s="48">
        <v>20</v>
      </c>
      <c r="V4" s="48">
        <v>21</v>
      </c>
      <c r="W4" s="48">
        <v>22</v>
      </c>
      <c r="X4" s="48">
        <v>23</v>
      </c>
      <c r="Y4" s="48">
        <v>24</v>
      </c>
      <c r="Z4" s="48">
        <v>25</v>
      </c>
      <c r="AA4" s="48">
        <v>26</v>
      </c>
      <c r="AB4" s="48">
        <v>27</v>
      </c>
      <c r="AC4" s="48">
        <v>28</v>
      </c>
      <c r="AD4" s="48">
        <v>29</v>
      </c>
      <c r="AE4" s="48">
        <v>30</v>
      </c>
      <c r="AF4" s="48">
        <v>31</v>
      </c>
      <c r="AG4" s="48">
        <v>32</v>
      </c>
      <c r="AH4" s="48">
        <v>33</v>
      </c>
      <c r="AI4" s="48">
        <v>34</v>
      </c>
      <c r="AJ4" s="48">
        <v>35</v>
      </c>
      <c r="AK4" s="48">
        <v>36</v>
      </c>
      <c r="AL4" s="48">
        <v>37</v>
      </c>
      <c r="AM4" s="48">
        <v>38</v>
      </c>
      <c r="AN4" s="48">
        <v>39</v>
      </c>
      <c r="AO4" s="48">
        <v>40</v>
      </c>
      <c r="AP4" s="48">
        <v>41</v>
      </c>
      <c r="AQ4" s="48">
        <v>42</v>
      </c>
      <c r="AR4" s="48">
        <v>43</v>
      </c>
      <c r="AS4" s="48">
        <v>44</v>
      </c>
      <c r="AT4" s="48">
        <v>45</v>
      </c>
      <c r="AU4" s="48">
        <v>46</v>
      </c>
      <c r="AV4" s="48">
        <v>47</v>
      </c>
      <c r="AW4" s="48">
        <v>48</v>
      </c>
      <c r="AX4" s="48">
        <v>49</v>
      </c>
      <c r="AY4" s="48">
        <v>50</v>
      </c>
      <c r="AZ4" s="48">
        <v>51</v>
      </c>
      <c r="BA4" s="48">
        <v>52</v>
      </c>
      <c r="BB4" s="48">
        <v>53</v>
      </c>
      <c r="BC4" s="48">
        <v>54</v>
      </c>
      <c r="BD4" s="48">
        <v>55</v>
      </c>
      <c r="BE4" s="48">
        <v>56</v>
      </c>
      <c r="BF4" s="48">
        <v>57</v>
      </c>
      <c r="BG4" s="48">
        <v>58</v>
      </c>
      <c r="BH4" s="48">
        <v>59</v>
      </c>
      <c r="BI4" s="48">
        <v>60</v>
      </c>
    </row>
    <row r="5" spans="1:61" x14ac:dyDescent="0.25">
      <c r="A5" s="46" t="s">
        <v>216</v>
      </c>
      <c r="B5" s="49" t="str">
        <f>IF(Assumptions!$C$5="","",EDATE(Assumptions!$C$5,B4-1))</f>
        <v/>
      </c>
      <c r="C5" s="49" t="str">
        <f>IF(Assumptions!$C$5="","",EDATE(Assumptions!$C$5,C4-1))</f>
        <v/>
      </c>
      <c r="D5" s="49" t="str">
        <f>IF(Assumptions!$C$5="","",EDATE(Assumptions!$C$5,D4-1))</f>
        <v/>
      </c>
      <c r="E5" s="49" t="str">
        <f>IF(Assumptions!$C$5="","",EDATE(Assumptions!$C$5,E4-1))</f>
        <v/>
      </c>
      <c r="F5" s="49" t="str">
        <f>IF(Assumptions!$C$5="","",EDATE(Assumptions!$C$5,F4-1))</f>
        <v/>
      </c>
      <c r="G5" s="49" t="str">
        <f>IF(Assumptions!$C$5="","",EDATE(Assumptions!$C$5,G4-1))</f>
        <v/>
      </c>
      <c r="H5" s="49" t="str">
        <f>IF(Assumptions!$C$5="","",EDATE(Assumptions!$C$5,H4-1))</f>
        <v/>
      </c>
      <c r="I5" s="49" t="str">
        <f>IF(Assumptions!$C$5="","",EDATE(Assumptions!$C$5,I4-1))</f>
        <v/>
      </c>
      <c r="J5" s="49" t="str">
        <f>IF(Assumptions!$C$5="","",EDATE(Assumptions!$C$5,J4-1))</f>
        <v/>
      </c>
      <c r="K5" s="49" t="str">
        <f>IF(Assumptions!$C$5="","",EDATE(Assumptions!$C$5,K4-1))</f>
        <v/>
      </c>
      <c r="L5" s="49" t="str">
        <f>IF(Assumptions!$C$5="","",EDATE(Assumptions!$C$5,L4-1))</f>
        <v/>
      </c>
      <c r="M5" s="49" t="str">
        <f>IF(Assumptions!$C$5="","",EDATE(Assumptions!$C$5,M4-1))</f>
        <v/>
      </c>
      <c r="N5" s="49" t="str">
        <f>IF(Assumptions!$C$5="","",EDATE(Assumptions!$C$5,N4-1))</f>
        <v/>
      </c>
      <c r="O5" s="49" t="str">
        <f>IF(Assumptions!$C$5="","",EDATE(Assumptions!$C$5,O4-1))</f>
        <v/>
      </c>
      <c r="P5" s="49" t="str">
        <f>IF(Assumptions!$C$5="","",EDATE(Assumptions!$C$5,P4-1))</f>
        <v/>
      </c>
      <c r="Q5" s="49" t="str">
        <f>IF(Assumptions!$C$5="","",EDATE(Assumptions!$C$5,Q4-1))</f>
        <v/>
      </c>
      <c r="R5" s="49" t="str">
        <f>IF(Assumptions!$C$5="","",EDATE(Assumptions!$C$5,R4-1))</f>
        <v/>
      </c>
      <c r="S5" s="49" t="str">
        <f>IF(Assumptions!$C$5="","",EDATE(Assumptions!$C$5,S4-1))</f>
        <v/>
      </c>
      <c r="T5" s="49" t="str">
        <f>IF(Assumptions!$C$5="","",EDATE(Assumptions!$C$5,T4-1))</f>
        <v/>
      </c>
      <c r="U5" s="49" t="str">
        <f>IF(Assumptions!$C$5="","",EDATE(Assumptions!$C$5,U4-1))</f>
        <v/>
      </c>
      <c r="V5" s="49" t="str">
        <f>IF(Assumptions!$C$5="","",EDATE(Assumptions!$C$5,V4-1))</f>
        <v/>
      </c>
      <c r="W5" s="49" t="str">
        <f>IF(Assumptions!$C$5="","",EDATE(Assumptions!$C$5,W4-1))</f>
        <v/>
      </c>
      <c r="X5" s="49" t="str">
        <f>IF(Assumptions!$C$5="","",EDATE(Assumptions!$C$5,X4-1))</f>
        <v/>
      </c>
      <c r="Y5" s="49" t="str">
        <f>IF(Assumptions!$C$5="","",EDATE(Assumptions!$C$5,Y4-1))</f>
        <v/>
      </c>
      <c r="Z5" s="49" t="str">
        <f>IF(Assumptions!$C$5="","",EDATE(Assumptions!$C$5,Z4-1))</f>
        <v/>
      </c>
      <c r="AA5" s="49" t="str">
        <f>IF(Assumptions!$C$5="","",EDATE(Assumptions!$C$5,AA4-1))</f>
        <v/>
      </c>
      <c r="AB5" s="49" t="str">
        <f>IF(Assumptions!$C$5="","",EDATE(Assumptions!$C$5,AB4-1))</f>
        <v/>
      </c>
      <c r="AC5" s="49" t="str">
        <f>IF(Assumptions!$C$5="","",EDATE(Assumptions!$C$5,AC4-1))</f>
        <v/>
      </c>
      <c r="AD5" s="49" t="str">
        <f>IF(Assumptions!$C$5="","",EDATE(Assumptions!$C$5,AD4-1))</f>
        <v/>
      </c>
      <c r="AE5" s="49" t="str">
        <f>IF(Assumptions!$C$5="","",EDATE(Assumptions!$C$5,AE4-1))</f>
        <v/>
      </c>
      <c r="AF5" s="49" t="str">
        <f>IF(Assumptions!$C$5="","",EDATE(Assumptions!$C$5,AF4-1))</f>
        <v/>
      </c>
      <c r="AG5" s="49" t="str">
        <f>IF(Assumptions!$C$5="","",EDATE(Assumptions!$C$5,AG4-1))</f>
        <v/>
      </c>
      <c r="AH5" s="49" t="str">
        <f>IF(Assumptions!$C$5="","",EDATE(Assumptions!$C$5,AH4-1))</f>
        <v/>
      </c>
      <c r="AI5" s="49" t="str">
        <f>IF(Assumptions!$C$5="","",EDATE(Assumptions!$C$5,AI4-1))</f>
        <v/>
      </c>
      <c r="AJ5" s="49" t="str">
        <f>IF(Assumptions!$C$5="","",EDATE(Assumptions!$C$5,AJ4-1))</f>
        <v/>
      </c>
      <c r="AK5" s="49" t="str">
        <f>IF(Assumptions!$C$5="","",EDATE(Assumptions!$C$5,AK4-1))</f>
        <v/>
      </c>
      <c r="AL5" s="49" t="str">
        <f>IF(Assumptions!$C$5="","",EDATE(Assumptions!$C$5,AL4-1))</f>
        <v/>
      </c>
      <c r="AM5" s="49" t="str">
        <f>IF(Assumptions!$C$5="","",EDATE(Assumptions!$C$5,AM4-1))</f>
        <v/>
      </c>
      <c r="AN5" s="49" t="str">
        <f>IF(Assumptions!$C$5="","",EDATE(Assumptions!$C$5,AN4-1))</f>
        <v/>
      </c>
      <c r="AO5" s="49" t="str">
        <f>IF(Assumptions!$C$5="","",EDATE(Assumptions!$C$5,AO4-1))</f>
        <v/>
      </c>
      <c r="AP5" s="49" t="str">
        <f>IF(Assumptions!$C$5="","",EDATE(Assumptions!$C$5,AP4-1))</f>
        <v/>
      </c>
      <c r="AQ5" s="49" t="str">
        <f>IF(Assumptions!$C$5="","",EDATE(Assumptions!$C$5,AQ4-1))</f>
        <v/>
      </c>
      <c r="AR5" s="49" t="str">
        <f>IF(Assumptions!$C$5="","",EDATE(Assumptions!$C$5,AR4-1))</f>
        <v/>
      </c>
      <c r="AS5" s="49" t="str">
        <f>IF(Assumptions!$C$5="","",EDATE(Assumptions!$C$5,AS4-1))</f>
        <v/>
      </c>
      <c r="AT5" s="49" t="str">
        <f>IF(Assumptions!$C$5="","",EDATE(Assumptions!$C$5,AT4-1))</f>
        <v/>
      </c>
      <c r="AU5" s="49" t="str">
        <f>IF(Assumptions!$C$5="","",EDATE(Assumptions!$C$5,AU4-1))</f>
        <v/>
      </c>
      <c r="AV5" s="49" t="str">
        <f>IF(Assumptions!$C$5="","",EDATE(Assumptions!$C$5,AV4-1))</f>
        <v/>
      </c>
      <c r="AW5" s="49" t="str">
        <f>IF(Assumptions!$C$5="","",EDATE(Assumptions!$C$5,AW4-1))</f>
        <v/>
      </c>
      <c r="AX5" s="49" t="str">
        <f>IF(Assumptions!$C$5="","",EDATE(Assumptions!$C$5,AX4-1))</f>
        <v/>
      </c>
      <c r="AY5" s="49" t="str">
        <f>IF(Assumptions!$C$5="","",EDATE(Assumptions!$C$5,AY4-1))</f>
        <v/>
      </c>
      <c r="AZ5" s="49" t="str">
        <f>IF(Assumptions!$C$5="","",EDATE(Assumptions!$C$5,AZ4-1))</f>
        <v/>
      </c>
      <c r="BA5" s="49" t="str">
        <f>IF(Assumptions!$C$5="","",EDATE(Assumptions!$C$5,BA4-1))</f>
        <v/>
      </c>
      <c r="BB5" s="49" t="str">
        <f>IF(Assumptions!$C$5="","",EDATE(Assumptions!$C$5,BB4-1))</f>
        <v/>
      </c>
      <c r="BC5" s="49" t="str">
        <f>IF(Assumptions!$C$5="","",EDATE(Assumptions!$C$5,BC4-1))</f>
        <v/>
      </c>
      <c r="BD5" s="49" t="str">
        <f>IF(Assumptions!$C$5="","",EDATE(Assumptions!$C$5,BD4-1))</f>
        <v/>
      </c>
      <c r="BE5" s="49" t="str">
        <f>IF(Assumptions!$C$5="","",EDATE(Assumptions!$C$5,BE4-1))</f>
        <v/>
      </c>
      <c r="BF5" s="49" t="str">
        <f>IF(Assumptions!$C$5="","",EDATE(Assumptions!$C$5,BF4-1))</f>
        <v/>
      </c>
      <c r="BG5" s="49" t="str">
        <f>IF(Assumptions!$C$5="","",EDATE(Assumptions!$C$5,BG4-1))</f>
        <v/>
      </c>
      <c r="BH5" s="49" t="str">
        <f>IF(Assumptions!$C$5="","",EDATE(Assumptions!$C$5,BH4-1))</f>
        <v/>
      </c>
      <c r="BI5" s="49" t="str">
        <f>IF(Assumptions!$C$5="","",EDATE(Assumptions!$C$5,BI4-1))</f>
        <v/>
      </c>
    </row>
    <row r="7" spans="1:61" x14ac:dyDescent="0.25">
      <c r="A7" s="32" t="s">
        <v>217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 spans="1:61" x14ac:dyDescent="0.25">
      <c r="A8" s="50" t="s">
        <v>218</v>
      </c>
      <c r="B8" s="51">
        <f>IF(B4&lt;Assumptions!$C$6,0,MIN(Assumptions!$C$13,Assumptions!$C$11+(B4-Assumptions!$C$6)*Assumptions!$C$12))</f>
        <v>0</v>
      </c>
      <c r="C8" s="51">
        <f>IF(C4&lt;Assumptions!$C$6,0,MIN(Assumptions!$C$13,Assumptions!$C$11+(C4-Assumptions!$C$6)*Assumptions!$C$12))</f>
        <v>0</v>
      </c>
      <c r="D8" s="51">
        <f>IF(D4&lt;Assumptions!$C$6,0,MIN(Assumptions!$C$13,Assumptions!$C$11+(D4-Assumptions!$C$6)*Assumptions!$C$12))</f>
        <v>0</v>
      </c>
      <c r="E8" s="51">
        <f>IF(E4&lt;Assumptions!$C$6,0,MIN(Assumptions!$C$13,Assumptions!$C$11+(E4-Assumptions!$C$6)*Assumptions!$C$12))</f>
        <v>0</v>
      </c>
      <c r="F8" s="51">
        <f>IF(F4&lt;Assumptions!$C$6,0,MIN(Assumptions!$C$13,Assumptions!$C$11+(F4-Assumptions!$C$6)*Assumptions!$C$12))</f>
        <v>0</v>
      </c>
      <c r="G8" s="51">
        <f>IF(G4&lt;Assumptions!$C$6,0,MIN(Assumptions!$C$13,Assumptions!$C$11+(G4-Assumptions!$C$6)*Assumptions!$C$12))</f>
        <v>0</v>
      </c>
      <c r="H8" s="51">
        <f>IF(H4&lt;Assumptions!$C$6,0,MIN(Assumptions!$C$13,Assumptions!$C$11+(H4-Assumptions!$C$6)*Assumptions!$C$12))</f>
        <v>0</v>
      </c>
      <c r="I8" s="51">
        <f>IF(I4&lt;Assumptions!$C$6,0,MIN(Assumptions!$C$13,Assumptions!$C$11+(I4-Assumptions!$C$6)*Assumptions!$C$12))</f>
        <v>0</v>
      </c>
      <c r="J8" s="51">
        <f>IF(J4&lt;Assumptions!$C$6,0,MIN(Assumptions!$C$13,Assumptions!$C$11+(J4-Assumptions!$C$6)*Assumptions!$C$12))</f>
        <v>0</v>
      </c>
      <c r="K8" s="51">
        <f>IF(K4&lt;Assumptions!$C$6,0,MIN(Assumptions!$C$13,Assumptions!$C$11+(K4-Assumptions!$C$6)*Assumptions!$C$12))</f>
        <v>0</v>
      </c>
      <c r="L8" s="51">
        <f>IF(L4&lt;Assumptions!$C$6,0,MIN(Assumptions!$C$13,Assumptions!$C$11+(L4-Assumptions!$C$6)*Assumptions!$C$12))</f>
        <v>0</v>
      </c>
      <c r="M8" s="51">
        <f>IF(M4&lt;Assumptions!$C$6,0,MIN(Assumptions!$C$13,Assumptions!$C$11+(M4-Assumptions!$C$6)*Assumptions!$C$12))</f>
        <v>0</v>
      </c>
      <c r="N8" s="51">
        <f>IF(N4&lt;Assumptions!$C$6,0,MIN(Assumptions!$C$13,Assumptions!$C$11+(N4-Assumptions!$C$6)*Assumptions!$C$12))</f>
        <v>0</v>
      </c>
      <c r="O8" s="51">
        <f>IF(O4&lt;Assumptions!$C$6,0,MIN(Assumptions!$C$13,Assumptions!$C$11+(O4-Assumptions!$C$6)*Assumptions!$C$12))</f>
        <v>0</v>
      </c>
      <c r="P8" s="51">
        <f>IF(P4&lt;Assumptions!$C$6,0,MIN(Assumptions!$C$13,Assumptions!$C$11+(P4-Assumptions!$C$6)*Assumptions!$C$12))</f>
        <v>0</v>
      </c>
      <c r="Q8" s="51">
        <f>IF(Q4&lt;Assumptions!$C$6,0,MIN(Assumptions!$C$13,Assumptions!$C$11+(Q4-Assumptions!$C$6)*Assumptions!$C$12))</f>
        <v>0</v>
      </c>
      <c r="R8" s="51">
        <f>IF(R4&lt;Assumptions!$C$6,0,MIN(Assumptions!$C$13,Assumptions!$C$11+(R4-Assumptions!$C$6)*Assumptions!$C$12))</f>
        <v>0</v>
      </c>
      <c r="S8" s="51">
        <f>IF(S4&lt;Assumptions!$C$6,0,MIN(Assumptions!$C$13,Assumptions!$C$11+(S4-Assumptions!$C$6)*Assumptions!$C$12))</f>
        <v>0</v>
      </c>
      <c r="T8" s="51">
        <f>IF(T4&lt;Assumptions!$C$6,0,MIN(Assumptions!$C$13,Assumptions!$C$11+(T4-Assumptions!$C$6)*Assumptions!$C$12))</f>
        <v>0</v>
      </c>
      <c r="U8" s="51">
        <f>IF(U4&lt;Assumptions!$C$6,0,MIN(Assumptions!$C$13,Assumptions!$C$11+(U4-Assumptions!$C$6)*Assumptions!$C$12))</f>
        <v>0</v>
      </c>
      <c r="V8" s="51">
        <f>IF(V4&lt;Assumptions!$C$6,0,MIN(Assumptions!$C$13,Assumptions!$C$11+(V4-Assumptions!$C$6)*Assumptions!$C$12))</f>
        <v>0</v>
      </c>
      <c r="W8" s="51">
        <f>IF(W4&lt;Assumptions!$C$6,0,MIN(Assumptions!$C$13,Assumptions!$C$11+(W4-Assumptions!$C$6)*Assumptions!$C$12))</f>
        <v>0</v>
      </c>
      <c r="X8" s="51">
        <f>IF(X4&lt;Assumptions!$C$6,0,MIN(Assumptions!$C$13,Assumptions!$C$11+(X4-Assumptions!$C$6)*Assumptions!$C$12))</f>
        <v>0</v>
      </c>
      <c r="Y8" s="51">
        <f>IF(Y4&lt;Assumptions!$C$6,0,MIN(Assumptions!$C$13,Assumptions!$C$11+(Y4-Assumptions!$C$6)*Assumptions!$C$12))</f>
        <v>0</v>
      </c>
      <c r="Z8" s="51">
        <f>IF(Z4&lt;Assumptions!$C$6,0,MIN(Assumptions!$C$13,Assumptions!$C$11+(Z4-Assumptions!$C$6)*Assumptions!$C$12))</f>
        <v>0</v>
      </c>
      <c r="AA8" s="51">
        <f>IF(AA4&lt;Assumptions!$C$6,0,MIN(Assumptions!$C$13,Assumptions!$C$11+(AA4-Assumptions!$C$6)*Assumptions!$C$12))</f>
        <v>0</v>
      </c>
      <c r="AB8" s="51">
        <f>IF(AB4&lt;Assumptions!$C$6,0,MIN(Assumptions!$C$13,Assumptions!$C$11+(AB4-Assumptions!$C$6)*Assumptions!$C$12))</f>
        <v>0</v>
      </c>
      <c r="AC8" s="51">
        <f>IF(AC4&lt;Assumptions!$C$6,0,MIN(Assumptions!$C$13,Assumptions!$C$11+(AC4-Assumptions!$C$6)*Assumptions!$C$12))</f>
        <v>0</v>
      </c>
      <c r="AD8" s="51">
        <f>IF(AD4&lt;Assumptions!$C$6,0,MIN(Assumptions!$C$13,Assumptions!$C$11+(AD4-Assumptions!$C$6)*Assumptions!$C$12))</f>
        <v>0</v>
      </c>
      <c r="AE8" s="51">
        <f>IF(AE4&lt;Assumptions!$C$6,0,MIN(Assumptions!$C$13,Assumptions!$C$11+(AE4-Assumptions!$C$6)*Assumptions!$C$12))</f>
        <v>0</v>
      </c>
      <c r="AF8" s="51">
        <f>IF(AF4&lt;Assumptions!$C$6,0,MIN(Assumptions!$C$13,Assumptions!$C$11+(AF4-Assumptions!$C$6)*Assumptions!$C$12))</f>
        <v>0</v>
      </c>
      <c r="AG8" s="51">
        <f>IF(AG4&lt;Assumptions!$C$6,0,MIN(Assumptions!$C$13,Assumptions!$C$11+(AG4-Assumptions!$C$6)*Assumptions!$C$12))</f>
        <v>0</v>
      </c>
      <c r="AH8" s="51">
        <f>IF(AH4&lt;Assumptions!$C$6,0,MIN(Assumptions!$C$13,Assumptions!$C$11+(AH4-Assumptions!$C$6)*Assumptions!$C$12))</f>
        <v>0</v>
      </c>
      <c r="AI8" s="51">
        <f>IF(AI4&lt;Assumptions!$C$6,0,MIN(Assumptions!$C$13,Assumptions!$C$11+(AI4-Assumptions!$C$6)*Assumptions!$C$12))</f>
        <v>0</v>
      </c>
      <c r="AJ8" s="51">
        <f>IF(AJ4&lt;Assumptions!$C$6,0,MIN(Assumptions!$C$13,Assumptions!$C$11+(AJ4-Assumptions!$C$6)*Assumptions!$C$12))</f>
        <v>0</v>
      </c>
      <c r="AK8" s="51">
        <f>IF(AK4&lt;Assumptions!$C$6,0,MIN(Assumptions!$C$13,Assumptions!$C$11+(AK4-Assumptions!$C$6)*Assumptions!$C$12))</f>
        <v>0</v>
      </c>
      <c r="AL8" s="51">
        <f>IF(AL4&lt;Assumptions!$C$6,0,MIN(Assumptions!$C$13,Assumptions!$C$11+(AL4-Assumptions!$C$6)*Assumptions!$C$12))</f>
        <v>0</v>
      </c>
      <c r="AM8" s="51">
        <f>IF(AM4&lt;Assumptions!$C$6,0,MIN(Assumptions!$C$13,Assumptions!$C$11+(AM4-Assumptions!$C$6)*Assumptions!$C$12))</f>
        <v>0</v>
      </c>
      <c r="AN8" s="51">
        <f>IF(AN4&lt;Assumptions!$C$6,0,MIN(Assumptions!$C$13,Assumptions!$C$11+(AN4-Assumptions!$C$6)*Assumptions!$C$12))</f>
        <v>0</v>
      </c>
      <c r="AO8" s="51">
        <f>IF(AO4&lt;Assumptions!$C$6,0,MIN(Assumptions!$C$13,Assumptions!$C$11+(AO4-Assumptions!$C$6)*Assumptions!$C$12))</f>
        <v>0</v>
      </c>
      <c r="AP8" s="51">
        <f>IF(AP4&lt;Assumptions!$C$6,0,MIN(Assumptions!$C$13,Assumptions!$C$11+(AP4-Assumptions!$C$6)*Assumptions!$C$12))</f>
        <v>0</v>
      </c>
      <c r="AQ8" s="51">
        <f>IF(AQ4&lt;Assumptions!$C$6,0,MIN(Assumptions!$C$13,Assumptions!$C$11+(AQ4-Assumptions!$C$6)*Assumptions!$C$12))</f>
        <v>0</v>
      </c>
      <c r="AR8" s="51">
        <f>IF(AR4&lt;Assumptions!$C$6,0,MIN(Assumptions!$C$13,Assumptions!$C$11+(AR4-Assumptions!$C$6)*Assumptions!$C$12))</f>
        <v>0</v>
      </c>
      <c r="AS8" s="51">
        <f>IF(AS4&lt;Assumptions!$C$6,0,MIN(Assumptions!$C$13,Assumptions!$C$11+(AS4-Assumptions!$C$6)*Assumptions!$C$12))</f>
        <v>0</v>
      </c>
      <c r="AT8" s="51">
        <f>IF(AT4&lt;Assumptions!$C$6,0,MIN(Assumptions!$C$13,Assumptions!$C$11+(AT4-Assumptions!$C$6)*Assumptions!$C$12))</f>
        <v>0</v>
      </c>
      <c r="AU8" s="51">
        <f>IF(AU4&lt;Assumptions!$C$6,0,MIN(Assumptions!$C$13,Assumptions!$C$11+(AU4-Assumptions!$C$6)*Assumptions!$C$12))</f>
        <v>0</v>
      </c>
      <c r="AV8" s="51">
        <f>IF(AV4&lt;Assumptions!$C$6,0,MIN(Assumptions!$C$13,Assumptions!$C$11+(AV4-Assumptions!$C$6)*Assumptions!$C$12))</f>
        <v>0</v>
      </c>
      <c r="AW8" s="51">
        <f>IF(AW4&lt;Assumptions!$C$6,0,MIN(Assumptions!$C$13,Assumptions!$C$11+(AW4-Assumptions!$C$6)*Assumptions!$C$12))</f>
        <v>0</v>
      </c>
      <c r="AX8" s="51">
        <f>IF(AX4&lt;Assumptions!$C$6,0,MIN(Assumptions!$C$13,Assumptions!$C$11+(AX4-Assumptions!$C$6)*Assumptions!$C$12))</f>
        <v>0</v>
      </c>
      <c r="AY8" s="51">
        <f>IF(AY4&lt;Assumptions!$C$6,0,MIN(Assumptions!$C$13,Assumptions!$C$11+(AY4-Assumptions!$C$6)*Assumptions!$C$12))</f>
        <v>0</v>
      </c>
      <c r="AZ8" s="51">
        <f>IF(AZ4&lt;Assumptions!$C$6,0,MIN(Assumptions!$C$13,Assumptions!$C$11+(AZ4-Assumptions!$C$6)*Assumptions!$C$12))</f>
        <v>0</v>
      </c>
      <c r="BA8" s="51">
        <f>IF(BA4&lt;Assumptions!$C$6,0,MIN(Assumptions!$C$13,Assumptions!$C$11+(BA4-Assumptions!$C$6)*Assumptions!$C$12))</f>
        <v>0</v>
      </c>
      <c r="BB8" s="51">
        <f>IF(BB4&lt;Assumptions!$C$6,0,MIN(Assumptions!$C$13,Assumptions!$C$11+(BB4-Assumptions!$C$6)*Assumptions!$C$12))</f>
        <v>0</v>
      </c>
      <c r="BC8" s="51">
        <f>IF(BC4&lt;Assumptions!$C$6,0,MIN(Assumptions!$C$13,Assumptions!$C$11+(BC4-Assumptions!$C$6)*Assumptions!$C$12))</f>
        <v>0</v>
      </c>
      <c r="BD8" s="51">
        <f>IF(BD4&lt;Assumptions!$C$6,0,MIN(Assumptions!$C$13,Assumptions!$C$11+(BD4-Assumptions!$C$6)*Assumptions!$C$12))</f>
        <v>0</v>
      </c>
      <c r="BE8" s="51">
        <f>IF(BE4&lt;Assumptions!$C$6,0,MIN(Assumptions!$C$13,Assumptions!$C$11+(BE4-Assumptions!$C$6)*Assumptions!$C$12))</f>
        <v>0</v>
      </c>
      <c r="BF8" s="51">
        <f>IF(BF4&lt;Assumptions!$C$6,0,MIN(Assumptions!$C$13,Assumptions!$C$11+(BF4-Assumptions!$C$6)*Assumptions!$C$12))</f>
        <v>0</v>
      </c>
      <c r="BG8" s="51">
        <f>IF(BG4&lt;Assumptions!$C$6,0,MIN(Assumptions!$C$13,Assumptions!$C$11+(BG4-Assumptions!$C$6)*Assumptions!$C$12))</f>
        <v>0</v>
      </c>
      <c r="BH8" s="51">
        <f>IF(BH4&lt;Assumptions!$C$6,0,MIN(Assumptions!$C$13,Assumptions!$C$11+(BH4-Assumptions!$C$6)*Assumptions!$C$12))</f>
        <v>0</v>
      </c>
      <c r="BI8" s="51">
        <f>IF(BI4&lt;Assumptions!$C$6,0,MIN(Assumptions!$C$13,Assumptions!$C$11+(BI4-Assumptions!$C$6)*Assumptions!$C$12))</f>
        <v>0</v>
      </c>
    </row>
    <row r="9" spans="1:61" x14ac:dyDescent="0.25">
      <c r="A9" s="50" t="s">
        <v>219</v>
      </c>
      <c r="B9" s="52">
        <f>Assumptions!$C$9*B8</f>
        <v>0</v>
      </c>
      <c r="C9" s="52">
        <f>Assumptions!$C$9*C8</f>
        <v>0</v>
      </c>
      <c r="D9" s="52">
        <f>Assumptions!$C$9*D8</f>
        <v>0</v>
      </c>
      <c r="E9" s="52">
        <f>Assumptions!$C$9*E8</f>
        <v>0</v>
      </c>
      <c r="F9" s="52">
        <f>Assumptions!$C$9*F8</f>
        <v>0</v>
      </c>
      <c r="G9" s="52">
        <f>Assumptions!$C$9*G8</f>
        <v>0</v>
      </c>
      <c r="H9" s="52">
        <f>Assumptions!$C$9*H8</f>
        <v>0</v>
      </c>
      <c r="I9" s="52">
        <f>Assumptions!$C$9*I8</f>
        <v>0</v>
      </c>
      <c r="J9" s="52">
        <f>Assumptions!$C$9*J8</f>
        <v>0</v>
      </c>
      <c r="K9" s="52">
        <f>Assumptions!$C$9*K8</f>
        <v>0</v>
      </c>
      <c r="L9" s="52">
        <f>Assumptions!$C$9*L8</f>
        <v>0</v>
      </c>
      <c r="M9" s="52">
        <f>Assumptions!$C$9*M8</f>
        <v>0</v>
      </c>
      <c r="N9" s="52">
        <f>Assumptions!$C$9*N8</f>
        <v>0</v>
      </c>
      <c r="O9" s="52">
        <f>Assumptions!$C$9*O8</f>
        <v>0</v>
      </c>
      <c r="P9" s="52">
        <f>Assumptions!$C$9*P8</f>
        <v>0</v>
      </c>
      <c r="Q9" s="52">
        <f>Assumptions!$C$9*Q8</f>
        <v>0</v>
      </c>
      <c r="R9" s="52">
        <f>Assumptions!$C$9*R8</f>
        <v>0</v>
      </c>
      <c r="S9" s="52">
        <f>Assumptions!$C$9*S8</f>
        <v>0</v>
      </c>
      <c r="T9" s="52">
        <f>Assumptions!$C$9*T8</f>
        <v>0</v>
      </c>
      <c r="U9" s="52">
        <f>Assumptions!$C$9*U8</f>
        <v>0</v>
      </c>
      <c r="V9" s="52">
        <f>Assumptions!$C$9*V8</f>
        <v>0</v>
      </c>
      <c r="W9" s="52">
        <f>Assumptions!$C$9*W8</f>
        <v>0</v>
      </c>
      <c r="X9" s="52">
        <f>Assumptions!$C$9*X8</f>
        <v>0</v>
      </c>
      <c r="Y9" s="52">
        <f>Assumptions!$C$9*Y8</f>
        <v>0</v>
      </c>
      <c r="Z9" s="52">
        <f>Assumptions!$C$9*Z8</f>
        <v>0</v>
      </c>
      <c r="AA9" s="52">
        <f>Assumptions!$C$9*AA8</f>
        <v>0</v>
      </c>
      <c r="AB9" s="52">
        <f>Assumptions!$C$9*AB8</f>
        <v>0</v>
      </c>
      <c r="AC9" s="52">
        <f>Assumptions!$C$9*AC8</f>
        <v>0</v>
      </c>
      <c r="AD9" s="52">
        <f>Assumptions!$C$9*AD8</f>
        <v>0</v>
      </c>
      <c r="AE9" s="52">
        <f>Assumptions!$C$9*AE8</f>
        <v>0</v>
      </c>
      <c r="AF9" s="52">
        <f>Assumptions!$C$9*AF8</f>
        <v>0</v>
      </c>
      <c r="AG9" s="52">
        <f>Assumptions!$C$9*AG8</f>
        <v>0</v>
      </c>
      <c r="AH9" s="52">
        <f>Assumptions!$C$9*AH8</f>
        <v>0</v>
      </c>
      <c r="AI9" s="52">
        <f>Assumptions!$C$9*AI8</f>
        <v>0</v>
      </c>
      <c r="AJ9" s="52">
        <f>Assumptions!$C$9*AJ8</f>
        <v>0</v>
      </c>
      <c r="AK9" s="52">
        <f>Assumptions!$C$9*AK8</f>
        <v>0</v>
      </c>
      <c r="AL9" s="52">
        <f>Assumptions!$C$9*AL8</f>
        <v>0</v>
      </c>
      <c r="AM9" s="52">
        <f>Assumptions!$C$9*AM8</f>
        <v>0</v>
      </c>
      <c r="AN9" s="52">
        <f>Assumptions!$C$9*AN8</f>
        <v>0</v>
      </c>
      <c r="AO9" s="52">
        <f>Assumptions!$C$9*AO8</f>
        <v>0</v>
      </c>
      <c r="AP9" s="52">
        <f>Assumptions!$C$9*AP8</f>
        <v>0</v>
      </c>
      <c r="AQ9" s="52">
        <f>Assumptions!$C$9*AQ8</f>
        <v>0</v>
      </c>
      <c r="AR9" s="52">
        <f>Assumptions!$C$9*AR8</f>
        <v>0</v>
      </c>
      <c r="AS9" s="52">
        <f>Assumptions!$C$9*AS8</f>
        <v>0</v>
      </c>
      <c r="AT9" s="52">
        <f>Assumptions!$C$9*AT8</f>
        <v>0</v>
      </c>
      <c r="AU9" s="52">
        <f>Assumptions!$C$9*AU8</f>
        <v>0</v>
      </c>
      <c r="AV9" s="52">
        <f>Assumptions!$C$9*AV8</f>
        <v>0</v>
      </c>
      <c r="AW9" s="52">
        <f>Assumptions!$C$9*AW8</f>
        <v>0</v>
      </c>
      <c r="AX9" s="52">
        <f>Assumptions!$C$9*AX8</f>
        <v>0</v>
      </c>
      <c r="AY9" s="52">
        <f>Assumptions!$C$9*AY8</f>
        <v>0</v>
      </c>
      <c r="AZ9" s="52">
        <f>Assumptions!$C$9*AZ8</f>
        <v>0</v>
      </c>
      <c r="BA9" s="52">
        <f>Assumptions!$C$9*BA8</f>
        <v>0</v>
      </c>
      <c r="BB9" s="52">
        <f>Assumptions!$C$9*BB8</f>
        <v>0</v>
      </c>
      <c r="BC9" s="52">
        <f>Assumptions!$C$9*BC8</f>
        <v>0</v>
      </c>
      <c r="BD9" s="52">
        <f>Assumptions!$C$9*BD8</f>
        <v>0</v>
      </c>
      <c r="BE9" s="52">
        <f>Assumptions!$C$9*BE8</f>
        <v>0</v>
      </c>
      <c r="BF9" s="52">
        <f>Assumptions!$C$9*BF8</f>
        <v>0</v>
      </c>
      <c r="BG9" s="52">
        <f>Assumptions!$C$9*BG8</f>
        <v>0</v>
      </c>
      <c r="BH9" s="52">
        <f>Assumptions!$C$9*BH8</f>
        <v>0</v>
      </c>
      <c r="BI9" s="52">
        <f>Assumptions!$C$9*BI8</f>
        <v>0</v>
      </c>
    </row>
    <row r="10" spans="1:61" x14ac:dyDescent="0.25">
      <c r="A10" s="50" t="s">
        <v>220</v>
      </c>
      <c r="B10" s="52">
        <f>Assumptions!$C$10*B8</f>
        <v>0</v>
      </c>
      <c r="C10" s="52">
        <f>Assumptions!$C$10*C8</f>
        <v>0</v>
      </c>
      <c r="D10" s="52">
        <f>Assumptions!$C$10*D8</f>
        <v>0</v>
      </c>
      <c r="E10" s="52">
        <f>Assumptions!$C$10*E8</f>
        <v>0</v>
      </c>
      <c r="F10" s="52">
        <f>Assumptions!$C$10*F8</f>
        <v>0</v>
      </c>
      <c r="G10" s="52">
        <f>Assumptions!$C$10*G8</f>
        <v>0</v>
      </c>
      <c r="H10" s="52">
        <f>Assumptions!$C$10*H8</f>
        <v>0</v>
      </c>
      <c r="I10" s="52">
        <f>Assumptions!$C$10*I8</f>
        <v>0</v>
      </c>
      <c r="J10" s="52">
        <f>Assumptions!$C$10*J8</f>
        <v>0</v>
      </c>
      <c r="K10" s="52">
        <f>Assumptions!$C$10*K8</f>
        <v>0</v>
      </c>
      <c r="L10" s="52">
        <f>Assumptions!$C$10*L8</f>
        <v>0</v>
      </c>
      <c r="M10" s="52">
        <f>Assumptions!$C$10*M8</f>
        <v>0</v>
      </c>
      <c r="N10" s="52">
        <f>Assumptions!$C$10*N8</f>
        <v>0</v>
      </c>
      <c r="O10" s="52">
        <f>Assumptions!$C$10*O8</f>
        <v>0</v>
      </c>
      <c r="P10" s="52">
        <f>Assumptions!$C$10*P8</f>
        <v>0</v>
      </c>
      <c r="Q10" s="52">
        <f>Assumptions!$C$10*Q8</f>
        <v>0</v>
      </c>
      <c r="R10" s="52">
        <f>Assumptions!$C$10*R8</f>
        <v>0</v>
      </c>
      <c r="S10" s="52">
        <f>Assumptions!$C$10*S8</f>
        <v>0</v>
      </c>
      <c r="T10" s="52">
        <f>Assumptions!$C$10*T8</f>
        <v>0</v>
      </c>
      <c r="U10" s="52">
        <f>Assumptions!$C$10*U8</f>
        <v>0</v>
      </c>
      <c r="V10" s="52">
        <f>Assumptions!$C$10*V8</f>
        <v>0</v>
      </c>
      <c r="W10" s="52">
        <f>Assumptions!$C$10*W8</f>
        <v>0</v>
      </c>
      <c r="X10" s="52">
        <f>Assumptions!$C$10*X8</f>
        <v>0</v>
      </c>
      <c r="Y10" s="52">
        <f>Assumptions!$C$10*Y8</f>
        <v>0</v>
      </c>
      <c r="Z10" s="52">
        <f>Assumptions!$C$10*Z8</f>
        <v>0</v>
      </c>
      <c r="AA10" s="52">
        <f>Assumptions!$C$10*AA8</f>
        <v>0</v>
      </c>
      <c r="AB10" s="52">
        <f>Assumptions!$C$10*AB8</f>
        <v>0</v>
      </c>
      <c r="AC10" s="52">
        <f>Assumptions!$C$10*AC8</f>
        <v>0</v>
      </c>
      <c r="AD10" s="52">
        <f>Assumptions!$C$10*AD8</f>
        <v>0</v>
      </c>
      <c r="AE10" s="52">
        <f>Assumptions!$C$10*AE8</f>
        <v>0</v>
      </c>
      <c r="AF10" s="52">
        <f>Assumptions!$C$10*AF8</f>
        <v>0</v>
      </c>
      <c r="AG10" s="52">
        <f>Assumptions!$C$10*AG8</f>
        <v>0</v>
      </c>
      <c r="AH10" s="52">
        <f>Assumptions!$C$10*AH8</f>
        <v>0</v>
      </c>
      <c r="AI10" s="52">
        <f>Assumptions!$C$10*AI8</f>
        <v>0</v>
      </c>
      <c r="AJ10" s="52">
        <f>Assumptions!$C$10*AJ8</f>
        <v>0</v>
      </c>
      <c r="AK10" s="52">
        <f>Assumptions!$C$10*AK8</f>
        <v>0</v>
      </c>
      <c r="AL10" s="52">
        <f>Assumptions!$C$10*AL8</f>
        <v>0</v>
      </c>
      <c r="AM10" s="52">
        <f>Assumptions!$C$10*AM8</f>
        <v>0</v>
      </c>
      <c r="AN10" s="52">
        <f>Assumptions!$C$10*AN8</f>
        <v>0</v>
      </c>
      <c r="AO10" s="52">
        <f>Assumptions!$C$10*AO8</f>
        <v>0</v>
      </c>
      <c r="AP10" s="52">
        <f>Assumptions!$C$10*AP8</f>
        <v>0</v>
      </c>
      <c r="AQ10" s="52">
        <f>Assumptions!$C$10*AQ8</f>
        <v>0</v>
      </c>
      <c r="AR10" s="52">
        <f>Assumptions!$C$10*AR8</f>
        <v>0</v>
      </c>
      <c r="AS10" s="52">
        <f>Assumptions!$C$10*AS8</f>
        <v>0</v>
      </c>
      <c r="AT10" s="52">
        <f>Assumptions!$C$10*AT8</f>
        <v>0</v>
      </c>
      <c r="AU10" s="52">
        <f>Assumptions!$C$10*AU8</f>
        <v>0</v>
      </c>
      <c r="AV10" s="52">
        <f>Assumptions!$C$10*AV8</f>
        <v>0</v>
      </c>
      <c r="AW10" s="52">
        <f>Assumptions!$C$10*AW8</f>
        <v>0</v>
      </c>
      <c r="AX10" s="52">
        <f>Assumptions!$C$10*AX8</f>
        <v>0</v>
      </c>
      <c r="AY10" s="52">
        <f>Assumptions!$C$10*AY8</f>
        <v>0</v>
      </c>
      <c r="AZ10" s="52">
        <f>Assumptions!$C$10*AZ8</f>
        <v>0</v>
      </c>
      <c r="BA10" s="52">
        <f>Assumptions!$C$10*BA8</f>
        <v>0</v>
      </c>
      <c r="BB10" s="52">
        <f>Assumptions!$C$10*BB8</f>
        <v>0</v>
      </c>
      <c r="BC10" s="52">
        <f>Assumptions!$C$10*BC8</f>
        <v>0</v>
      </c>
      <c r="BD10" s="52">
        <f>Assumptions!$C$10*BD8</f>
        <v>0</v>
      </c>
      <c r="BE10" s="52">
        <f>Assumptions!$C$10*BE8</f>
        <v>0</v>
      </c>
      <c r="BF10" s="52">
        <f>Assumptions!$C$10*BF8</f>
        <v>0</v>
      </c>
      <c r="BG10" s="52">
        <f>Assumptions!$C$10*BG8</f>
        <v>0</v>
      </c>
      <c r="BH10" s="52">
        <f>Assumptions!$C$10*BH8</f>
        <v>0</v>
      </c>
      <c r="BI10" s="52">
        <f>Assumptions!$C$10*BI8</f>
        <v>0</v>
      </c>
    </row>
    <row r="11" spans="1:61" x14ac:dyDescent="0.25">
      <c r="A11" s="53" t="s">
        <v>221</v>
      </c>
      <c r="B11" s="54">
        <f t="shared" ref="B11:AG11" si="2">B9+B10</f>
        <v>0</v>
      </c>
      <c r="C11" s="54">
        <f t="shared" si="2"/>
        <v>0</v>
      </c>
      <c r="D11" s="54">
        <f t="shared" si="2"/>
        <v>0</v>
      </c>
      <c r="E11" s="54">
        <f t="shared" si="2"/>
        <v>0</v>
      </c>
      <c r="F11" s="54">
        <f t="shared" si="2"/>
        <v>0</v>
      </c>
      <c r="G11" s="54">
        <f t="shared" si="2"/>
        <v>0</v>
      </c>
      <c r="H11" s="54">
        <f t="shared" si="2"/>
        <v>0</v>
      </c>
      <c r="I11" s="54">
        <f t="shared" si="2"/>
        <v>0</v>
      </c>
      <c r="J11" s="54">
        <f t="shared" si="2"/>
        <v>0</v>
      </c>
      <c r="K11" s="54">
        <f t="shared" si="2"/>
        <v>0</v>
      </c>
      <c r="L11" s="54">
        <f t="shared" si="2"/>
        <v>0</v>
      </c>
      <c r="M11" s="54">
        <f t="shared" si="2"/>
        <v>0</v>
      </c>
      <c r="N11" s="54">
        <f t="shared" si="2"/>
        <v>0</v>
      </c>
      <c r="O11" s="54">
        <f t="shared" si="2"/>
        <v>0</v>
      </c>
      <c r="P11" s="54">
        <f t="shared" si="2"/>
        <v>0</v>
      </c>
      <c r="Q11" s="54">
        <f t="shared" si="2"/>
        <v>0</v>
      </c>
      <c r="R11" s="54">
        <f t="shared" si="2"/>
        <v>0</v>
      </c>
      <c r="S11" s="54">
        <f t="shared" si="2"/>
        <v>0</v>
      </c>
      <c r="T11" s="54">
        <f t="shared" si="2"/>
        <v>0</v>
      </c>
      <c r="U11" s="54">
        <f t="shared" si="2"/>
        <v>0</v>
      </c>
      <c r="V11" s="54">
        <f t="shared" si="2"/>
        <v>0</v>
      </c>
      <c r="W11" s="54">
        <f t="shared" si="2"/>
        <v>0</v>
      </c>
      <c r="X11" s="54">
        <f t="shared" si="2"/>
        <v>0</v>
      </c>
      <c r="Y11" s="54">
        <f t="shared" si="2"/>
        <v>0</v>
      </c>
      <c r="Z11" s="54">
        <f t="shared" si="2"/>
        <v>0</v>
      </c>
      <c r="AA11" s="54">
        <f t="shared" si="2"/>
        <v>0</v>
      </c>
      <c r="AB11" s="54">
        <f t="shared" si="2"/>
        <v>0</v>
      </c>
      <c r="AC11" s="54">
        <f t="shared" si="2"/>
        <v>0</v>
      </c>
      <c r="AD11" s="54">
        <f t="shared" si="2"/>
        <v>0</v>
      </c>
      <c r="AE11" s="54">
        <f t="shared" si="2"/>
        <v>0</v>
      </c>
      <c r="AF11" s="54">
        <f t="shared" si="2"/>
        <v>0</v>
      </c>
      <c r="AG11" s="54">
        <f t="shared" si="2"/>
        <v>0</v>
      </c>
      <c r="AH11" s="54">
        <f t="shared" ref="AH11:BM11" si="3">AH9+AH10</f>
        <v>0</v>
      </c>
      <c r="AI11" s="54">
        <f t="shared" si="3"/>
        <v>0</v>
      </c>
      <c r="AJ11" s="54">
        <f t="shared" si="3"/>
        <v>0</v>
      </c>
      <c r="AK11" s="54">
        <f t="shared" si="3"/>
        <v>0</v>
      </c>
      <c r="AL11" s="54">
        <f t="shared" si="3"/>
        <v>0</v>
      </c>
      <c r="AM11" s="54">
        <f t="shared" si="3"/>
        <v>0</v>
      </c>
      <c r="AN11" s="54">
        <f t="shared" si="3"/>
        <v>0</v>
      </c>
      <c r="AO11" s="54">
        <f t="shared" si="3"/>
        <v>0</v>
      </c>
      <c r="AP11" s="54">
        <f t="shared" si="3"/>
        <v>0</v>
      </c>
      <c r="AQ11" s="54">
        <f t="shared" si="3"/>
        <v>0</v>
      </c>
      <c r="AR11" s="54">
        <f t="shared" si="3"/>
        <v>0</v>
      </c>
      <c r="AS11" s="54">
        <f t="shared" si="3"/>
        <v>0</v>
      </c>
      <c r="AT11" s="54">
        <f t="shared" si="3"/>
        <v>0</v>
      </c>
      <c r="AU11" s="54">
        <f t="shared" si="3"/>
        <v>0</v>
      </c>
      <c r="AV11" s="54">
        <f t="shared" si="3"/>
        <v>0</v>
      </c>
      <c r="AW11" s="54">
        <f t="shared" si="3"/>
        <v>0</v>
      </c>
      <c r="AX11" s="54">
        <f t="shared" si="3"/>
        <v>0</v>
      </c>
      <c r="AY11" s="54">
        <f t="shared" si="3"/>
        <v>0</v>
      </c>
      <c r="AZ11" s="54">
        <f t="shared" si="3"/>
        <v>0</v>
      </c>
      <c r="BA11" s="54">
        <f t="shared" si="3"/>
        <v>0</v>
      </c>
      <c r="BB11" s="54">
        <f t="shared" si="3"/>
        <v>0</v>
      </c>
      <c r="BC11" s="54">
        <f t="shared" si="3"/>
        <v>0</v>
      </c>
      <c r="BD11" s="54">
        <f t="shared" si="3"/>
        <v>0</v>
      </c>
      <c r="BE11" s="54">
        <f t="shared" si="3"/>
        <v>0</v>
      </c>
      <c r="BF11" s="54">
        <f t="shared" si="3"/>
        <v>0</v>
      </c>
      <c r="BG11" s="54">
        <f t="shared" si="3"/>
        <v>0</v>
      </c>
      <c r="BH11" s="54">
        <f t="shared" si="3"/>
        <v>0</v>
      </c>
      <c r="BI11" s="54">
        <f t="shared" si="3"/>
        <v>0</v>
      </c>
    </row>
    <row r="13" spans="1:61" x14ac:dyDescent="0.25">
      <c r="A13" s="32" t="s">
        <v>222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 spans="1:61" x14ac:dyDescent="0.25">
      <c r="A14" s="50" t="s">
        <v>223</v>
      </c>
      <c r="B14" s="52">
        <f t="shared" ref="B14:AG14" si="4">B9</f>
        <v>0</v>
      </c>
      <c r="C14" s="52">
        <f t="shared" si="4"/>
        <v>0</v>
      </c>
      <c r="D14" s="52">
        <f t="shared" si="4"/>
        <v>0</v>
      </c>
      <c r="E14" s="52">
        <f t="shared" si="4"/>
        <v>0</v>
      </c>
      <c r="F14" s="52">
        <f t="shared" si="4"/>
        <v>0</v>
      </c>
      <c r="G14" s="52">
        <f t="shared" si="4"/>
        <v>0</v>
      </c>
      <c r="H14" s="52">
        <f t="shared" si="4"/>
        <v>0</v>
      </c>
      <c r="I14" s="52">
        <f t="shared" si="4"/>
        <v>0</v>
      </c>
      <c r="J14" s="52">
        <f t="shared" si="4"/>
        <v>0</v>
      </c>
      <c r="K14" s="52">
        <f t="shared" si="4"/>
        <v>0</v>
      </c>
      <c r="L14" s="52">
        <f t="shared" si="4"/>
        <v>0</v>
      </c>
      <c r="M14" s="52">
        <f t="shared" si="4"/>
        <v>0</v>
      </c>
      <c r="N14" s="52">
        <f t="shared" si="4"/>
        <v>0</v>
      </c>
      <c r="O14" s="52">
        <f t="shared" si="4"/>
        <v>0</v>
      </c>
      <c r="P14" s="52">
        <f t="shared" si="4"/>
        <v>0</v>
      </c>
      <c r="Q14" s="52">
        <f t="shared" si="4"/>
        <v>0</v>
      </c>
      <c r="R14" s="52">
        <f t="shared" si="4"/>
        <v>0</v>
      </c>
      <c r="S14" s="52">
        <f t="shared" si="4"/>
        <v>0</v>
      </c>
      <c r="T14" s="52">
        <f t="shared" si="4"/>
        <v>0</v>
      </c>
      <c r="U14" s="52">
        <f t="shared" si="4"/>
        <v>0</v>
      </c>
      <c r="V14" s="52">
        <f t="shared" si="4"/>
        <v>0</v>
      </c>
      <c r="W14" s="52">
        <f t="shared" si="4"/>
        <v>0</v>
      </c>
      <c r="X14" s="52">
        <f t="shared" si="4"/>
        <v>0</v>
      </c>
      <c r="Y14" s="52">
        <f t="shared" si="4"/>
        <v>0</v>
      </c>
      <c r="Z14" s="52">
        <f t="shared" si="4"/>
        <v>0</v>
      </c>
      <c r="AA14" s="52">
        <f t="shared" si="4"/>
        <v>0</v>
      </c>
      <c r="AB14" s="52">
        <f t="shared" si="4"/>
        <v>0</v>
      </c>
      <c r="AC14" s="52">
        <f t="shared" si="4"/>
        <v>0</v>
      </c>
      <c r="AD14" s="52">
        <f t="shared" si="4"/>
        <v>0</v>
      </c>
      <c r="AE14" s="52">
        <f t="shared" si="4"/>
        <v>0</v>
      </c>
      <c r="AF14" s="52">
        <f t="shared" si="4"/>
        <v>0</v>
      </c>
      <c r="AG14" s="52">
        <f t="shared" si="4"/>
        <v>0</v>
      </c>
      <c r="AH14" s="52">
        <f t="shared" ref="AH14:BI14" si="5">AH9</f>
        <v>0</v>
      </c>
      <c r="AI14" s="52">
        <f t="shared" si="5"/>
        <v>0</v>
      </c>
      <c r="AJ14" s="52">
        <f t="shared" si="5"/>
        <v>0</v>
      </c>
      <c r="AK14" s="52">
        <f t="shared" si="5"/>
        <v>0</v>
      </c>
      <c r="AL14" s="52">
        <f t="shared" si="5"/>
        <v>0</v>
      </c>
      <c r="AM14" s="52">
        <f t="shared" si="5"/>
        <v>0</v>
      </c>
      <c r="AN14" s="52">
        <f t="shared" si="5"/>
        <v>0</v>
      </c>
      <c r="AO14" s="52">
        <f t="shared" si="5"/>
        <v>0</v>
      </c>
      <c r="AP14" s="52">
        <f t="shared" si="5"/>
        <v>0</v>
      </c>
      <c r="AQ14" s="52">
        <f t="shared" si="5"/>
        <v>0</v>
      </c>
      <c r="AR14" s="52">
        <f t="shared" si="5"/>
        <v>0</v>
      </c>
      <c r="AS14" s="52">
        <f t="shared" si="5"/>
        <v>0</v>
      </c>
      <c r="AT14" s="52">
        <f t="shared" si="5"/>
        <v>0</v>
      </c>
      <c r="AU14" s="52">
        <f t="shared" si="5"/>
        <v>0</v>
      </c>
      <c r="AV14" s="52">
        <f t="shared" si="5"/>
        <v>0</v>
      </c>
      <c r="AW14" s="52">
        <f t="shared" si="5"/>
        <v>0</v>
      </c>
      <c r="AX14" s="52">
        <f t="shared" si="5"/>
        <v>0</v>
      </c>
      <c r="AY14" s="52">
        <f t="shared" si="5"/>
        <v>0</v>
      </c>
      <c r="AZ14" s="52">
        <f t="shared" si="5"/>
        <v>0</v>
      </c>
      <c r="BA14" s="52">
        <f t="shared" si="5"/>
        <v>0</v>
      </c>
      <c r="BB14" s="52">
        <f t="shared" si="5"/>
        <v>0</v>
      </c>
      <c r="BC14" s="52">
        <f t="shared" si="5"/>
        <v>0</v>
      </c>
      <c r="BD14" s="52">
        <f t="shared" si="5"/>
        <v>0</v>
      </c>
      <c r="BE14" s="52">
        <f t="shared" si="5"/>
        <v>0</v>
      </c>
      <c r="BF14" s="52">
        <f t="shared" si="5"/>
        <v>0</v>
      </c>
      <c r="BG14" s="52">
        <f t="shared" si="5"/>
        <v>0</v>
      </c>
      <c r="BH14" s="52">
        <f t="shared" si="5"/>
        <v>0</v>
      </c>
      <c r="BI14" s="52">
        <f t="shared" si="5"/>
        <v>0</v>
      </c>
    </row>
    <row r="15" spans="1:61" x14ac:dyDescent="0.25">
      <c r="A15" s="50" t="s">
        <v>224</v>
      </c>
      <c r="B15" s="52">
        <f t="shared" ref="B15:AG15" si="6">B10</f>
        <v>0</v>
      </c>
      <c r="C15" s="52">
        <f t="shared" si="6"/>
        <v>0</v>
      </c>
      <c r="D15" s="52">
        <f t="shared" si="6"/>
        <v>0</v>
      </c>
      <c r="E15" s="52">
        <f t="shared" si="6"/>
        <v>0</v>
      </c>
      <c r="F15" s="52">
        <f t="shared" si="6"/>
        <v>0</v>
      </c>
      <c r="G15" s="52">
        <f t="shared" si="6"/>
        <v>0</v>
      </c>
      <c r="H15" s="52">
        <f t="shared" si="6"/>
        <v>0</v>
      </c>
      <c r="I15" s="52">
        <f t="shared" si="6"/>
        <v>0</v>
      </c>
      <c r="J15" s="52">
        <f t="shared" si="6"/>
        <v>0</v>
      </c>
      <c r="K15" s="52">
        <f t="shared" si="6"/>
        <v>0</v>
      </c>
      <c r="L15" s="52">
        <f t="shared" si="6"/>
        <v>0</v>
      </c>
      <c r="M15" s="52">
        <f t="shared" si="6"/>
        <v>0</v>
      </c>
      <c r="N15" s="52">
        <f t="shared" si="6"/>
        <v>0</v>
      </c>
      <c r="O15" s="52">
        <f t="shared" si="6"/>
        <v>0</v>
      </c>
      <c r="P15" s="52">
        <f t="shared" si="6"/>
        <v>0</v>
      </c>
      <c r="Q15" s="52">
        <f t="shared" si="6"/>
        <v>0</v>
      </c>
      <c r="R15" s="52">
        <f t="shared" si="6"/>
        <v>0</v>
      </c>
      <c r="S15" s="52">
        <f t="shared" si="6"/>
        <v>0</v>
      </c>
      <c r="T15" s="52">
        <f t="shared" si="6"/>
        <v>0</v>
      </c>
      <c r="U15" s="52">
        <f t="shared" si="6"/>
        <v>0</v>
      </c>
      <c r="V15" s="52">
        <f t="shared" si="6"/>
        <v>0</v>
      </c>
      <c r="W15" s="52">
        <f t="shared" si="6"/>
        <v>0</v>
      </c>
      <c r="X15" s="52">
        <f t="shared" si="6"/>
        <v>0</v>
      </c>
      <c r="Y15" s="52">
        <f t="shared" si="6"/>
        <v>0</v>
      </c>
      <c r="Z15" s="52">
        <f t="shared" si="6"/>
        <v>0</v>
      </c>
      <c r="AA15" s="52">
        <f t="shared" si="6"/>
        <v>0</v>
      </c>
      <c r="AB15" s="52">
        <f t="shared" si="6"/>
        <v>0</v>
      </c>
      <c r="AC15" s="52">
        <f t="shared" si="6"/>
        <v>0</v>
      </c>
      <c r="AD15" s="52">
        <f t="shared" si="6"/>
        <v>0</v>
      </c>
      <c r="AE15" s="52">
        <f t="shared" si="6"/>
        <v>0</v>
      </c>
      <c r="AF15" s="52">
        <f t="shared" si="6"/>
        <v>0</v>
      </c>
      <c r="AG15" s="52">
        <f t="shared" si="6"/>
        <v>0</v>
      </c>
      <c r="AH15" s="52">
        <f t="shared" ref="AH15:BI15" si="7">AH10</f>
        <v>0</v>
      </c>
      <c r="AI15" s="52">
        <f t="shared" si="7"/>
        <v>0</v>
      </c>
      <c r="AJ15" s="52">
        <f t="shared" si="7"/>
        <v>0</v>
      </c>
      <c r="AK15" s="52">
        <f t="shared" si="7"/>
        <v>0</v>
      </c>
      <c r="AL15" s="52">
        <f t="shared" si="7"/>
        <v>0</v>
      </c>
      <c r="AM15" s="52">
        <f t="shared" si="7"/>
        <v>0</v>
      </c>
      <c r="AN15" s="52">
        <f t="shared" si="7"/>
        <v>0</v>
      </c>
      <c r="AO15" s="52">
        <f t="shared" si="7"/>
        <v>0</v>
      </c>
      <c r="AP15" s="52">
        <f t="shared" si="7"/>
        <v>0</v>
      </c>
      <c r="AQ15" s="52">
        <f t="shared" si="7"/>
        <v>0</v>
      </c>
      <c r="AR15" s="52">
        <f t="shared" si="7"/>
        <v>0</v>
      </c>
      <c r="AS15" s="52">
        <f t="shared" si="7"/>
        <v>0</v>
      </c>
      <c r="AT15" s="52">
        <f t="shared" si="7"/>
        <v>0</v>
      </c>
      <c r="AU15" s="52">
        <f t="shared" si="7"/>
        <v>0</v>
      </c>
      <c r="AV15" s="52">
        <f t="shared" si="7"/>
        <v>0</v>
      </c>
      <c r="AW15" s="52">
        <f t="shared" si="7"/>
        <v>0</v>
      </c>
      <c r="AX15" s="52">
        <f t="shared" si="7"/>
        <v>0</v>
      </c>
      <c r="AY15" s="52">
        <f t="shared" si="7"/>
        <v>0</v>
      </c>
      <c r="AZ15" s="52">
        <f t="shared" si="7"/>
        <v>0</v>
      </c>
      <c r="BA15" s="52">
        <f t="shared" si="7"/>
        <v>0</v>
      </c>
      <c r="BB15" s="52">
        <f t="shared" si="7"/>
        <v>0</v>
      </c>
      <c r="BC15" s="52">
        <f t="shared" si="7"/>
        <v>0</v>
      </c>
      <c r="BD15" s="52">
        <f t="shared" si="7"/>
        <v>0</v>
      </c>
      <c r="BE15" s="52">
        <f t="shared" si="7"/>
        <v>0</v>
      </c>
      <c r="BF15" s="52">
        <f t="shared" si="7"/>
        <v>0</v>
      </c>
      <c r="BG15" s="52">
        <f t="shared" si="7"/>
        <v>0</v>
      </c>
      <c r="BH15" s="52">
        <f t="shared" si="7"/>
        <v>0</v>
      </c>
      <c r="BI15" s="52">
        <f t="shared" si="7"/>
        <v>0</v>
      </c>
    </row>
    <row r="16" spans="1:61" x14ac:dyDescent="0.25">
      <c r="A16" s="50" t="s">
        <v>225</v>
      </c>
      <c r="B16" s="55">
        <f>IFERROR(Assumptions!$C$15*(1+Assumptions!$C$17)^(B3-1),0)</f>
        <v>0</v>
      </c>
      <c r="C16" s="55">
        <f>IFERROR(Assumptions!$C$15*(1+Assumptions!$C$17)^(C3-1),0)</f>
        <v>0</v>
      </c>
      <c r="D16" s="55">
        <f>IFERROR(Assumptions!$C$15*(1+Assumptions!$C$17)^(D3-1),0)</f>
        <v>0</v>
      </c>
      <c r="E16" s="55">
        <f>IFERROR(Assumptions!$C$15*(1+Assumptions!$C$17)^(E3-1),0)</f>
        <v>0</v>
      </c>
      <c r="F16" s="55">
        <f>IFERROR(Assumptions!$C$15*(1+Assumptions!$C$17)^(F3-1),0)</f>
        <v>0</v>
      </c>
      <c r="G16" s="55">
        <f>IFERROR(Assumptions!$C$15*(1+Assumptions!$C$17)^(G3-1),0)</f>
        <v>0</v>
      </c>
      <c r="H16" s="55">
        <f>IFERROR(Assumptions!$C$15*(1+Assumptions!$C$17)^(H3-1),0)</f>
        <v>0</v>
      </c>
      <c r="I16" s="55">
        <f>IFERROR(Assumptions!$C$15*(1+Assumptions!$C$17)^(I3-1),0)</f>
        <v>0</v>
      </c>
      <c r="J16" s="55">
        <f>IFERROR(Assumptions!$C$15*(1+Assumptions!$C$17)^(J3-1),0)</f>
        <v>0</v>
      </c>
      <c r="K16" s="55">
        <f>IFERROR(Assumptions!$C$15*(1+Assumptions!$C$17)^(K3-1),0)</f>
        <v>0</v>
      </c>
      <c r="L16" s="55">
        <f>IFERROR(Assumptions!$C$15*(1+Assumptions!$C$17)^(L3-1),0)</f>
        <v>0</v>
      </c>
      <c r="M16" s="55">
        <f>IFERROR(Assumptions!$C$15*(1+Assumptions!$C$17)^(M3-1),0)</f>
        <v>0</v>
      </c>
      <c r="N16" s="55">
        <f>IFERROR(Assumptions!$C$15*(1+Assumptions!$C$17)^(N3-1),0)</f>
        <v>0</v>
      </c>
      <c r="O16" s="55">
        <f>IFERROR(Assumptions!$C$15*(1+Assumptions!$C$17)^(O3-1),0)</f>
        <v>0</v>
      </c>
      <c r="P16" s="55">
        <f>IFERROR(Assumptions!$C$15*(1+Assumptions!$C$17)^(P3-1),0)</f>
        <v>0</v>
      </c>
      <c r="Q16" s="55">
        <f>IFERROR(Assumptions!$C$15*(1+Assumptions!$C$17)^(Q3-1),0)</f>
        <v>0</v>
      </c>
      <c r="R16" s="55">
        <f>IFERROR(Assumptions!$C$15*(1+Assumptions!$C$17)^(R3-1),0)</f>
        <v>0</v>
      </c>
      <c r="S16" s="55">
        <f>IFERROR(Assumptions!$C$15*(1+Assumptions!$C$17)^(S3-1),0)</f>
        <v>0</v>
      </c>
      <c r="T16" s="55">
        <f>IFERROR(Assumptions!$C$15*(1+Assumptions!$C$17)^(T3-1),0)</f>
        <v>0</v>
      </c>
      <c r="U16" s="55">
        <f>IFERROR(Assumptions!$C$15*(1+Assumptions!$C$17)^(U3-1),0)</f>
        <v>0</v>
      </c>
      <c r="V16" s="55">
        <f>IFERROR(Assumptions!$C$15*(1+Assumptions!$C$17)^(V3-1),0)</f>
        <v>0</v>
      </c>
      <c r="W16" s="55">
        <f>IFERROR(Assumptions!$C$15*(1+Assumptions!$C$17)^(W3-1),0)</f>
        <v>0</v>
      </c>
      <c r="X16" s="55">
        <f>IFERROR(Assumptions!$C$15*(1+Assumptions!$C$17)^(X3-1),0)</f>
        <v>0</v>
      </c>
      <c r="Y16" s="55">
        <f>IFERROR(Assumptions!$C$15*(1+Assumptions!$C$17)^(Y3-1),0)</f>
        <v>0</v>
      </c>
      <c r="Z16" s="55">
        <f>IFERROR(Assumptions!$C$15*(1+Assumptions!$C$17)^(Z3-1),0)</f>
        <v>0</v>
      </c>
      <c r="AA16" s="55">
        <f>IFERROR(Assumptions!$C$15*(1+Assumptions!$C$17)^(AA3-1),0)</f>
        <v>0</v>
      </c>
      <c r="AB16" s="55">
        <f>IFERROR(Assumptions!$C$15*(1+Assumptions!$C$17)^(AB3-1),0)</f>
        <v>0</v>
      </c>
      <c r="AC16" s="55">
        <f>IFERROR(Assumptions!$C$15*(1+Assumptions!$C$17)^(AC3-1),0)</f>
        <v>0</v>
      </c>
      <c r="AD16" s="55">
        <f>IFERROR(Assumptions!$C$15*(1+Assumptions!$C$17)^(AD3-1),0)</f>
        <v>0</v>
      </c>
      <c r="AE16" s="55">
        <f>IFERROR(Assumptions!$C$15*(1+Assumptions!$C$17)^(AE3-1),0)</f>
        <v>0</v>
      </c>
      <c r="AF16" s="55">
        <f>IFERROR(Assumptions!$C$15*(1+Assumptions!$C$17)^(AF3-1),0)</f>
        <v>0</v>
      </c>
      <c r="AG16" s="55">
        <f>IFERROR(Assumptions!$C$15*(1+Assumptions!$C$17)^(AG3-1),0)</f>
        <v>0</v>
      </c>
      <c r="AH16" s="55">
        <f>IFERROR(Assumptions!$C$15*(1+Assumptions!$C$17)^(AH3-1),0)</f>
        <v>0</v>
      </c>
      <c r="AI16" s="55">
        <f>IFERROR(Assumptions!$C$15*(1+Assumptions!$C$17)^(AI3-1),0)</f>
        <v>0</v>
      </c>
      <c r="AJ16" s="55">
        <f>IFERROR(Assumptions!$C$15*(1+Assumptions!$C$17)^(AJ3-1),0)</f>
        <v>0</v>
      </c>
      <c r="AK16" s="55">
        <f>IFERROR(Assumptions!$C$15*(1+Assumptions!$C$17)^(AK3-1),0)</f>
        <v>0</v>
      </c>
      <c r="AL16" s="55">
        <f>IFERROR(Assumptions!$C$15*(1+Assumptions!$C$17)^(AL3-1),0)</f>
        <v>0</v>
      </c>
      <c r="AM16" s="55">
        <f>IFERROR(Assumptions!$C$15*(1+Assumptions!$C$17)^(AM3-1),0)</f>
        <v>0</v>
      </c>
      <c r="AN16" s="55">
        <f>IFERROR(Assumptions!$C$15*(1+Assumptions!$C$17)^(AN3-1),0)</f>
        <v>0</v>
      </c>
      <c r="AO16" s="55">
        <f>IFERROR(Assumptions!$C$15*(1+Assumptions!$C$17)^(AO3-1),0)</f>
        <v>0</v>
      </c>
      <c r="AP16" s="55">
        <f>IFERROR(Assumptions!$C$15*(1+Assumptions!$C$17)^(AP3-1),0)</f>
        <v>0</v>
      </c>
      <c r="AQ16" s="55">
        <f>IFERROR(Assumptions!$C$15*(1+Assumptions!$C$17)^(AQ3-1),0)</f>
        <v>0</v>
      </c>
      <c r="AR16" s="55">
        <f>IFERROR(Assumptions!$C$15*(1+Assumptions!$C$17)^(AR3-1),0)</f>
        <v>0</v>
      </c>
      <c r="AS16" s="55">
        <f>IFERROR(Assumptions!$C$15*(1+Assumptions!$C$17)^(AS3-1),0)</f>
        <v>0</v>
      </c>
      <c r="AT16" s="55">
        <f>IFERROR(Assumptions!$C$15*(1+Assumptions!$C$17)^(AT3-1),0)</f>
        <v>0</v>
      </c>
      <c r="AU16" s="55">
        <f>IFERROR(Assumptions!$C$15*(1+Assumptions!$C$17)^(AU3-1),0)</f>
        <v>0</v>
      </c>
      <c r="AV16" s="55">
        <f>IFERROR(Assumptions!$C$15*(1+Assumptions!$C$17)^(AV3-1),0)</f>
        <v>0</v>
      </c>
      <c r="AW16" s="55">
        <f>IFERROR(Assumptions!$C$15*(1+Assumptions!$C$17)^(AW3-1),0)</f>
        <v>0</v>
      </c>
      <c r="AX16" s="55">
        <f>IFERROR(Assumptions!$C$15*(1+Assumptions!$C$17)^(AX3-1),0)</f>
        <v>0</v>
      </c>
      <c r="AY16" s="55">
        <f>IFERROR(Assumptions!$C$15*(1+Assumptions!$C$17)^(AY3-1),0)</f>
        <v>0</v>
      </c>
      <c r="AZ16" s="55">
        <f>IFERROR(Assumptions!$C$15*(1+Assumptions!$C$17)^(AZ3-1),0)</f>
        <v>0</v>
      </c>
      <c r="BA16" s="55">
        <f>IFERROR(Assumptions!$C$15*(1+Assumptions!$C$17)^(BA3-1),0)</f>
        <v>0</v>
      </c>
      <c r="BB16" s="55">
        <f>IFERROR(Assumptions!$C$15*(1+Assumptions!$C$17)^(BB3-1),0)</f>
        <v>0</v>
      </c>
      <c r="BC16" s="55">
        <f>IFERROR(Assumptions!$C$15*(1+Assumptions!$C$17)^(BC3-1),0)</f>
        <v>0</v>
      </c>
      <c r="BD16" s="55">
        <f>IFERROR(Assumptions!$C$15*(1+Assumptions!$C$17)^(BD3-1),0)</f>
        <v>0</v>
      </c>
      <c r="BE16" s="55">
        <f>IFERROR(Assumptions!$C$15*(1+Assumptions!$C$17)^(BE3-1),0)</f>
        <v>0</v>
      </c>
      <c r="BF16" s="55">
        <f>IFERROR(Assumptions!$C$15*(1+Assumptions!$C$17)^(BF3-1),0)</f>
        <v>0</v>
      </c>
      <c r="BG16" s="55">
        <f>IFERROR(Assumptions!$C$15*(1+Assumptions!$C$17)^(BG3-1),0)</f>
        <v>0</v>
      </c>
      <c r="BH16" s="55">
        <f>IFERROR(Assumptions!$C$15*(1+Assumptions!$C$17)^(BH3-1),0)</f>
        <v>0</v>
      </c>
      <c r="BI16" s="55">
        <f>IFERROR(Assumptions!$C$15*(1+Assumptions!$C$17)^(BI3-1),0)</f>
        <v>0</v>
      </c>
    </row>
    <row r="17" spans="1:61" x14ac:dyDescent="0.25">
      <c r="A17" s="50" t="s">
        <v>226</v>
      </c>
      <c r="B17" s="55">
        <f>IFERROR(Assumptions!$C$16*(1+Assumptions!$C$17)^(B3-1),0)</f>
        <v>0</v>
      </c>
      <c r="C17" s="55">
        <f>IFERROR(Assumptions!$C$16*(1+Assumptions!$C$17)^(C3-1),0)</f>
        <v>0</v>
      </c>
      <c r="D17" s="55">
        <f>IFERROR(Assumptions!$C$16*(1+Assumptions!$C$17)^(D3-1),0)</f>
        <v>0</v>
      </c>
      <c r="E17" s="55">
        <f>IFERROR(Assumptions!$C$16*(1+Assumptions!$C$17)^(E3-1),0)</f>
        <v>0</v>
      </c>
      <c r="F17" s="55">
        <f>IFERROR(Assumptions!$C$16*(1+Assumptions!$C$17)^(F3-1),0)</f>
        <v>0</v>
      </c>
      <c r="G17" s="55">
        <f>IFERROR(Assumptions!$C$16*(1+Assumptions!$C$17)^(G3-1),0)</f>
        <v>0</v>
      </c>
      <c r="H17" s="55">
        <f>IFERROR(Assumptions!$C$16*(1+Assumptions!$C$17)^(H3-1),0)</f>
        <v>0</v>
      </c>
      <c r="I17" s="55">
        <f>IFERROR(Assumptions!$C$16*(1+Assumptions!$C$17)^(I3-1),0)</f>
        <v>0</v>
      </c>
      <c r="J17" s="55">
        <f>IFERROR(Assumptions!$C$16*(1+Assumptions!$C$17)^(J3-1),0)</f>
        <v>0</v>
      </c>
      <c r="K17" s="55">
        <f>IFERROR(Assumptions!$C$16*(1+Assumptions!$C$17)^(K3-1),0)</f>
        <v>0</v>
      </c>
      <c r="L17" s="55">
        <f>IFERROR(Assumptions!$C$16*(1+Assumptions!$C$17)^(L3-1),0)</f>
        <v>0</v>
      </c>
      <c r="M17" s="55">
        <f>IFERROR(Assumptions!$C$16*(1+Assumptions!$C$17)^(M3-1),0)</f>
        <v>0</v>
      </c>
      <c r="N17" s="55">
        <f>IFERROR(Assumptions!$C$16*(1+Assumptions!$C$17)^(N3-1),0)</f>
        <v>0</v>
      </c>
      <c r="O17" s="55">
        <f>IFERROR(Assumptions!$C$16*(1+Assumptions!$C$17)^(O3-1),0)</f>
        <v>0</v>
      </c>
      <c r="P17" s="55">
        <f>IFERROR(Assumptions!$C$16*(1+Assumptions!$C$17)^(P3-1),0)</f>
        <v>0</v>
      </c>
      <c r="Q17" s="55">
        <f>IFERROR(Assumptions!$C$16*(1+Assumptions!$C$17)^(Q3-1),0)</f>
        <v>0</v>
      </c>
      <c r="R17" s="55">
        <f>IFERROR(Assumptions!$C$16*(1+Assumptions!$C$17)^(R3-1),0)</f>
        <v>0</v>
      </c>
      <c r="S17" s="55">
        <f>IFERROR(Assumptions!$C$16*(1+Assumptions!$C$17)^(S3-1),0)</f>
        <v>0</v>
      </c>
      <c r="T17" s="55">
        <f>IFERROR(Assumptions!$C$16*(1+Assumptions!$C$17)^(T3-1),0)</f>
        <v>0</v>
      </c>
      <c r="U17" s="55">
        <f>IFERROR(Assumptions!$C$16*(1+Assumptions!$C$17)^(U3-1),0)</f>
        <v>0</v>
      </c>
      <c r="V17" s="55">
        <f>IFERROR(Assumptions!$C$16*(1+Assumptions!$C$17)^(V3-1),0)</f>
        <v>0</v>
      </c>
      <c r="W17" s="55">
        <f>IFERROR(Assumptions!$C$16*(1+Assumptions!$C$17)^(W3-1),0)</f>
        <v>0</v>
      </c>
      <c r="X17" s="55">
        <f>IFERROR(Assumptions!$C$16*(1+Assumptions!$C$17)^(X3-1),0)</f>
        <v>0</v>
      </c>
      <c r="Y17" s="55">
        <f>IFERROR(Assumptions!$C$16*(1+Assumptions!$C$17)^(Y3-1),0)</f>
        <v>0</v>
      </c>
      <c r="Z17" s="55">
        <f>IFERROR(Assumptions!$C$16*(1+Assumptions!$C$17)^(Z3-1),0)</f>
        <v>0</v>
      </c>
      <c r="AA17" s="55">
        <f>IFERROR(Assumptions!$C$16*(1+Assumptions!$C$17)^(AA3-1),0)</f>
        <v>0</v>
      </c>
      <c r="AB17" s="55">
        <f>IFERROR(Assumptions!$C$16*(1+Assumptions!$C$17)^(AB3-1),0)</f>
        <v>0</v>
      </c>
      <c r="AC17" s="55">
        <f>IFERROR(Assumptions!$C$16*(1+Assumptions!$C$17)^(AC3-1),0)</f>
        <v>0</v>
      </c>
      <c r="AD17" s="55">
        <f>IFERROR(Assumptions!$C$16*(1+Assumptions!$C$17)^(AD3-1),0)</f>
        <v>0</v>
      </c>
      <c r="AE17" s="55">
        <f>IFERROR(Assumptions!$C$16*(1+Assumptions!$C$17)^(AE3-1),0)</f>
        <v>0</v>
      </c>
      <c r="AF17" s="55">
        <f>IFERROR(Assumptions!$C$16*(1+Assumptions!$C$17)^(AF3-1),0)</f>
        <v>0</v>
      </c>
      <c r="AG17" s="55">
        <f>IFERROR(Assumptions!$C$16*(1+Assumptions!$C$17)^(AG3-1),0)</f>
        <v>0</v>
      </c>
      <c r="AH17" s="55">
        <f>IFERROR(Assumptions!$C$16*(1+Assumptions!$C$17)^(AH3-1),0)</f>
        <v>0</v>
      </c>
      <c r="AI17" s="55">
        <f>IFERROR(Assumptions!$C$16*(1+Assumptions!$C$17)^(AI3-1),0)</f>
        <v>0</v>
      </c>
      <c r="AJ17" s="55">
        <f>IFERROR(Assumptions!$C$16*(1+Assumptions!$C$17)^(AJ3-1),0)</f>
        <v>0</v>
      </c>
      <c r="AK17" s="55">
        <f>IFERROR(Assumptions!$C$16*(1+Assumptions!$C$17)^(AK3-1),0)</f>
        <v>0</v>
      </c>
      <c r="AL17" s="55">
        <f>IFERROR(Assumptions!$C$16*(1+Assumptions!$C$17)^(AL3-1),0)</f>
        <v>0</v>
      </c>
      <c r="AM17" s="55">
        <f>IFERROR(Assumptions!$C$16*(1+Assumptions!$C$17)^(AM3-1),0)</f>
        <v>0</v>
      </c>
      <c r="AN17" s="55">
        <f>IFERROR(Assumptions!$C$16*(1+Assumptions!$C$17)^(AN3-1),0)</f>
        <v>0</v>
      </c>
      <c r="AO17" s="55">
        <f>IFERROR(Assumptions!$C$16*(1+Assumptions!$C$17)^(AO3-1),0)</f>
        <v>0</v>
      </c>
      <c r="AP17" s="55">
        <f>IFERROR(Assumptions!$C$16*(1+Assumptions!$C$17)^(AP3-1),0)</f>
        <v>0</v>
      </c>
      <c r="AQ17" s="55">
        <f>IFERROR(Assumptions!$C$16*(1+Assumptions!$C$17)^(AQ3-1),0)</f>
        <v>0</v>
      </c>
      <c r="AR17" s="55">
        <f>IFERROR(Assumptions!$C$16*(1+Assumptions!$C$17)^(AR3-1),0)</f>
        <v>0</v>
      </c>
      <c r="AS17" s="55">
        <f>IFERROR(Assumptions!$C$16*(1+Assumptions!$C$17)^(AS3-1),0)</f>
        <v>0</v>
      </c>
      <c r="AT17" s="55">
        <f>IFERROR(Assumptions!$C$16*(1+Assumptions!$C$17)^(AT3-1),0)</f>
        <v>0</v>
      </c>
      <c r="AU17" s="55">
        <f>IFERROR(Assumptions!$C$16*(1+Assumptions!$C$17)^(AU3-1),0)</f>
        <v>0</v>
      </c>
      <c r="AV17" s="55">
        <f>IFERROR(Assumptions!$C$16*(1+Assumptions!$C$17)^(AV3-1),0)</f>
        <v>0</v>
      </c>
      <c r="AW17" s="55">
        <f>IFERROR(Assumptions!$C$16*(1+Assumptions!$C$17)^(AW3-1),0)</f>
        <v>0</v>
      </c>
      <c r="AX17" s="55">
        <f>IFERROR(Assumptions!$C$16*(1+Assumptions!$C$17)^(AX3-1),0)</f>
        <v>0</v>
      </c>
      <c r="AY17" s="55">
        <f>IFERROR(Assumptions!$C$16*(1+Assumptions!$C$17)^(AY3-1),0)</f>
        <v>0</v>
      </c>
      <c r="AZ17" s="55">
        <f>IFERROR(Assumptions!$C$16*(1+Assumptions!$C$17)^(AZ3-1),0)</f>
        <v>0</v>
      </c>
      <c r="BA17" s="55">
        <f>IFERROR(Assumptions!$C$16*(1+Assumptions!$C$17)^(BA3-1),0)</f>
        <v>0</v>
      </c>
      <c r="BB17" s="55">
        <f>IFERROR(Assumptions!$C$16*(1+Assumptions!$C$17)^(BB3-1),0)</f>
        <v>0</v>
      </c>
      <c r="BC17" s="55">
        <f>IFERROR(Assumptions!$C$16*(1+Assumptions!$C$17)^(BC3-1),0)</f>
        <v>0</v>
      </c>
      <c r="BD17" s="55">
        <f>IFERROR(Assumptions!$C$16*(1+Assumptions!$C$17)^(BD3-1),0)</f>
        <v>0</v>
      </c>
      <c r="BE17" s="55">
        <f>IFERROR(Assumptions!$C$16*(1+Assumptions!$C$17)^(BE3-1),0)</f>
        <v>0</v>
      </c>
      <c r="BF17" s="55">
        <f>IFERROR(Assumptions!$C$16*(1+Assumptions!$C$17)^(BF3-1),0)</f>
        <v>0</v>
      </c>
      <c r="BG17" s="55">
        <f>IFERROR(Assumptions!$C$16*(1+Assumptions!$C$17)^(BG3-1),0)</f>
        <v>0</v>
      </c>
      <c r="BH17" s="55">
        <f>IFERROR(Assumptions!$C$16*(1+Assumptions!$C$17)^(BH3-1),0)</f>
        <v>0</v>
      </c>
      <c r="BI17" s="55">
        <f>IFERROR(Assumptions!$C$16*(1+Assumptions!$C$17)^(BI3-1),0)</f>
        <v>0</v>
      </c>
    </row>
    <row r="18" spans="1:61" x14ac:dyDescent="0.25">
      <c r="A18" s="50" t="s">
        <v>227</v>
      </c>
      <c r="B18" s="56">
        <f t="shared" ref="B18:AG18" si="8">IFERROR(B14*B16/100000,0)</f>
        <v>0</v>
      </c>
      <c r="C18" s="56">
        <f t="shared" si="8"/>
        <v>0</v>
      </c>
      <c r="D18" s="56">
        <f t="shared" si="8"/>
        <v>0</v>
      </c>
      <c r="E18" s="56">
        <f t="shared" si="8"/>
        <v>0</v>
      </c>
      <c r="F18" s="56">
        <f t="shared" si="8"/>
        <v>0</v>
      </c>
      <c r="G18" s="56">
        <f t="shared" si="8"/>
        <v>0</v>
      </c>
      <c r="H18" s="56">
        <f t="shared" si="8"/>
        <v>0</v>
      </c>
      <c r="I18" s="56">
        <f t="shared" si="8"/>
        <v>0</v>
      </c>
      <c r="J18" s="56">
        <f t="shared" si="8"/>
        <v>0</v>
      </c>
      <c r="K18" s="56">
        <f t="shared" si="8"/>
        <v>0</v>
      </c>
      <c r="L18" s="56">
        <f t="shared" si="8"/>
        <v>0</v>
      </c>
      <c r="M18" s="56">
        <f t="shared" si="8"/>
        <v>0</v>
      </c>
      <c r="N18" s="56">
        <f t="shared" si="8"/>
        <v>0</v>
      </c>
      <c r="O18" s="56">
        <f t="shared" si="8"/>
        <v>0</v>
      </c>
      <c r="P18" s="56">
        <f t="shared" si="8"/>
        <v>0</v>
      </c>
      <c r="Q18" s="56">
        <f t="shared" si="8"/>
        <v>0</v>
      </c>
      <c r="R18" s="56">
        <f t="shared" si="8"/>
        <v>0</v>
      </c>
      <c r="S18" s="56">
        <f t="shared" si="8"/>
        <v>0</v>
      </c>
      <c r="T18" s="56">
        <f t="shared" si="8"/>
        <v>0</v>
      </c>
      <c r="U18" s="56">
        <f t="shared" si="8"/>
        <v>0</v>
      </c>
      <c r="V18" s="56">
        <f t="shared" si="8"/>
        <v>0</v>
      </c>
      <c r="W18" s="56">
        <f t="shared" si="8"/>
        <v>0</v>
      </c>
      <c r="X18" s="56">
        <f t="shared" si="8"/>
        <v>0</v>
      </c>
      <c r="Y18" s="56">
        <f t="shared" si="8"/>
        <v>0</v>
      </c>
      <c r="Z18" s="56">
        <f t="shared" si="8"/>
        <v>0</v>
      </c>
      <c r="AA18" s="56">
        <f t="shared" si="8"/>
        <v>0</v>
      </c>
      <c r="AB18" s="56">
        <f t="shared" si="8"/>
        <v>0</v>
      </c>
      <c r="AC18" s="56">
        <f t="shared" si="8"/>
        <v>0</v>
      </c>
      <c r="AD18" s="56">
        <f t="shared" si="8"/>
        <v>0</v>
      </c>
      <c r="AE18" s="56">
        <f t="shared" si="8"/>
        <v>0</v>
      </c>
      <c r="AF18" s="56">
        <f t="shared" si="8"/>
        <v>0</v>
      </c>
      <c r="AG18" s="56">
        <f t="shared" si="8"/>
        <v>0</v>
      </c>
      <c r="AH18" s="56">
        <f t="shared" ref="AH18:BI18" si="9">IFERROR(AH14*AH16/100000,0)</f>
        <v>0</v>
      </c>
      <c r="AI18" s="56">
        <f t="shared" si="9"/>
        <v>0</v>
      </c>
      <c r="AJ18" s="56">
        <f t="shared" si="9"/>
        <v>0</v>
      </c>
      <c r="AK18" s="56">
        <f t="shared" si="9"/>
        <v>0</v>
      </c>
      <c r="AL18" s="56">
        <f t="shared" si="9"/>
        <v>0</v>
      </c>
      <c r="AM18" s="56">
        <f t="shared" si="9"/>
        <v>0</v>
      </c>
      <c r="AN18" s="56">
        <f t="shared" si="9"/>
        <v>0</v>
      </c>
      <c r="AO18" s="56">
        <f t="shared" si="9"/>
        <v>0</v>
      </c>
      <c r="AP18" s="56">
        <f t="shared" si="9"/>
        <v>0</v>
      </c>
      <c r="AQ18" s="56">
        <f t="shared" si="9"/>
        <v>0</v>
      </c>
      <c r="AR18" s="56">
        <f t="shared" si="9"/>
        <v>0</v>
      </c>
      <c r="AS18" s="56">
        <f t="shared" si="9"/>
        <v>0</v>
      </c>
      <c r="AT18" s="56">
        <f t="shared" si="9"/>
        <v>0</v>
      </c>
      <c r="AU18" s="56">
        <f t="shared" si="9"/>
        <v>0</v>
      </c>
      <c r="AV18" s="56">
        <f t="shared" si="9"/>
        <v>0</v>
      </c>
      <c r="AW18" s="56">
        <f t="shared" si="9"/>
        <v>0</v>
      </c>
      <c r="AX18" s="56">
        <f t="shared" si="9"/>
        <v>0</v>
      </c>
      <c r="AY18" s="56">
        <f t="shared" si="9"/>
        <v>0</v>
      </c>
      <c r="AZ18" s="56">
        <f t="shared" si="9"/>
        <v>0</v>
      </c>
      <c r="BA18" s="56">
        <f t="shared" si="9"/>
        <v>0</v>
      </c>
      <c r="BB18" s="56">
        <f t="shared" si="9"/>
        <v>0</v>
      </c>
      <c r="BC18" s="56">
        <f t="shared" si="9"/>
        <v>0</v>
      </c>
      <c r="BD18" s="56">
        <f t="shared" si="9"/>
        <v>0</v>
      </c>
      <c r="BE18" s="56">
        <f t="shared" si="9"/>
        <v>0</v>
      </c>
      <c r="BF18" s="56">
        <f t="shared" si="9"/>
        <v>0</v>
      </c>
      <c r="BG18" s="56">
        <f t="shared" si="9"/>
        <v>0</v>
      </c>
      <c r="BH18" s="56">
        <f t="shared" si="9"/>
        <v>0</v>
      </c>
      <c r="BI18" s="56">
        <f t="shared" si="9"/>
        <v>0</v>
      </c>
    </row>
    <row r="19" spans="1:61" x14ac:dyDescent="0.25">
      <c r="A19" s="50" t="s">
        <v>228</v>
      </c>
      <c r="B19" s="56">
        <f t="shared" ref="B19:AG19" si="10">IFERROR(B15*B17/100000,0)</f>
        <v>0</v>
      </c>
      <c r="C19" s="56">
        <f t="shared" si="10"/>
        <v>0</v>
      </c>
      <c r="D19" s="56">
        <f t="shared" si="10"/>
        <v>0</v>
      </c>
      <c r="E19" s="56">
        <f t="shared" si="10"/>
        <v>0</v>
      </c>
      <c r="F19" s="56">
        <f t="shared" si="10"/>
        <v>0</v>
      </c>
      <c r="G19" s="56">
        <f t="shared" si="10"/>
        <v>0</v>
      </c>
      <c r="H19" s="56">
        <f t="shared" si="10"/>
        <v>0</v>
      </c>
      <c r="I19" s="56">
        <f t="shared" si="10"/>
        <v>0</v>
      </c>
      <c r="J19" s="56">
        <f t="shared" si="10"/>
        <v>0</v>
      </c>
      <c r="K19" s="56">
        <f t="shared" si="10"/>
        <v>0</v>
      </c>
      <c r="L19" s="56">
        <f t="shared" si="10"/>
        <v>0</v>
      </c>
      <c r="M19" s="56">
        <f t="shared" si="10"/>
        <v>0</v>
      </c>
      <c r="N19" s="56">
        <f t="shared" si="10"/>
        <v>0</v>
      </c>
      <c r="O19" s="56">
        <f t="shared" si="10"/>
        <v>0</v>
      </c>
      <c r="P19" s="56">
        <f t="shared" si="10"/>
        <v>0</v>
      </c>
      <c r="Q19" s="56">
        <f t="shared" si="10"/>
        <v>0</v>
      </c>
      <c r="R19" s="56">
        <f t="shared" si="10"/>
        <v>0</v>
      </c>
      <c r="S19" s="56">
        <f t="shared" si="10"/>
        <v>0</v>
      </c>
      <c r="T19" s="56">
        <f t="shared" si="10"/>
        <v>0</v>
      </c>
      <c r="U19" s="56">
        <f t="shared" si="10"/>
        <v>0</v>
      </c>
      <c r="V19" s="56">
        <f t="shared" si="10"/>
        <v>0</v>
      </c>
      <c r="W19" s="56">
        <f t="shared" si="10"/>
        <v>0</v>
      </c>
      <c r="X19" s="56">
        <f t="shared" si="10"/>
        <v>0</v>
      </c>
      <c r="Y19" s="56">
        <f t="shared" si="10"/>
        <v>0</v>
      </c>
      <c r="Z19" s="56">
        <f t="shared" si="10"/>
        <v>0</v>
      </c>
      <c r="AA19" s="56">
        <f t="shared" si="10"/>
        <v>0</v>
      </c>
      <c r="AB19" s="56">
        <f t="shared" si="10"/>
        <v>0</v>
      </c>
      <c r="AC19" s="56">
        <f t="shared" si="10"/>
        <v>0</v>
      </c>
      <c r="AD19" s="56">
        <f t="shared" si="10"/>
        <v>0</v>
      </c>
      <c r="AE19" s="56">
        <f t="shared" si="10"/>
        <v>0</v>
      </c>
      <c r="AF19" s="56">
        <f t="shared" si="10"/>
        <v>0</v>
      </c>
      <c r="AG19" s="56">
        <f t="shared" si="10"/>
        <v>0</v>
      </c>
      <c r="AH19" s="56">
        <f t="shared" ref="AH19:BI19" si="11">IFERROR(AH15*AH17/100000,0)</f>
        <v>0</v>
      </c>
      <c r="AI19" s="56">
        <f t="shared" si="11"/>
        <v>0</v>
      </c>
      <c r="AJ19" s="56">
        <f t="shared" si="11"/>
        <v>0</v>
      </c>
      <c r="AK19" s="56">
        <f t="shared" si="11"/>
        <v>0</v>
      </c>
      <c r="AL19" s="56">
        <f t="shared" si="11"/>
        <v>0</v>
      </c>
      <c r="AM19" s="56">
        <f t="shared" si="11"/>
        <v>0</v>
      </c>
      <c r="AN19" s="56">
        <f t="shared" si="11"/>
        <v>0</v>
      </c>
      <c r="AO19" s="56">
        <f t="shared" si="11"/>
        <v>0</v>
      </c>
      <c r="AP19" s="56">
        <f t="shared" si="11"/>
        <v>0</v>
      </c>
      <c r="AQ19" s="56">
        <f t="shared" si="11"/>
        <v>0</v>
      </c>
      <c r="AR19" s="56">
        <f t="shared" si="11"/>
        <v>0</v>
      </c>
      <c r="AS19" s="56">
        <f t="shared" si="11"/>
        <v>0</v>
      </c>
      <c r="AT19" s="56">
        <f t="shared" si="11"/>
        <v>0</v>
      </c>
      <c r="AU19" s="56">
        <f t="shared" si="11"/>
        <v>0</v>
      </c>
      <c r="AV19" s="56">
        <f t="shared" si="11"/>
        <v>0</v>
      </c>
      <c r="AW19" s="56">
        <f t="shared" si="11"/>
        <v>0</v>
      </c>
      <c r="AX19" s="56">
        <f t="shared" si="11"/>
        <v>0</v>
      </c>
      <c r="AY19" s="56">
        <f t="shared" si="11"/>
        <v>0</v>
      </c>
      <c r="AZ19" s="56">
        <f t="shared" si="11"/>
        <v>0</v>
      </c>
      <c r="BA19" s="56">
        <f t="shared" si="11"/>
        <v>0</v>
      </c>
      <c r="BB19" s="56">
        <f t="shared" si="11"/>
        <v>0</v>
      </c>
      <c r="BC19" s="56">
        <f t="shared" si="11"/>
        <v>0</v>
      </c>
      <c r="BD19" s="56">
        <f t="shared" si="11"/>
        <v>0</v>
      </c>
      <c r="BE19" s="56">
        <f t="shared" si="11"/>
        <v>0</v>
      </c>
      <c r="BF19" s="56">
        <f t="shared" si="11"/>
        <v>0</v>
      </c>
      <c r="BG19" s="56">
        <f t="shared" si="11"/>
        <v>0</v>
      </c>
      <c r="BH19" s="56">
        <f t="shared" si="11"/>
        <v>0</v>
      </c>
      <c r="BI19" s="56">
        <f t="shared" si="11"/>
        <v>0</v>
      </c>
    </row>
    <row r="20" spans="1:61" x14ac:dyDescent="0.25">
      <c r="A20" s="53" t="s">
        <v>229</v>
      </c>
      <c r="B20" s="57">
        <f t="shared" ref="B20:AG20" si="12">B18+B19</f>
        <v>0</v>
      </c>
      <c r="C20" s="57">
        <f t="shared" si="12"/>
        <v>0</v>
      </c>
      <c r="D20" s="57">
        <f t="shared" si="12"/>
        <v>0</v>
      </c>
      <c r="E20" s="57">
        <f t="shared" si="12"/>
        <v>0</v>
      </c>
      <c r="F20" s="57">
        <f t="shared" si="12"/>
        <v>0</v>
      </c>
      <c r="G20" s="57">
        <f t="shared" si="12"/>
        <v>0</v>
      </c>
      <c r="H20" s="57">
        <f t="shared" si="12"/>
        <v>0</v>
      </c>
      <c r="I20" s="57">
        <f t="shared" si="12"/>
        <v>0</v>
      </c>
      <c r="J20" s="57">
        <f t="shared" si="12"/>
        <v>0</v>
      </c>
      <c r="K20" s="57">
        <f t="shared" si="12"/>
        <v>0</v>
      </c>
      <c r="L20" s="57">
        <f t="shared" si="12"/>
        <v>0</v>
      </c>
      <c r="M20" s="57">
        <f t="shared" si="12"/>
        <v>0</v>
      </c>
      <c r="N20" s="57">
        <f t="shared" si="12"/>
        <v>0</v>
      </c>
      <c r="O20" s="57">
        <f t="shared" si="12"/>
        <v>0</v>
      </c>
      <c r="P20" s="57">
        <f t="shared" si="12"/>
        <v>0</v>
      </c>
      <c r="Q20" s="57">
        <f t="shared" si="12"/>
        <v>0</v>
      </c>
      <c r="R20" s="57">
        <f t="shared" si="12"/>
        <v>0</v>
      </c>
      <c r="S20" s="57">
        <f t="shared" si="12"/>
        <v>0</v>
      </c>
      <c r="T20" s="57">
        <f t="shared" si="12"/>
        <v>0</v>
      </c>
      <c r="U20" s="57">
        <f t="shared" si="12"/>
        <v>0</v>
      </c>
      <c r="V20" s="57">
        <f t="shared" si="12"/>
        <v>0</v>
      </c>
      <c r="W20" s="57">
        <f t="shared" si="12"/>
        <v>0</v>
      </c>
      <c r="X20" s="57">
        <f t="shared" si="12"/>
        <v>0</v>
      </c>
      <c r="Y20" s="57">
        <f t="shared" si="12"/>
        <v>0</v>
      </c>
      <c r="Z20" s="57">
        <f t="shared" si="12"/>
        <v>0</v>
      </c>
      <c r="AA20" s="57">
        <f t="shared" si="12"/>
        <v>0</v>
      </c>
      <c r="AB20" s="57">
        <f t="shared" si="12"/>
        <v>0</v>
      </c>
      <c r="AC20" s="57">
        <f t="shared" si="12"/>
        <v>0</v>
      </c>
      <c r="AD20" s="57">
        <f t="shared" si="12"/>
        <v>0</v>
      </c>
      <c r="AE20" s="57">
        <f t="shared" si="12"/>
        <v>0</v>
      </c>
      <c r="AF20" s="57">
        <f t="shared" si="12"/>
        <v>0</v>
      </c>
      <c r="AG20" s="57">
        <f t="shared" si="12"/>
        <v>0</v>
      </c>
      <c r="AH20" s="57">
        <f t="shared" ref="AH20:BM20" si="13">AH18+AH19</f>
        <v>0</v>
      </c>
      <c r="AI20" s="57">
        <f t="shared" si="13"/>
        <v>0</v>
      </c>
      <c r="AJ20" s="57">
        <f t="shared" si="13"/>
        <v>0</v>
      </c>
      <c r="AK20" s="57">
        <f t="shared" si="13"/>
        <v>0</v>
      </c>
      <c r="AL20" s="57">
        <f t="shared" si="13"/>
        <v>0</v>
      </c>
      <c r="AM20" s="57">
        <f t="shared" si="13"/>
        <v>0</v>
      </c>
      <c r="AN20" s="57">
        <f t="shared" si="13"/>
        <v>0</v>
      </c>
      <c r="AO20" s="57">
        <f t="shared" si="13"/>
        <v>0</v>
      </c>
      <c r="AP20" s="57">
        <f t="shared" si="13"/>
        <v>0</v>
      </c>
      <c r="AQ20" s="57">
        <f t="shared" si="13"/>
        <v>0</v>
      </c>
      <c r="AR20" s="57">
        <f t="shared" si="13"/>
        <v>0</v>
      </c>
      <c r="AS20" s="57">
        <f t="shared" si="13"/>
        <v>0</v>
      </c>
      <c r="AT20" s="57">
        <f t="shared" si="13"/>
        <v>0</v>
      </c>
      <c r="AU20" s="57">
        <f t="shared" si="13"/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7">
        <f t="shared" si="13"/>
        <v>0</v>
      </c>
      <c r="BF20" s="57">
        <f t="shared" si="13"/>
        <v>0</v>
      </c>
      <c r="BG20" s="57">
        <f t="shared" si="13"/>
        <v>0</v>
      </c>
      <c r="BH20" s="57">
        <f t="shared" si="13"/>
        <v>0</v>
      </c>
      <c r="BI20" s="57">
        <f t="shared" si="13"/>
        <v>0</v>
      </c>
    </row>
    <row r="22" spans="1:61" x14ac:dyDescent="0.25">
      <c r="A22" s="32" t="s">
        <v>230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</row>
    <row r="23" spans="1:61" x14ac:dyDescent="0.25">
      <c r="A23" s="50" t="s">
        <v>231</v>
      </c>
      <c r="B23" s="56">
        <f>B18*Assumptions!$C$20*(1-Assumptions!$C$22*(B3-1))</f>
        <v>0</v>
      </c>
      <c r="C23" s="56">
        <f>C18*Assumptions!$C$20*(1-Assumptions!$C$22*(C3-1))</f>
        <v>0</v>
      </c>
      <c r="D23" s="56">
        <f>D18*Assumptions!$C$20*(1-Assumptions!$C$22*(D3-1))</f>
        <v>0</v>
      </c>
      <c r="E23" s="56">
        <f>E18*Assumptions!$C$20*(1-Assumptions!$C$22*(E3-1))</f>
        <v>0</v>
      </c>
      <c r="F23" s="56">
        <f>F18*Assumptions!$C$20*(1-Assumptions!$C$22*(F3-1))</f>
        <v>0</v>
      </c>
      <c r="G23" s="56">
        <f>G18*Assumptions!$C$20*(1-Assumptions!$C$22*(G3-1))</f>
        <v>0</v>
      </c>
      <c r="H23" s="56">
        <f>H18*Assumptions!$C$20*(1-Assumptions!$C$22*(H3-1))</f>
        <v>0</v>
      </c>
      <c r="I23" s="56">
        <f>I18*Assumptions!$C$20*(1-Assumptions!$C$22*(I3-1))</f>
        <v>0</v>
      </c>
      <c r="J23" s="56">
        <f>J18*Assumptions!$C$20*(1-Assumptions!$C$22*(J3-1))</f>
        <v>0</v>
      </c>
      <c r="K23" s="56">
        <f>K18*Assumptions!$C$20*(1-Assumptions!$C$22*(K3-1))</f>
        <v>0</v>
      </c>
      <c r="L23" s="56">
        <f>L18*Assumptions!$C$20*(1-Assumptions!$C$22*(L3-1))</f>
        <v>0</v>
      </c>
      <c r="M23" s="56">
        <f>M18*Assumptions!$C$20*(1-Assumptions!$C$22*(M3-1))</f>
        <v>0</v>
      </c>
      <c r="N23" s="56">
        <f>N18*Assumptions!$C$20*(1-Assumptions!$C$22*(N3-1))</f>
        <v>0</v>
      </c>
      <c r="O23" s="56">
        <f>O18*Assumptions!$C$20*(1-Assumptions!$C$22*(O3-1))</f>
        <v>0</v>
      </c>
      <c r="P23" s="56">
        <f>P18*Assumptions!$C$20*(1-Assumptions!$C$22*(P3-1))</f>
        <v>0</v>
      </c>
      <c r="Q23" s="56">
        <f>Q18*Assumptions!$C$20*(1-Assumptions!$C$22*(Q3-1))</f>
        <v>0</v>
      </c>
      <c r="R23" s="56">
        <f>R18*Assumptions!$C$20*(1-Assumptions!$C$22*(R3-1))</f>
        <v>0</v>
      </c>
      <c r="S23" s="56">
        <f>S18*Assumptions!$C$20*(1-Assumptions!$C$22*(S3-1))</f>
        <v>0</v>
      </c>
      <c r="T23" s="56">
        <f>T18*Assumptions!$C$20*(1-Assumptions!$C$22*(T3-1))</f>
        <v>0</v>
      </c>
      <c r="U23" s="56">
        <f>U18*Assumptions!$C$20*(1-Assumptions!$C$22*(U3-1))</f>
        <v>0</v>
      </c>
      <c r="V23" s="56">
        <f>V18*Assumptions!$C$20*(1-Assumptions!$C$22*(V3-1))</f>
        <v>0</v>
      </c>
      <c r="W23" s="56">
        <f>W18*Assumptions!$C$20*(1-Assumptions!$C$22*(W3-1))</f>
        <v>0</v>
      </c>
      <c r="X23" s="56">
        <f>X18*Assumptions!$C$20*(1-Assumptions!$C$22*(X3-1))</f>
        <v>0</v>
      </c>
      <c r="Y23" s="56">
        <f>Y18*Assumptions!$C$20*(1-Assumptions!$C$22*(Y3-1))</f>
        <v>0</v>
      </c>
      <c r="Z23" s="56">
        <f>Z18*Assumptions!$C$20*(1-Assumptions!$C$22*(Z3-1))</f>
        <v>0</v>
      </c>
      <c r="AA23" s="56">
        <f>AA18*Assumptions!$C$20*(1-Assumptions!$C$22*(AA3-1))</f>
        <v>0</v>
      </c>
      <c r="AB23" s="56">
        <f>AB18*Assumptions!$C$20*(1-Assumptions!$C$22*(AB3-1))</f>
        <v>0</v>
      </c>
      <c r="AC23" s="56">
        <f>AC18*Assumptions!$C$20*(1-Assumptions!$C$22*(AC3-1))</f>
        <v>0</v>
      </c>
      <c r="AD23" s="56">
        <f>AD18*Assumptions!$C$20*(1-Assumptions!$C$22*(AD3-1))</f>
        <v>0</v>
      </c>
      <c r="AE23" s="56">
        <f>AE18*Assumptions!$C$20*(1-Assumptions!$C$22*(AE3-1))</f>
        <v>0</v>
      </c>
      <c r="AF23" s="56">
        <f>AF18*Assumptions!$C$20*(1-Assumptions!$C$22*(AF3-1))</f>
        <v>0</v>
      </c>
      <c r="AG23" s="56">
        <f>AG18*Assumptions!$C$20*(1-Assumptions!$C$22*(AG3-1))</f>
        <v>0</v>
      </c>
      <c r="AH23" s="56">
        <f>AH18*Assumptions!$C$20*(1-Assumptions!$C$22*(AH3-1))</f>
        <v>0</v>
      </c>
      <c r="AI23" s="56">
        <f>AI18*Assumptions!$C$20*(1-Assumptions!$C$22*(AI3-1))</f>
        <v>0</v>
      </c>
      <c r="AJ23" s="56">
        <f>AJ18*Assumptions!$C$20*(1-Assumptions!$C$22*(AJ3-1))</f>
        <v>0</v>
      </c>
      <c r="AK23" s="56">
        <f>AK18*Assumptions!$C$20*(1-Assumptions!$C$22*(AK3-1))</f>
        <v>0</v>
      </c>
      <c r="AL23" s="56">
        <f>AL18*Assumptions!$C$20*(1-Assumptions!$C$22*(AL3-1))</f>
        <v>0</v>
      </c>
      <c r="AM23" s="56">
        <f>AM18*Assumptions!$C$20*(1-Assumptions!$C$22*(AM3-1))</f>
        <v>0</v>
      </c>
      <c r="AN23" s="56">
        <f>AN18*Assumptions!$C$20*(1-Assumptions!$C$22*(AN3-1))</f>
        <v>0</v>
      </c>
      <c r="AO23" s="56">
        <f>AO18*Assumptions!$C$20*(1-Assumptions!$C$22*(AO3-1))</f>
        <v>0</v>
      </c>
      <c r="AP23" s="56">
        <f>AP18*Assumptions!$C$20*(1-Assumptions!$C$22*(AP3-1))</f>
        <v>0</v>
      </c>
      <c r="AQ23" s="56">
        <f>AQ18*Assumptions!$C$20*(1-Assumptions!$C$22*(AQ3-1))</f>
        <v>0</v>
      </c>
      <c r="AR23" s="56">
        <f>AR18*Assumptions!$C$20*(1-Assumptions!$C$22*(AR3-1))</f>
        <v>0</v>
      </c>
      <c r="AS23" s="56">
        <f>AS18*Assumptions!$C$20*(1-Assumptions!$C$22*(AS3-1))</f>
        <v>0</v>
      </c>
      <c r="AT23" s="56">
        <f>AT18*Assumptions!$C$20*(1-Assumptions!$C$22*(AT3-1))</f>
        <v>0</v>
      </c>
      <c r="AU23" s="56">
        <f>AU18*Assumptions!$C$20*(1-Assumptions!$C$22*(AU3-1))</f>
        <v>0</v>
      </c>
      <c r="AV23" s="56">
        <f>AV18*Assumptions!$C$20*(1-Assumptions!$C$22*(AV3-1))</f>
        <v>0</v>
      </c>
      <c r="AW23" s="56">
        <f>AW18*Assumptions!$C$20*(1-Assumptions!$C$22*(AW3-1))</f>
        <v>0</v>
      </c>
      <c r="AX23" s="56">
        <f>AX18*Assumptions!$C$20*(1-Assumptions!$C$22*(AX3-1))</f>
        <v>0</v>
      </c>
      <c r="AY23" s="56">
        <f>AY18*Assumptions!$C$20*(1-Assumptions!$C$22*(AY3-1))</f>
        <v>0</v>
      </c>
      <c r="AZ23" s="56">
        <f>AZ18*Assumptions!$C$20*(1-Assumptions!$C$22*(AZ3-1))</f>
        <v>0</v>
      </c>
      <c r="BA23" s="56">
        <f>BA18*Assumptions!$C$20*(1-Assumptions!$C$22*(BA3-1))</f>
        <v>0</v>
      </c>
      <c r="BB23" s="56">
        <f>BB18*Assumptions!$C$20*(1-Assumptions!$C$22*(BB3-1))</f>
        <v>0</v>
      </c>
      <c r="BC23" s="56">
        <f>BC18*Assumptions!$C$20*(1-Assumptions!$C$22*(BC3-1))</f>
        <v>0</v>
      </c>
      <c r="BD23" s="56">
        <f>BD18*Assumptions!$C$20*(1-Assumptions!$C$22*(BD3-1))</f>
        <v>0</v>
      </c>
      <c r="BE23" s="56">
        <f>BE18*Assumptions!$C$20*(1-Assumptions!$C$22*(BE3-1))</f>
        <v>0</v>
      </c>
      <c r="BF23" s="56">
        <f>BF18*Assumptions!$C$20*(1-Assumptions!$C$22*(BF3-1))</f>
        <v>0</v>
      </c>
      <c r="BG23" s="56">
        <f>BG18*Assumptions!$C$20*(1-Assumptions!$C$22*(BG3-1))</f>
        <v>0</v>
      </c>
      <c r="BH23" s="56">
        <f>BH18*Assumptions!$C$20*(1-Assumptions!$C$22*(BH3-1))</f>
        <v>0</v>
      </c>
      <c r="BI23" s="56">
        <f>BI18*Assumptions!$C$20*(1-Assumptions!$C$22*(BI3-1))</f>
        <v>0</v>
      </c>
    </row>
    <row r="24" spans="1:61" x14ac:dyDescent="0.25">
      <c r="A24" s="50" t="s">
        <v>232</v>
      </c>
      <c r="B24" s="56">
        <f>B19*Assumptions!$C$21*(1-Assumptions!$C$22*(B3-1))</f>
        <v>0</v>
      </c>
      <c r="C24" s="56">
        <f>C19*Assumptions!$C$21*(1-Assumptions!$C$22*(C3-1))</f>
        <v>0</v>
      </c>
      <c r="D24" s="56">
        <f>D19*Assumptions!$C$21*(1-Assumptions!$C$22*(D3-1))</f>
        <v>0</v>
      </c>
      <c r="E24" s="56">
        <f>E19*Assumptions!$C$21*(1-Assumptions!$C$22*(E3-1))</f>
        <v>0</v>
      </c>
      <c r="F24" s="56">
        <f>F19*Assumptions!$C$21*(1-Assumptions!$C$22*(F3-1))</f>
        <v>0</v>
      </c>
      <c r="G24" s="56">
        <f>G19*Assumptions!$C$21*(1-Assumptions!$C$22*(G3-1))</f>
        <v>0</v>
      </c>
      <c r="H24" s="56">
        <f>H19*Assumptions!$C$21*(1-Assumptions!$C$22*(H3-1))</f>
        <v>0</v>
      </c>
      <c r="I24" s="56">
        <f>I19*Assumptions!$C$21*(1-Assumptions!$C$22*(I3-1))</f>
        <v>0</v>
      </c>
      <c r="J24" s="56">
        <f>J19*Assumptions!$C$21*(1-Assumptions!$C$22*(J3-1))</f>
        <v>0</v>
      </c>
      <c r="K24" s="56">
        <f>K19*Assumptions!$C$21*(1-Assumptions!$C$22*(K3-1))</f>
        <v>0</v>
      </c>
      <c r="L24" s="56">
        <f>L19*Assumptions!$C$21*(1-Assumptions!$C$22*(L3-1))</f>
        <v>0</v>
      </c>
      <c r="M24" s="56">
        <f>M19*Assumptions!$C$21*(1-Assumptions!$C$22*(M3-1))</f>
        <v>0</v>
      </c>
      <c r="N24" s="56">
        <f>N19*Assumptions!$C$21*(1-Assumptions!$C$22*(N3-1))</f>
        <v>0</v>
      </c>
      <c r="O24" s="56">
        <f>O19*Assumptions!$C$21*(1-Assumptions!$C$22*(O3-1))</f>
        <v>0</v>
      </c>
      <c r="P24" s="56">
        <f>P19*Assumptions!$C$21*(1-Assumptions!$C$22*(P3-1))</f>
        <v>0</v>
      </c>
      <c r="Q24" s="56">
        <f>Q19*Assumptions!$C$21*(1-Assumptions!$C$22*(Q3-1))</f>
        <v>0</v>
      </c>
      <c r="R24" s="56">
        <f>R19*Assumptions!$C$21*(1-Assumptions!$C$22*(R3-1))</f>
        <v>0</v>
      </c>
      <c r="S24" s="56">
        <f>S19*Assumptions!$C$21*(1-Assumptions!$C$22*(S3-1))</f>
        <v>0</v>
      </c>
      <c r="T24" s="56">
        <f>T19*Assumptions!$C$21*(1-Assumptions!$C$22*(T3-1))</f>
        <v>0</v>
      </c>
      <c r="U24" s="56">
        <f>U19*Assumptions!$C$21*(1-Assumptions!$C$22*(U3-1))</f>
        <v>0</v>
      </c>
      <c r="V24" s="56">
        <f>V19*Assumptions!$C$21*(1-Assumptions!$C$22*(V3-1))</f>
        <v>0</v>
      </c>
      <c r="W24" s="56">
        <f>W19*Assumptions!$C$21*(1-Assumptions!$C$22*(W3-1))</f>
        <v>0</v>
      </c>
      <c r="X24" s="56">
        <f>X19*Assumptions!$C$21*(1-Assumptions!$C$22*(X3-1))</f>
        <v>0</v>
      </c>
      <c r="Y24" s="56">
        <f>Y19*Assumptions!$C$21*(1-Assumptions!$C$22*(Y3-1))</f>
        <v>0</v>
      </c>
      <c r="Z24" s="56">
        <f>Z19*Assumptions!$C$21*(1-Assumptions!$C$22*(Z3-1))</f>
        <v>0</v>
      </c>
      <c r="AA24" s="56">
        <f>AA19*Assumptions!$C$21*(1-Assumptions!$C$22*(AA3-1))</f>
        <v>0</v>
      </c>
      <c r="AB24" s="56">
        <f>AB19*Assumptions!$C$21*(1-Assumptions!$C$22*(AB3-1))</f>
        <v>0</v>
      </c>
      <c r="AC24" s="56">
        <f>AC19*Assumptions!$C$21*(1-Assumptions!$C$22*(AC3-1))</f>
        <v>0</v>
      </c>
      <c r="AD24" s="56">
        <f>AD19*Assumptions!$C$21*(1-Assumptions!$C$22*(AD3-1))</f>
        <v>0</v>
      </c>
      <c r="AE24" s="56">
        <f>AE19*Assumptions!$C$21*(1-Assumptions!$C$22*(AE3-1))</f>
        <v>0</v>
      </c>
      <c r="AF24" s="56">
        <f>AF19*Assumptions!$C$21*(1-Assumptions!$C$22*(AF3-1))</f>
        <v>0</v>
      </c>
      <c r="AG24" s="56">
        <f>AG19*Assumptions!$C$21*(1-Assumptions!$C$22*(AG3-1))</f>
        <v>0</v>
      </c>
      <c r="AH24" s="56">
        <f>AH19*Assumptions!$C$21*(1-Assumptions!$C$22*(AH3-1))</f>
        <v>0</v>
      </c>
      <c r="AI24" s="56">
        <f>AI19*Assumptions!$C$21*(1-Assumptions!$C$22*(AI3-1))</f>
        <v>0</v>
      </c>
      <c r="AJ24" s="56">
        <f>AJ19*Assumptions!$C$21*(1-Assumptions!$C$22*(AJ3-1))</f>
        <v>0</v>
      </c>
      <c r="AK24" s="56">
        <f>AK19*Assumptions!$C$21*(1-Assumptions!$C$22*(AK3-1))</f>
        <v>0</v>
      </c>
      <c r="AL24" s="56">
        <f>AL19*Assumptions!$C$21*(1-Assumptions!$C$22*(AL3-1))</f>
        <v>0</v>
      </c>
      <c r="AM24" s="56">
        <f>AM19*Assumptions!$C$21*(1-Assumptions!$C$22*(AM3-1))</f>
        <v>0</v>
      </c>
      <c r="AN24" s="56">
        <f>AN19*Assumptions!$C$21*(1-Assumptions!$C$22*(AN3-1))</f>
        <v>0</v>
      </c>
      <c r="AO24" s="56">
        <f>AO19*Assumptions!$C$21*(1-Assumptions!$C$22*(AO3-1))</f>
        <v>0</v>
      </c>
      <c r="AP24" s="56">
        <f>AP19*Assumptions!$C$21*(1-Assumptions!$C$22*(AP3-1))</f>
        <v>0</v>
      </c>
      <c r="AQ24" s="56">
        <f>AQ19*Assumptions!$C$21*(1-Assumptions!$C$22*(AQ3-1))</f>
        <v>0</v>
      </c>
      <c r="AR24" s="56">
        <f>AR19*Assumptions!$C$21*(1-Assumptions!$C$22*(AR3-1))</f>
        <v>0</v>
      </c>
      <c r="AS24" s="56">
        <f>AS19*Assumptions!$C$21*(1-Assumptions!$C$22*(AS3-1))</f>
        <v>0</v>
      </c>
      <c r="AT24" s="56">
        <f>AT19*Assumptions!$C$21*(1-Assumptions!$C$22*(AT3-1))</f>
        <v>0</v>
      </c>
      <c r="AU24" s="56">
        <f>AU19*Assumptions!$C$21*(1-Assumptions!$C$22*(AU3-1))</f>
        <v>0</v>
      </c>
      <c r="AV24" s="56">
        <f>AV19*Assumptions!$C$21*(1-Assumptions!$C$22*(AV3-1))</f>
        <v>0</v>
      </c>
      <c r="AW24" s="56">
        <f>AW19*Assumptions!$C$21*(1-Assumptions!$C$22*(AW3-1))</f>
        <v>0</v>
      </c>
      <c r="AX24" s="56">
        <f>AX19*Assumptions!$C$21*(1-Assumptions!$C$22*(AX3-1))</f>
        <v>0</v>
      </c>
      <c r="AY24" s="56">
        <f>AY19*Assumptions!$C$21*(1-Assumptions!$C$22*(AY3-1))</f>
        <v>0</v>
      </c>
      <c r="AZ24" s="56">
        <f>AZ19*Assumptions!$C$21*(1-Assumptions!$C$22*(AZ3-1))</f>
        <v>0</v>
      </c>
      <c r="BA24" s="56">
        <f>BA19*Assumptions!$C$21*(1-Assumptions!$C$22*(BA3-1))</f>
        <v>0</v>
      </c>
      <c r="BB24" s="56">
        <f>BB19*Assumptions!$C$21*(1-Assumptions!$C$22*(BB3-1))</f>
        <v>0</v>
      </c>
      <c r="BC24" s="56">
        <f>BC19*Assumptions!$C$21*(1-Assumptions!$C$22*(BC3-1))</f>
        <v>0</v>
      </c>
      <c r="BD24" s="56">
        <f>BD19*Assumptions!$C$21*(1-Assumptions!$C$22*(BD3-1))</f>
        <v>0</v>
      </c>
      <c r="BE24" s="56">
        <f>BE19*Assumptions!$C$21*(1-Assumptions!$C$22*(BE3-1))</f>
        <v>0</v>
      </c>
      <c r="BF24" s="56">
        <f>BF19*Assumptions!$C$21*(1-Assumptions!$C$22*(BF3-1))</f>
        <v>0</v>
      </c>
      <c r="BG24" s="56">
        <f>BG19*Assumptions!$C$21*(1-Assumptions!$C$22*(BG3-1))</f>
        <v>0</v>
      </c>
      <c r="BH24" s="56">
        <f>BH19*Assumptions!$C$21*(1-Assumptions!$C$22*(BH3-1))</f>
        <v>0</v>
      </c>
      <c r="BI24" s="56">
        <f>BI19*Assumptions!$C$21*(1-Assumptions!$C$22*(BI3-1))</f>
        <v>0</v>
      </c>
    </row>
    <row r="25" spans="1:61" x14ac:dyDescent="0.25">
      <c r="A25" s="50" t="s">
        <v>147</v>
      </c>
      <c r="B25" s="56">
        <f>B20*Assumptions!$C$23</f>
        <v>0</v>
      </c>
      <c r="C25" s="56">
        <f>C20*Assumptions!$C$23</f>
        <v>0</v>
      </c>
      <c r="D25" s="56">
        <f>D20*Assumptions!$C$23</f>
        <v>0</v>
      </c>
      <c r="E25" s="56">
        <f>E20*Assumptions!$C$23</f>
        <v>0</v>
      </c>
      <c r="F25" s="56">
        <f>F20*Assumptions!$C$23</f>
        <v>0</v>
      </c>
      <c r="G25" s="56">
        <f>G20*Assumptions!$C$23</f>
        <v>0</v>
      </c>
      <c r="H25" s="56">
        <f>H20*Assumptions!$C$23</f>
        <v>0</v>
      </c>
      <c r="I25" s="56">
        <f>I20*Assumptions!$C$23</f>
        <v>0</v>
      </c>
      <c r="J25" s="56">
        <f>J20*Assumptions!$C$23</f>
        <v>0</v>
      </c>
      <c r="K25" s="56">
        <f>K20*Assumptions!$C$23</f>
        <v>0</v>
      </c>
      <c r="L25" s="56">
        <f>L20*Assumptions!$C$23</f>
        <v>0</v>
      </c>
      <c r="M25" s="56">
        <f>M20*Assumptions!$C$23</f>
        <v>0</v>
      </c>
      <c r="N25" s="56">
        <f>N20*Assumptions!$C$23</f>
        <v>0</v>
      </c>
      <c r="O25" s="56">
        <f>O20*Assumptions!$C$23</f>
        <v>0</v>
      </c>
      <c r="P25" s="56">
        <f>P20*Assumptions!$C$23</f>
        <v>0</v>
      </c>
      <c r="Q25" s="56">
        <f>Q20*Assumptions!$C$23</f>
        <v>0</v>
      </c>
      <c r="R25" s="56">
        <f>R20*Assumptions!$C$23</f>
        <v>0</v>
      </c>
      <c r="S25" s="56">
        <f>S20*Assumptions!$C$23</f>
        <v>0</v>
      </c>
      <c r="T25" s="56">
        <f>T20*Assumptions!$C$23</f>
        <v>0</v>
      </c>
      <c r="U25" s="56">
        <f>U20*Assumptions!$C$23</f>
        <v>0</v>
      </c>
      <c r="V25" s="56">
        <f>V20*Assumptions!$C$23</f>
        <v>0</v>
      </c>
      <c r="W25" s="56">
        <f>W20*Assumptions!$C$23</f>
        <v>0</v>
      </c>
      <c r="X25" s="56">
        <f>X20*Assumptions!$C$23</f>
        <v>0</v>
      </c>
      <c r="Y25" s="56">
        <f>Y20*Assumptions!$C$23</f>
        <v>0</v>
      </c>
      <c r="Z25" s="56">
        <f>Z20*Assumptions!$C$23</f>
        <v>0</v>
      </c>
      <c r="AA25" s="56">
        <f>AA20*Assumptions!$C$23</f>
        <v>0</v>
      </c>
      <c r="AB25" s="56">
        <f>AB20*Assumptions!$C$23</f>
        <v>0</v>
      </c>
      <c r="AC25" s="56">
        <f>AC20*Assumptions!$C$23</f>
        <v>0</v>
      </c>
      <c r="AD25" s="56">
        <f>AD20*Assumptions!$C$23</f>
        <v>0</v>
      </c>
      <c r="AE25" s="56">
        <f>AE20*Assumptions!$C$23</f>
        <v>0</v>
      </c>
      <c r="AF25" s="56">
        <f>AF20*Assumptions!$C$23</f>
        <v>0</v>
      </c>
      <c r="AG25" s="56">
        <f>AG20*Assumptions!$C$23</f>
        <v>0</v>
      </c>
      <c r="AH25" s="56">
        <f>AH20*Assumptions!$C$23</f>
        <v>0</v>
      </c>
      <c r="AI25" s="56">
        <f>AI20*Assumptions!$C$23</f>
        <v>0</v>
      </c>
      <c r="AJ25" s="56">
        <f>AJ20*Assumptions!$C$23</f>
        <v>0</v>
      </c>
      <c r="AK25" s="56">
        <f>AK20*Assumptions!$C$23</f>
        <v>0</v>
      </c>
      <c r="AL25" s="56">
        <f>AL20*Assumptions!$C$23</f>
        <v>0</v>
      </c>
      <c r="AM25" s="56">
        <f>AM20*Assumptions!$C$23</f>
        <v>0</v>
      </c>
      <c r="AN25" s="56">
        <f>AN20*Assumptions!$C$23</f>
        <v>0</v>
      </c>
      <c r="AO25" s="56">
        <f>AO20*Assumptions!$C$23</f>
        <v>0</v>
      </c>
      <c r="AP25" s="56">
        <f>AP20*Assumptions!$C$23</f>
        <v>0</v>
      </c>
      <c r="AQ25" s="56">
        <f>AQ20*Assumptions!$C$23</f>
        <v>0</v>
      </c>
      <c r="AR25" s="56">
        <f>AR20*Assumptions!$C$23</f>
        <v>0</v>
      </c>
      <c r="AS25" s="56">
        <f>AS20*Assumptions!$C$23</f>
        <v>0</v>
      </c>
      <c r="AT25" s="56">
        <f>AT20*Assumptions!$C$23</f>
        <v>0</v>
      </c>
      <c r="AU25" s="56">
        <f>AU20*Assumptions!$C$23</f>
        <v>0</v>
      </c>
      <c r="AV25" s="56">
        <f>AV20*Assumptions!$C$23</f>
        <v>0</v>
      </c>
      <c r="AW25" s="56">
        <f>AW20*Assumptions!$C$23</f>
        <v>0</v>
      </c>
      <c r="AX25" s="56">
        <f>AX20*Assumptions!$C$23</f>
        <v>0</v>
      </c>
      <c r="AY25" s="56">
        <f>AY20*Assumptions!$C$23</f>
        <v>0</v>
      </c>
      <c r="AZ25" s="56">
        <f>AZ20*Assumptions!$C$23</f>
        <v>0</v>
      </c>
      <c r="BA25" s="56">
        <f>BA20*Assumptions!$C$23</f>
        <v>0</v>
      </c>
      <c r="BB25" s="56">
        <f>BB20*Assumptions!$C$23</f>
        <v>0</v>
      </c>
      <c r="BC25" s="56">
        <f>BC20*Assumptions!$C$23</f>
        <v>0</v>
      </c>
      <c r="BD25" s="56">
        <f>BD20*Assumptions!$C$23</f>
        <v>0</v>
      </c>
      <c r="BE25" s="56">
        <f>BE20*Assumptions!$C$23</f>
        <v>0</v>
      </c>
      <c r="BF25" s="56">
        <f>BF20*Assumptions!$C$23</f>
        <v>0</v>
      </c>
      <c r="BG25" s="56">
        <f>BG20*Assumptions!$C$23</f>
        <v>0</v>
      </c>
      <c r="BH25" s="56">
        <f>BH20*Assumptions!$C$23</f>
        <v>0</v>
      </c>
      <c r="BI25" s="56">
        <f>BI20*Assumptions!$C$23</f>
        <v>0</v>
      </c>
    </row>
    <row r="26" spans="1:61" x14ac:dyDescent="0.25">
      <c r="A26" s="50" t="s">
        <v>233</v>
      </c>
      <c r="B26" s="56">
        <f>IFERROR((B9*Assumptions!$C$24+B10*Assumptions!$C$25)*Assumptions!$C$26*(1+Assumptions!$C$27)^(B3-1)/100000,0)</f>
        <v>0</v>
      </c>
      <c r="C26" s="56">
        <f>IFERROR((C9*Assumptions!$C$24+C10*Assumptions!$C$25)*Assumptions!$C$26*(1+Assumptions!$C$27)^(C3-1)/100000,0)</f>
        <v>0</v>
      </c>
      <c r="D26" s="56">
        <f>IFERROR((D9*Assumptions!$C$24+D10*Assumptions!$C$25)*Assumptions!$C$26*(1+Assumptions!$C$27)^(D3-1)/100000,0)</f>
        <v>0</v>
      </c>
      <c r="E26" s="56">
        <f>IFERROR((E9*Assumptions!$C$24+E10*Assumptions!$C$25)*Assumptions!$C$26*(1+Assumptions!$C$27)^(E3-1)/100000,0)</f>
        <v>0</v>
      </c>
      <c r="F26" s="56">
        <f>IFERROR((F9*Assumptions!$C$24+F10*Assumptions!$C$25)*Assumptions!$C$26*(1+Assumptions!$C$27)^(F3-1)/100000,0)</f>
        <v>0</v>
      </c>
      <c r="G26" s="56">
        <f>IFERROR((G9*Assumptions!$C$24+G10*Assumptions!$C$25)*Assumptions!$C$26*(1+Assumptions!$C$27)^(G3-1)/100000,0)</f>
        <v>0</v>
      </c>
      <c r="H26" s="56">
        <f>IFERROR((H9*Assumptions!$C$24+H10*Assumptions!$C$25)*Assumptions!$C$26*(1+Assumptions!$C$27)^(H3-1)/100000,0)</f>
        <v>0</v>
      </c>
      <c r="I26" s="56">
        <f>IFERROR((I9*Assumptions!$C$24+I10*Assumptions!$C$25)*Assumptions!$C$26*(1+Assumptions!$C$27)^(I3-1)/100000,0)</f>
        <v>0</v>
      </c>
      <c r="J26" s="56">
        <f>IFERROR((J9*Assumptions!$C$24+J10*Assumptions!$C$25)*Assumptions!$C$26*(1+Assumptions!$C$27)^(J3-1)/100000,0)</f>
        <v>0</v>
      </c>
      <c r="K26" s="56">
        <f>IFERROR((K9*Assumptions!$C$24+K10*Assumptions!$C$25)*Assumptions!$C$26*(1+Assumptions!$C$27)^(K3-1)/100000,0)</f>
        <v>0</v>
      </c>
      <c r="L26" s="56">
        <f>IFERROR((L9*Assumptions!$C$24+L10*Assumptions!$C$25)*Assumptions!$C$26*(1+Assumptions!$C$27)^(L3-1)/100000,0)</f>
        <v>0</v>
      </c>
      <c r="M26" s="56">
        <f>IFERROR((M9*Assumptions!$C$24+M10*Assumptions!$C$25)*Assumptions!$C$26*(1+Assumptions!$C$27)^(M3-1)/100000,0)</f>
        <v>0</v>
      </c>
      <c r="N26" s="56">
        <f>IFERROR((N9*Assumptions!$C$24+N10*Assumptions!$C$25)*Assumptions!$C$26*(1+Assumptions!$C$27)^(N3-1)/100000,0)</f>
        <v>0</v>
      </c>
      <c r="O26" s="56">
        <f>IFERROR((O9*Assumptions!$C$24+O10*Assumptions!$C$25)*Assumptions!$C$26*(1+Assumptions!$C$27)^(O3-1)/100000,0)</f>
        <v>0</v>
      </c>
      <c r="P26" s="56">
        <f>IFERROR((P9*Assumptions!$C$24+P10*Assumptions!$C$25)*Assumptions!$C$26*(1+Assumptions!$C$27)^(P3-1)/100000,0)</f>
        <v>0</v>
      </c>
      <c r="Q26" s="56">
        <f>IFERROR((Q9*Assumptions!$C$24+Q10*Assumptions!$C$25)*Assumptions!$C$26*(1+Assumptions!$C$27)^(Q3-1)/100000,0)</f>
        <v>0</v>
      </c>
      <c r="R26" s="56">
        <f>IFERROR((R9*Assumptions!$C$24+R10*Assumptions!$C$25)*Assumptions!$C$26*(1+Assumptions!$C$27)^(R3-1)/100000,0)</f>
        <v>0</v>
      </c>
      <c r="S26" s="56">
        <f>IFERROR((S9*Assumptions!$C$24+S10*Assumptions!$C$25)*Assumptions!$C$26*(1+Assumptions!$C$27)^(S3-1)/100000,0)</f>
        <v>0</v>
      </c>
      <c r="T26" s="56">
        <f>IFERROR((T9*Assumptions!$C$24+T10*Assumptions!$C$25)*Assumptions!$C$26*(1+Assumptions!$C$27)^(T3-1)/100000,0)</f>
        <v>0</v>
      </c>
      <c r="U26" s="56">
        <f>IFERROR((U9*Assumptions!$C$24+U10*Assumptions!$C$25)*Assumptions!$C$26*(1+Assumptions!$C$27)^(U3-1)/100000,0)</f>
        <v>0</v>
      </c>
      <c r="V26" s="56">
        <f>IFERROR((V9*Assumptions!$C$24+V10*Assumptions!$C$25)*Assumptions!$C$26*(1+Assumptions!$C$27)^(V3-1)/100000,0)</f>
        <v>0</v>
      </c>
      <c r="W26" s="56">
        <f>IFERROR((W9*Assumptions!$C$24+W10*Assumptions!$C$25)*Assumptions!$C$26*(1+Assumptions!$C$27)^(W3-1)/100000,0)</f>
        <v>0</v>
      </c>
      <c r="X26" s="56">
        <f>IFERROR((X9*Assumptions!$C$24+X10*Assumptions!$C$25)*Assumptions!$C$26*(1+Assumptions!$C$27)^(X3-1)/100000,0)</f>
        <v>0</v>
      </c>
      <c r="Y26" s="56">
        <f>IFERROR((Y9*Assumptions!$C$24+Y10*Assumptions!$C$25)*Assumptions!$C$26*(1+Assumptions!$C$27)^(Y3-1)/100000,0)</f>
        <v>0</v>
      </c>
      <c r="Z26" s="56">
        <f>IFERROR((Z9*Assumptions!$C$24+Z10*Assumptions!$C$25)*Assumptions!$C$26*(1+Assumptions!$C$27)^(Z3-1)/100000,0)</f>
        <v>0</v>
      </c>
      <c r="AA26" s="56">
        <f>IFERROR((AA9*Assumptions!$C$24+AA10*Assumptions!$C$25)*Assumptions!$C$26*(1+Assumptions!$C$27)^(AA3-1)/100000,0)</f>
        <v>0</v>
      </c>
      <c r="AB26" s="56">
        <f>IFERROR((AB9*Assumptions!$C$24+AB10*Assumptions!$C$25)*Assumptions!$C$26*(1+Assumptions!$C$27)^(AB3-1)/100000,0)</f>
        <v>0</v>
      </c>
      <c r="AC26" s="56">
        <f>IFERROR((AC9*Assumptions!$C$24+AC10*Assumptions!$C$25)*Assumptions!$C$26*(1+Assumptions!$C$27)^(AC3-1)/100000,0)</f>
        <v>0</v>
      </c>
      <c r="AD26" s="56">
        <f>IFERROR((AD9*Assumptions!$C$24+AD10*Assumptions!$C$25)*Assumptions!$C$26*(1+Assumptions!$C$27)^(AD3-1)/100000,0)</f>
        <v>0</v>
      </c>
      <c r="AE26" s="56">
        <f>IFERROR((AE9*Assumptions!$C$24+AE10*Assumptions!$C$25)*Assumptions!$C$26*(1+Assumptions!$C$27)^(AE3-1)/100000,0)</f>
        <v>0</v>
      </c>
      <c r="AF26" s="56">
        <f>IFERROR((AF9*Assumptions!$C$24+AF10*Assumptions!$C$25)*Assumptions!$C$26*(1+Assumptions!$C$27)^(AF3-1)/100000,0)</f>
        <v>0</v>
      </c>
      <c r="AG26" s="56">
        <f>IFERROR((AG9*Assumptions!$C$24+AG10*Assumptions!$C$25)*Assumptions!$C$26*(1+Assumptions!$C$27)^(AG3-1)/100000,0)</f>
        <v>0</v>
      </c>
      <c r="AH26" s="56">
        <f>IFERROR((AH9*Assumptions!$C$24+AH10*Assumptions!$C$25)*Assumptions!$C$26*(1+Assumptions!$C$27)^(AH3-1)/100000,0)</f>
        <v>0</v>
      </c>
      <c r="AI26" s="56">
        <f>IFERROR((AI9*Assumptions!$C$24+AI10*Assumptions!$C$25)*Assumptions!$C$26*(1+Assumptions!$C$27)^(AI3-1)/100000,0)</f>
        <v>0</v>
      </c>
      <c r="AJ26" s="56">
        <f>IFERROR((AJ9*Assumptions!$C$24+AJ10*Assumptions!$C$25)*Assumptions!$C$26*(1+Assumptions!$C$27)^(AJ3-1)/100000,0)</f>
        <v>0</v>
      </c>
      <c r="AK26" s="56">
        <f>IFERROR((AK9*Assumptions!$C$24+AK10*Assumptions!$C$25)*Assumptions!$C$26*(1+Assumptions!$C$27)^(AK3-1)/100000,0)</f>
        <v>0</v>
      </c>
      <c r="AL26" s="56">
        <f>IFERROR((AL9*Assumptions!$C$24+AL10*Assumptions!$C$25)*Assumptions!$C$26*(1+Assumptions!$C$27)^(AL3-1)/100000,0)</f>
        <v>0</v>
      </c>
      <c r="AM26" s="56">
        <f>IFERROR((AM9*Assumptions!$C$24+AM10*Assumptions!$C$25)*Assumptions!$C$26*(1+Assumptions!$C$27)^(AM3-1)/100000,0)</f>
        <v>0</v>
      </c>
      <c r="AN26" s="56">
        <f>IFERROR((AN9*Assumptions!$C$24+AN10*Assumptions!$C$25)*Assumptions!$C$26*(1+Assumptions!$C$27)^(AN3-1)/100000,0)</f>
        <v>0</v>
      </c>
      <c r="AO26" s="56">
        <f>IFERROR((AO9*Assumptions!$C$24+AO10*Assumptions!$C$25)*Assumptions!$C$26*(1+Assumptions!$C$27)^(AO3-1)/100000,0)</f>
        <v>0</v>
      </c>
      <c r="AP26" s="56">
        <f>IFERROR((AP9*Assumptions!$C$24+AP10*Assumptions!$C$25)*Assumptions!$C$26*(1+Assumptions!$C$27)^(AP3-1)/100000,0)</f>
        <v>0</v>
      </c>
      <c r="AQ26" s="56">
        <f>IFERROR((AQ9*Assumptions!$C$24+AQ10*Assumptions!$C$25)*Assumptions!$C$26*(1+Assumptions!$C$27)^(AQ3-1)/100000,0)</f>
        <v>0</v>
      </c>
      <c r="AR26" s="56">
        <f>IFERROR((AR9*Assumptions!$C$24+AR10*Assumptions!$C$25)*Assumptions!$C$26*(1+Assumptions!$C$27)^(AR3-1)/100000,0)</f>
        <v>0</v>
      </c>
      <c r="AS26" s="56">
        <f>IFERROR((AS9*Assumptions!$C$24+AS10*Assumptions!$C$25)*Assumptions!$C$26*(1+Assumptions!$C$27)^(AS3-1)/100000,0)</f>
        <v>0</v>
      </c>
      <c r="AT26" s="56">
        <f>IFERROR((AT9*Assumptions!$C$24+AT10*Assumptions!$C$25)*Assumptions!$C$26*(1+Assumptions!$C$27)^(AT3-1)/100000,0)</f>
        <v>0</v>
      </c>
      <c r="AU26" s="56">
        <f>IFERROR((AU9*Assumptions!$C$24+AU10*Assumptions!$C$25)*Assumptions!$C$26*(1+Assumptions!$C$27)^(AU3-1)/100000,0)</f>
        <v>0</v>
      </c>
      <c r="AV26" s="56">
        <f>IFERROR((AV9*Assumptions!$C$24+AV10*Assumptions!$C$25)*Assumptions!$C$26*(1+Assumptions!$C$27)^(AV3-1)/100000,0)</f>
        <v>0</v>
      </c>
      <c r="AW26" s="56">
        <f>IFERROR((AW9*Assumptions!$C$24+AW10*Assumptions!$C$25)*Assumptions!$C$26*(1+Assumptions!$C$27)^(AW3-1)/100000,0)</f>
        <v>0</v>
      </c>
      <c r="AX26" s="56">
        <f>IFERROR((AX9*Assumptions!$C$24+AX10*Assumptions!$C$25)*Assumptions!$C$26*(1+Assumptions!$C$27)^(AX3-1)/100000,0)</f>
        <v>0</v>
      </c>
      <c r="AY26" s="56">
        <f>IFERROR((AY9*Assumptions!$C$24+AY10*Assumptions!$C$25)*Assumptions!$C$26*(1+Assumptions!$C$27)^(AY3-1)/100000,0)</f>
        <v>0</v>
      </c>
      <c r="AZ26" s="56">
        <f>IFERROR((AZ9*Assumptions!$C$24+AZ10*Assumptions!$C$25)*Assumptions!$C$26*(1+Assumptions!$C$27)^(AZ3-1)/100000,0)</f>
        <v>0</v>
      </c>
      <c r="BA26" s="56">
        <f>IFERROR((BA9*Assumptions!$C$24+BA10*Assumptions!$C$25)*Assumptions!$C$26*(1+Assumptions!$C$27)^(BA3-1)/100000,0)</f>
        <v>0</v>
      </c>
      <c r="BB26" s="56">
        <f>IFERROR((BB9*Assumptions!$C$24+BB10*Assumptions!$C$25)*Assumptions!$C$26*(1+Assumptions!$C$27)^(BB3-1)/100000,0)</f>
        <v>0</v>
      </c>
      <c r="BC26" s="56">
        <f>IFERROR((BC9*Assumptions!$C$24+BC10*Assumptions!$C$25)*Assumptions!$C$26*(1+Assumptions!$C$27)^(BC3-1)/100000,0)</f>
        <v>0</v>
      </c>
      <c r="BD26" s="56">
        <f>IFERROR((BD9*Assumptions!$C$24+BD10*Assumptions!$C$25)*Assumptions!$C$26*(1+Assumptions!$C$27)^(BD3-1)/100000,0)</f>
        <v>0</v>
      </c>
      <c r="BE26" s="56">
        <f>IFERROR((BE9*Assumptions!$C$24+BE10*Assumptions!$C$25)*Assumptions!$C$26*(1+Assumptions!$C$27)^(BE3-1)/100000,0)</f>
        <v>0</v>
      </c>
      <c r="BF26" s="56">
        <f>IFERROR((BF9*Assumptions!$C$24+BF10*Assumptions!$C$25)*Assumptions!$C$26*(1+Assumptions!$C$27)^(BF3-1)/100000,0)</f>
        <v>0</v>
      </c>
      <c r="BG26" s="56">
        <f>IFERROR((BG9*Assumptions!$C$24+BG10*Assumptions!$C$25)*Assumptions!$C$26*(1+Assumptions!$C$27)^(BG3-1)/100000,0)</f>
        <v>0</v>
      </c>
      <c r="BH26" s="56">
        <f>IFERROR((BH9*Assumptions!$C$24+BH10*Assumptions!$C$25)*Assumptions!$C$26*(1+Assumptions!$C$27)^(BH3-1)/100000,0)</f>
        <v>0</v>
      </c>
      <c r="BI26" s="56">
        <f>IFERROR((BI9*Assumptions!$C$24+BI10*Assumptions!$C$25)*Assumptions!$C$26*(1+Assumptions!$C$27)^(BI3-1)/100000,0)</f>
        <v>0</v>
      </c>
    </row>
    <row r="27" spans="1:61" x14ac:dyDescent="0.25">
      <c r="A27" s="50" t="s">
        <v>234</v>
      </c>
      <c r="B27" s="56">
        <f>IFERROR(IF(B4&lt;Assumptions!$C$6,0,CHOOSE(B3,Assumptions!$C$29,Assumptions!$C$30,Assumptions!$C$31,Assumptions!$C$32,Assumptions!$C$33)*Assumptions!$C$34*(1+Assumptions!$C$41)^(B3-1)/100000),0)</f>
        <v>0</v>
      </c>
      <c r="C27" s="56">
        <f>IFERROR(IF(C4&lt;Assumptions!$C$6,0,CHOOSE(C3,Assumptions!$C$29,Assumptions!$C$30,Assumptions!$C$31,Assumptions!$C$32,Assumptions!$C$33)*Assumptions!$C$34*(1+Assumptions!$C$41)^(C3-1)/100000),0)</f>
        <v>0</v>
      </c>
      <c r="D27" s="56">
        <f>IFERROR(IF(D4&lt;Assumptions!$C$6,0,CHOOSE(D3,Assumptions!$C$29,Assumptions!$C$30,Assumptions!$C$31,Assumptions!$C$32,Assumptions!$C$33)*Assumptions!$C$34*(1+Assumptions!$C$41)^(D3-1)/100000),0)</f>
        <v>0</v>
      </c>
      <c r="E27" s="56">
        <f>IFERROR(IF(E4&lt;Assumptions!$C$6,0,CHOOSE(E3,Assumptions!$C$29,Assumptions!$C$30,Assumptions!$C$31,Assumptions!$C$32,Assumptions!$C$33)*Assumptions!$C$34*(1+Assumptions!$C$41)^(E3-1)/100000),0)</f>
        <v>0</v>
      </c>
      <c r="F27" s="56">
        <f>IFERROR(IF(F4&lt;Assumptions!$C$6,0,CHOOSE(F3,Assumptions!$C$29,Assumptions!$C$30,Assumptions!$C$31,Assumptions!$C$32,Assumptions!$C$33)*Assumptions!$C$34*(1+Assumptions!$C$41)^(F3-1)/100000),0)</f>
        <v>0</v>
      </c>
      <c r="G27" s="56">
        <f>IFERROR(IF(G4&lt;Assumptions!$C$6,0,CHOOSE(G3,Assumptions!$C$29,Assumptions!$C$30,Assumptions!$C$31,Assumptions!$C$32,Assumptions!$C$33)*Assumptions!$C$34*(1+Assumptions!$C$41)^(G3-1)/100000),0)</f>
        <v>0</v>
      </c>
      <c r="H27" s="56">
        <f>IFERROR(IF(H4&lt;Assumptions!$C$6,0,CHOOSE(H3,Assumptions!$C$29,Assumptions!$C$30,Assumptions!$C$31,Assumptions!$C$32,Assumptions!$C$33)*Assumptions!$C$34*(1+Assumptions!$C$41)^(H3-1)/100000),0)</f>
        <v>0</v>
      </c>
      <c r="I27" s="56">
        <f>IFERROR(IF(I4&lt;Assumptions!$C$6,0,CHOOSE(I3,Assumptions!$C$29,Assumptions!$C$30,Assumptions!$C$31,Assumptions!$C$32,Assumptions!$C$33)*Assumptions!$C$34*(1+Assumptions!$C$41)^(I3-1)/100000),0)</f>
        <v>0</v>
      </c>
      <c r="J27" s="56">
        <f>IFERROR(IF(J4&lt;Assumptions!$C$6,0,CHOOSE(J3,Assumptions!$C$29,Assumptions!$C$30,Assumptions!$C$31,Assumptions!$C$32,Assumptions!$C$33)*Assumptions!$C$34*(1+Assumptions!$C$41)^(J3-1)/100000),0)</f>
        <v>0</v>
      </c>
      <c r="K27" s="56">
        <f>IFERROR(IF(K4&lt;Assumptions!$C$6,0,CHOOSE(K3,Assumptions!$C$29,Assumptions!$C$30,Assumptions!$C$31,Assumptions!$C$32,Assumptions!$C$33)*Assumptions!$C$34*(1+Assumptions!$C$41)^(K3-1)/100000),0)</f>
        <v>0</v>
      </c>
      <c r="L27" s="56">
        <f>IFERROR(IF(L4&lt;Assumptions!$C$6,0,CHOOSE(L3,Assumptions!$C$29,Assumptions!$C$30,Assumptions!$C$31,Assumptions!$C$32,Assumptions!$C$33)*Assumptions!$C$34*(1+Assumptions!$C$41)^(L3-1)/100000),0)</f>
        <v>0</v>
      </c>
      <c r="M27" s="56">
        <f>IFERROR(IF(M4&lt;Assumptions!$C$6,0,CHOOSE(M3,Assumptions!$C$29,Assumptions!$C$30,Assumptions!$C$31,Assumptions!$C$32,Assumptions!$C$33)*Assumptions!$C$34*(1+Assumptions!$C$41)^(M3-1)/100000),0)</f>
        <v>0</v>
      </c>
      <c r="N27" s="56">
        <f>IFERROR(IF(N4&lt;Assumptions!$C$6,0,CHOOSE(N3,Assumptions!$C$29,Assumptions!$C$30,Assumptions!$C$31,Assumptions!$C$32,Assumptions!$C$33)*Assumptions!$C$34*(1+Assumptions!$C$41)^(N3-1)/100000),0)</f>
        <v>0</v>
      </c>
      <c r="O27" s="56">
        <f>IFERROR(IF(O4&lt;Assumptions!$C$6,0,CHOOSE(O3,Assumptions!$C$29,Assumptions!$C$30,Assumptions!$C$31,Assumptions!$C$32,Assumptions!$C$33)*Assumptions!$C$34*(1+Assumptions!$C$41)^(O3-1)/100000),0)</f>
        <v>0</v>
      </c>
      <c r="P27" s="56">
        <f>IFERROR(IF(P4&lt;Assumptions!$C$6,0,CHOOSE(P3,Assumptions!$C$29,Assumptions!$C$30,Assumptions!$C$31,Assumptions!$C$32,Assumptions!$C$33)*Assumptions!$C$34*(1+Assumptions!$C$41)^(P3-1)/100000),0)</f>
        <v>0</v>
      </c>
      <c r="Q27" s="56">
        <f>IFERROR(IF(Q4&lt;Assumptions!$C$6,0,CHOOSE(Q3,Assumptions!$C$29,Assumptions!$C$30,Assumptions!$C$31,Assumptions!$C$32,Assumptions!$C$33)*Assumptions!$C$34*(1+Assumptions!$C$41)^(Q3-1)/100000),0)</f>
        <v>0</v>
      </c>
      <c r="R27" s="56">
        <f>IFERROR(IF(R4&lt;Assumptions!$C$6,0,CHOOSE(R3,Assumptions!$C$29,Assumptions!$C$30,Assumptions!$C$31,Assumptions!$C$32,Assumptions!$C$33)*Assumptions!$C$34*(1+Assumptions!$C$41)^(R3-1)/100000),0)</f>
        <v>0</v>
      </c>
      <c r="S27" s="56">
        <f>IFERROR(IF(S4&lt;Assumptions!$C$6,0,CHOOSE(S3,Assumptions!$C$29,Assumptions!$C$30,Assumptions!$C$31,Assumptions!$C$32,Assumptions!$C$33)*Assumptions!$C$34*(1+Assumptions!$C$41)^(S3-1)/100000),0)</f>
        <v>0</v>
      </c>
      <c r="T27" s="56">
        <f>IFERROR(IF(T4&lt;Assumptions!$C$6,0,CHOOSE(T3,Assumptions!$C$29,Assumptions!$C$30,Assumptions!$C$31,Assumptions!$C$32,Assumptions!$C$33)*Assumptions!$C$34*(1+Assumptions!$C$41)^(T3-1)/100000),0)</f>
        <v>0</v>
      </c>
      <c r="U27" s="56">
        <f>IFERROR(IF(U4&lt;Assumptions!$C$6,0,CHOOSE(U3,Assumptions!$C$29,Assumptions!$C$30,Assumptions!$C$31,Assumptions!$C$32,Assumptions!$C$33)*Assumptions!$C$34*(1+Assumptions!$C$41)^(U3-1)/100000),0)</f>
        <v>0</v>
      </c>
      <c r="V27" s="56">
        <f>IFERROR(IF(V4&lt;Assumptions!$C$6,0,CHOOSE(V3,Assumptions!$C$29,Assumptions!$C$30,Assumptions!$C$31,Assumptions!$C$32,Assumptions!$C$33)*Assumptions!$C$34*(1+Assumptions!$C$41)^(V3-1)/100000),0)</f>
        <v>0</v>
      </c>
      <c r="W27" s="56">
        <f>IFERROR(IF(W4&lt;Assumptions!$C$6,0,CHOOSE(W3,Assumptions!$C$29,Assumptions!$C$30,Assumptions!$C$31,Assumptions!$C$32,Assumptions!$C$33)*Assumptions!$C$34*(1+Assumptions!$C$41)^(W3-1)/100000),0)</f>
        <v>0</v>
      </c>
      <c r="X27" s="56">
        <f>IFERROR(IF(X4&lt;Assumptions!$C$6,0,CHOOSE(X3,Assumptions!$C$29,Assumptions!$C$30,Assumptions!$C$31,Assumptions!$C$32,Assumptions!$C$33)*Assumptions!$C$34*(1+Assumptions!$C$41)^(X3-1)/100000),0)</f>
        <v>0</v>
      </c>
      <c r="Y27" s="56">
        <f>IFERROR(IF(Y4&lt;Assumptions!$C$6,0,CHOOSE(Y3,Assumptions!$C$29,Assumptions!$C$30,Assumptions!$C$31,Assumptions!$C$32,Assumptions!$C$33)*Assumptions!$C$34*(1+Assumptions!$C$41)^(Y3-1)/100000),0)</f>
        <v>0</v>
      </c>
      <c r="Z27" s="56">
        <f>IFERROR(IF(Z4&lt;Assumptions!$C$6,0,CHOOSE(Z3,Assumptions!$C$29,Assumptions!$C$30,Assumptions!$C$31,Assumptions!$C$32,Assumptions!$C$33)*Assumptions!$C$34*(1+Assumptions!$C$41)^(Z3-1)/100000),0)</f>
        <v>0</v>
      </c>
      <c r="AA27" s="56">
        <f>IFERROR(IF(AA4&lt;Assumptions!$C$6,0,CHOOSE(AA3,Assumptions!$C$29,Assumptions!$C$30,Assumptions!$C$31,Assumptions!$C$32,Assumptions!$C$33)*Assumptions!$C$34*(1+Assumptions!$C$41)^(AA3-1)/100000),0)</f>
        <v>0</v>
      </c>
      <c r="AB27" s="56">
        <f>IFERROR(IF(AB4&lt;Assumptions!$C$6,0,CHOOSE(AB3,Assumptions!$C$29,Assumptions!$C$30,Assumptions!$C$31,Assumptions!$C$32,Assumptions!$C$33)*Assumptions!$C$34*(1+Assumptions!$C$41)^(AB3-1)/100000),0)</f>
        <v>0</v>
      </c>
      <c r="AC27" s="56">
        <f>IFERROR(IF(AC4&lt;Assumptions!$C$6,0,CHOOSE(AC3,Assumptions!$C$29,Assumptions!$C$30,Assumptions!$C$31,Assumptions!$C$32,Assumptions!$C$33)*Assumptions!$C$34*(1+Assumptions!$C$41)^(AC3-1)/100000),0)</f>
        <v>0</v>
      </c>
      <c r="AD27" s="56">
        <f>IFERROR(IF(AD4&lt;Assumptions!$C$6,0,CHOOSE(AD3,Assumptions!$C$29,Assumptions!$C$30,Assumptions!$C$31,Assumptions!$C$32,Assumptions!$C$33)*Assumptions!$C$34*(1+Assumptions!$C$41)^(AD3-1)/100000),0)</f>
        <v>0</v>
      </c>
      <c r="AE27" s="56">
        <f>IFERROR(IF(AE4&lt;Assumptions!$C$6,0,CHOOSE(AE3,Assumptions!$C$29,Assumptions!$C$30,Assumptions!$C$31,Assumptions!$C$32,Assumptions!$C$33)*Assumptions!$C$34*(1+Assumptions!$C$41)^(AE3-1)/100000),0)</f>
        <v>0</v>
      </c>
      <c r="AF27" s="56">
        <f>IFERROR(IF(AF4&lt;Assumptions!$C$6,0,CHOOSE(AF3,Assumptions!$C$29,Assumptions!$C$30,Assumptions!$C$31,Assumptions!$C$32,Assumptions!$C$33)*Assumptions!$C$34*(1+Assumptions!$C$41)^(AF3-1)/100000),0)</f>
        <v>0</v>
      </c>
      <c r="AG27" s="56">
        <f>IFERROR(IF(AG4&lt;Assumptions!$C$6,0,CHOOSE(AG3,Assumptions!$C$29,Assumptions!$C$30,Assumptions!$C$31,Assumptions!$C$32,Assumptions!$C$33)*Assumptions!$C$34*(1+Assumptions!$C$41)^(AG3-1)/100000),0)</f>
        <v>0</v>
      </c>
      <c r="AH27" s="56">
        <f>IFERROR(IF(AH4&lt;Assumptions!$C$6,0,CHOOSE(AH3,Assumptions!$C$29,Assumptions!$C$30,Assumptions!$C$31,Assumptions!$C$32,Assumptions!$C$33)*Assumptions!$C$34*(1+Assumptions!$C$41)^(AH3-1)/100000),0)</f>
        <v>0</v>
      </c>
      <c r="AI27" s="56">
        <f>IFERROR(IF(AI4&lt;Assumptions!$C$6,0,CHOOSE(AI3,Assumptions!$C$29,Assumptions!$C$30,Assumptions!$C$31,Assumptions!$C$32,Assumptions!$C$33)*Assumptions!$C$34*(1+Assumptions!$C$41)^(AI3-1)/100000),0)</f>
        <v>0</v>
      </c>
      <c r="AJ27" s="56">
        <f>IFERROR(IF(AJ4&lt;Assumptions!$C$6,0,CHOOSE(AJ3,Assumptions!$C$29,Assumptions!$C$30,Assumptions!$C$31,Assumptions!$C$32,Assumptions!$C$33)*Assumptions!$C$34*(1+Assumptions!$C$41)^(AJ3-1)/100000),0)</f>
        <v>0</v>
      </c>
      <c r="AK27" s="56">
        <f>IFERROR(IF(AK4&lt;Assumptions!$C$6,0,CHOOSE(AK3,Assumptions!$C$29,Assumptions!$C$30,Assumptions!$C$31,Assumptions!$C$32,Assumptions!$C$33)*Assumptions!$C$34*(1+Assumptions!$C$41)^(AK3-1)/100000),0)</f>
        <v>0</v>
      </c>
      <c r="AL27" s="56">
        <f>IFERROR(IF(AL4&lt;Assumptions!$C$6,0,CHOOSE(AL3,Assumptions!$C$29,Assumptions!$C$30,Assumptions!$C$31,Assumptions!$C$32,Assumptions!$C$33)*Assumptions!$C$34*(1+Assumptions!$C$41)^(AL3-1)/100000),0)</f>
        <v>0</v>
      </c>
      <c r="AM27" s="56">
        <f>IFERROR(IF(AM4&lt;Assumptions!$C$6,0,CHOOSE(AM3,Assumptions!$C$29,Assumptions!$C$30,Assumptions!$C$31,Assumptions!$C$32,Assumptions!$C$33)*Assumptions!$C$34*(1+Assumptions!$C$41)^(AM3-1)/100000),0)</f>
        <v>0</v>
      </c>
      <c r="AN27" s="56">
        <f>IFERROR(IF(AN4&lt;Assumptions!$C$6,0,CHOOSE(AN3,Assumptions!$C$29,Assumptions!$C$30,Assumptions!$C$31,Assumptions!$C$32,Assumptions!$C$33)*Assumptions!$C$34*(1+Assumptions!$C$41)^(AN3-1)/100000),0)</f>
        <v>0</v>
      </c>
      <c r="AO27" s="56">
        <f>IFERROR(IF(AO4&lt;Assumptions!$C$6,0,CHOOSE(AO3,Assumptions!$C$29,Assumptions!$C$30,Assumptions!$C$31,Assumptions!$C$32,Assumptions!$C$33)*Assumptions!$C$34*(1+Assumptions!$C$41)^(AO3-1)/100000),0)</f>
        <v>0</v>
      </c>
      <c r="AP27" s="56">
        <f>IFERROR(IF(AP4&lt;Assumptions!$C$6,0,CHOOSE(AP3,Assumptions!$C$29,Assumptions!$C$30,Assumptions!$C$31,Assumptions!$C$32,Assumptions!$C$33)*Assumptions!$C$34*(1+Assumptions!$C$41)^(AP3-1)/100000),0)</f>
        <v>0</v>
      </c>
      <c r="AQ27" s="56">
        <f>IFERROR(IF(AQ4&lt;Assumptions!$C$6,0,CHOOSE(AQ3,Assumptions!$C$29,Assumptions!$C$30,Assumptions!$C$31,Assumptions!$C$32,Assumptions!$C$33)*Assumptions!$C$34*(1+Assumptions!$C$41)^(AQ3-1)/100000),0)</f>
        <v>0</v>
      </c>
      <c r="AR27" s="56">
        <f>IFERROR(IF(AR4&lt;Assumptions!$C$6,0,CHOOSE(AR3,Assumptions!$C$29,Assumptions!$C$30,Assumptions!$C$31,Assumptions!$C$32,Assumptions!$C$33)*Assumptions!$C$34*(1+Assumptions!$C$41)^(AR3-1)/100000),0)</f>
        <v>0</v>
      </c>
      <c r="AS27" s="56">
        <f>IFERROR(IF(AS4&lt;Assumptions!$C$6,0,CHOOSE(AS3,Assumptions!$C$29,Assumptions!$C$30,Assumptions!$C$31,Assumptions!$C$32,Assumptions!$C$33)*Assumptions!$C$34*(1+Assumptions!$C$41)^(AS3-1)/100000),0)</f>
        <v>0</v>
      </c>
      <c r="AT27" s="56">
        <f>IFERROR(IF(AT4&lt;Assumptions!$C$6,0,CHOOSE(AT3,Assumptions!$C$29,Assumptions!$C$30,Assumptions!$C$31,Assumptions!$C$32,Assumptions!$C$33)*Assumptions!$C$34*(1+Assumptions!$C$41)^(AT3-1)/100000),0)</f>
        <v>0</v>
      </c>
      <c r="AU27" s="56">
        <f>IFERROR(IF(AU4&lt;Assumptions!$C$6,0,CHOOSE(AU3,Assumptions!$C$29,Assumptions!$C$30,Assumptions!$C$31,Assumptions!$C$32,Assumptions!$C$33)*Assumptions!$C$34*(1+Assumptions!$C$41)^(AU3-1)/100000),0)</f>
        <v>0</v>
      </c>
      <c r="AV27" s="56">
        <f>IFERROR(IF(AV4&lt;Assumptions!$C$6,0,CHOOSE(AV3,Assumptions!$C$29,Assumptions!$C$30,Assumptions!$C$31,Assumptions!$C$32,Assumptions!$C$33)*Assumptions!$C$34*(1+Assumptions!$C$41)^(AV3-1)/100000),0)</f>
        <v>0</v>
      </c>
      <c r="AW27" s="56">
        <f>IFERROR(IF(AW4&lt;Assumptions!$C$6,0,CHOOSE(AW3,Assumptions!$C$29,Assumptions!$C$30,Assumptions!$C$31,Assumptions!$C$32,Assumptions!$C$33)*Assumptions!$C$34*(1+Assumptions!$C$41)^(AW3-1)/100000),0)</f>
        <v>0</v>
      </c>
      <c r="AX27" s="56">
        <f>IFERROR(IF(AX4&lt;Assumptions!$C$6,0,CHOOSE(AX3,Assumptions!$C$29,Assumptions!$C$30,Assumptions!$C$31,Assumptions!$C$32,Assumptions!$C$33)*Assumptions!$C$34*(1+Assumptions!$C$41)^(AX3-1)/100000),0)</f>
        <v>0</v>
      </c>
      <c r="AY27" s="56">
        <f>IFERROR(IF(AY4&lt;Assumptions!$C$6,0,CHOOSE(AY3,Assumptions!$C$29,Assumptions!$C$30,Assumptions!$C$31,Assumptions!$C$32,Assumptions!$C$33)*Assumptions!$C$34*(1+Assumptions!$C$41)^(AY3-1)/100000),0)</f>
        <v>0</v>
      </c>
      <c r="AZ27" s="56">
        <f>IFERROR(IF(AZ4&lt;Assumptions!$C$6,0,CHOOSE(AZ3,Assumptions!$C$29,Assumptions!$C$30,Assumptions!$C$31,Assumptions!$C$32,Assumptions!$C$33)*Assumptions!$C$34*(1+Assumptions!$C$41)^(AZ3-1)/100000),0)</f>
        <v>0</v>
      </c>
      <c r="BA27" s="56">
        <f>IFERROR(IF(BA4&lt;Assumptions!$C$6,0,CHOOSE(BA3,Assumptions!$C$29,Assumptions!$C$30,Assumptions!$C$31,Assumptions!$C$32,Assumptions!$C$33)*Assumptions!$C$34*(1+Assumptions!$C$41)^(BA3-1)/100000),0)</f>
        <v>0</v>
      </c>
      <c r="BB27" s="56">
        <f>IFERROR(IF(BB4&lt;Assumptions!$C$6,0,CHOOSE(BB3,Assumptions!$C$29,Assumptions!$C$30,Assumptions!$C$31,Assumptions!$C$32,Assumptions!$C$33)*Assumptions!$C$34*(1+Assumptions!$C$41)^(BB3-1)/100000),0)</f>
        <v>0</v>
      </c>
      <c r="BC27" s="56">
        <f>IFERROR(IF(BC4&lt;Assumptions!$C$6,0,CHOOSE(BC3,Assumptions!$C$29,Assumptions!$C$30,Assumptions!$C$31,Assumptions!$C$32,Assumptions!$C$33)*Assumptions!$C$34*(1+Assumptions!$C$41)^(BC3-1)/100000),0)</f>
        <v>0</v>
      </c>
      <c r="BD27" s="56">
        <f>IFERROR(IF(BD4&lt;Assumptions!$C$6,0,CHOOSE(BD3,Assumptions!$C$29,Assumptions!$C$30,Assumptions!$C$31,Assumptions!$C$32,Assumptions!$C$33)*Assumptions!$C$34*(1+Assumptions!$C$41)^(BD3-1)/100000),0)</f>
        <v>0</v>
      </c>
      <c r="BE27" s="56">
        <f>IFERROR(IF(BE4&lt;Assumptions!$C$6,0,CHOOSE(BE3,Assumptions!$C$29,Assumptions!$C$30,Assumptions!$C$31,Assumptions!$C$32,Assumptions!$C$33)*Assumptions!$C$34*(1+Assumptions!$C$41)^(BE3-1)/100000),0)</f>
        <v>0</v>
      </c>
      <c r="BF27" s="56">
        <f>IFERROR(IF(BF4&lt;Assumptions!$C$6,0,CHOOSE(BF3,Assumptions!$C$29,Assumptions!$C$30,Assumptions!$C$31,Assumptions!$C$32,Assumptions!$C$33)*Assumptions!$C$34*(1+Assumptions!$C$41)^(BF3-1)/100000),0)</f>
        <v>0</v>
      </c>
      <c r="BG27" s="56">
        <f>IFERROR(IF(BG4&lt;Assumptions!$C$6,0,CHOOSE(BG3,Assumptions!$C$29,Assumptions!$C$30,Assumptions!$C$31,Assumptions!$C$32,Assumptions!$C$33)*Assumptions!$C$34*(1+Assumptions!$C$41)^(BG3-1)/100000),0)</f>
        <v>0</v>
      </c>
      <c r="BH27" s="56">
        <f>IFERROR(IF(BH4&lt;Assumptions!$C$6,0,CHOOSE(BH3,Assumptions!$C$29,Assumptions!$C$30,Assumptions!$C$31,Assumptions!$C$32,Assumptions!$C$33)*Assumptions!$C$34*(1+Assumptions!$C$41)^(BH3-1)/100000),0)</f>
        <v>0</v>
      </c>
      <c r="BI27" s="56">
        <f>IFERROR(IF(BI4&lt;Assumptions!$C$6,0,CHOOSE(BI3,Assumptions!$C$29,Assumptions!$C$30,Assumptions!$C$31,Assumptions!$C$32,Assumptions!$C$33)*Assumptions!$C$34*(1+Assumptions!$C$41)^(BI3-1)/100000),0)</f>
        <v>0</v>
      </c>
    </row>
    <row r="28" spans="1:61" x14ac:dyDescent="0.25">
      <c r="A28" s="53" t="s">
        <v>235</v>
      </c>
      <c r="B28" s="57">
        <f t="shared" ref="B28:AG28" si="14">SUM(B23:B27)</f>
        <v>0</v>
      </c>
      <c r="C28" s="57">
        <f t="shared" si="14"/>
        <v>0</v>
      </c>
      <c r="D28" s="57">
        <f t="shared" si="14"/>
        <v>0</v>
      </c>
      <c r="E28" s="57">
        <f t="shared" si="14"/>
        <v>0</v>
      </c>
      <c r="F28" s="57">
        <f t="shared" si="14"/>
        <v>0</v>
      </c>
      <c r="G28" s="57">
        <f t="shared" si="14"/>
        <v>0</v>
      </c>
      <c r="H28" s="57">
        <f t="shared" si="14"/>
        <v>0</v>
      </c>
      <c r="I28" s="57">
        <f t="shared" si="14"/>
        <v>0</v>
      </c>
      <c r="J28" s="57">
        <f t="shared" si="14"/>
        <v>0</v>
      </c>
      <c r="K28" s="57">
        <f t="shared" si="14"/>
        <v>0</v>
      </c>
      <c r="L28" s="57">
        <f t="shared" si="14"/>
        <v>0</v>
      </c>
      <c r="M28" s="57">
        <f t="shared" si="14"/>
        <v>0</v>
      </c>
      <c r="N28" s="57">
        <f t="shared" si="14"/>
        <v>0</v>
      </c>
      <c r="O28" s="57">
        <f t="shared" si="14"/>
        <v>0</v>
      </c>
      <c r="P28" s="57">
        <f t="shared" si="14"/>
        <v>0</v>
      </c>
      <c r="Q28" s="57">
        <f t="shared" si="14"/>
        <v>0</v>
      </c>
      <c r="R28" s="57">
        <f t="shared" si="14"/>
        <v>0</v>
      </c>
      <c r="S28" s="57">
        <f t="shared" si="14"/>
        <v>0</v>
      </c>
      <c r="T28" s="57">
        <f t="shared" si="14"/>
        <v>0</v>
      </c>
      <c r="U28" s="57">
        <f t="shared" si="14"/>
        <v>0</v>
      </c>
      <c r="V28" s="57">
        <f t="shared" si="14"/>
        <v>0</v>
      </c>
      <c r="W28" s="57">
        <f t="shared" si="14"/>
        <v>0</v>
      </c>
      <c r="X28" s="57">
        <f t="shared" si="14"/>
        <v>0</v>
      </c>
      <c r="Y28" s="57">
        <f t="shared" si="14"/>
        <v>0</v>
      </c>
      <c r="Z28" s="57">
        <f t="shared" si="14"/>
        <v>0</v>
      </c>
      <c r="AA28" s="57">
        <f t="shared" si="14"/>
        <v>0</v>
      </c>
      <c r="AB28" s="57">
        <f t="shared" si="14"/>
        <v>0</v>
      </c>
      <c r="AC28" s="57">
        <f t="shared" si="14"/>
        <v>0</v>
      </c>
      <c r="AD28" s="57">
        <f t="shared" si="14"/>
        <v>0</v>
      </c>
      <c r="AE28" s="57">
        <f t="shared" si="14"/>
        <v>0</v>
      </c>
      <c r="AF28" s="57">
        <f t="shared" si="14"/>
        <v>0</v>
      </c>
      <c r="AG28" s="57">
        <f t="shared" si="14"/>
        <v>0</v>
      </c>
      <c r="AH28" s="57">
        <f t="shared" ref="AH28:BM28" si="15">SUM(AH23:AH27)</f>
        <v>0</v>
      </c>
      <c r="AI28" s="57">
        <f t="shared" si="15"/>
        <v>0</v>
      </c>
      <c r="AJ28" s="57">
        <f t="shared" si="15"/>
        <v>0</v>
      </c>
      <c r="AK28" s="57">
        <f t="shared" si="15"/>
        <v>0</v>
      </c>
      <c r="AL28" s="57">
        <f t="shared" si="15"/>
        <v>0</v>
      </c>
      <c r="AM28" s="57">
        <f t="shared" si="15"/>
        <v>0</v>
      </c>
      <c r="AN28" s="57">
        <f t="shared" si="15"/>
        <v>0</v>
      </c>
      <c r="AO28" s="57">
        <f t="shared" si="15"/>
        <v>0</v>
      </c>
      <c r="AP28" s="57">
        <f t="shared" si="15"/>
        <v>0</v>
      </c>
      <c r="AQ28" s="57">
        <f t="shared" si="15"/>
        <v>0</v>
      </c>
      <c r="AR28" s="57">
        <f t="shared" si="15"/>
        <v>0</v>
      </c>
      <c r="AS28" s="57">
        <f t="shared" si="15"/>
        <v>0</v>
      </c>
      <c r="AT28" s="57">
        <f t="shared" si="15"/>
        <v>0</v>
      </c>
      <c r="AU28" s="57">
        <f t="shared" si="15"/>
        <v>0</v>
      </c>
      <c r="AV28" s="57">
        <f t="shared" si="15"/>
        <v>0</v>
      </c>
      <c r="AW28" s="57">
        <f t="shared" si="15"/>
        <v>0</v>
      </c>
      <c r="AX28" s="57">
        <f t="shared" si="15"/>
        <v>0</v>
      </c>
      <c r="AY28" s="57">
        <f t="shared" si="15"/>
        <v>0</v>
      </c>
      <c r="AZ28" s="57">
        <f t="shared" si="15"/>
        <v>0</v>
      </c>
      <c r="BA28" s="57">
        <f t="shared" si="15"/>
        <v>0</v>
      </c>
      <c r="BB28" s="57">
        <f t="shared" si="15"/>
        <v>0</v>
      </c>
      <c r="BC28" s="57">
        <f t="shared" si="15"/>
        <v>0</v>
      </c>
      <c r="BD28" s="57">
        <f t="shared" si="15"/>
        <v>0</v>
      </c>
      <c r="BE28" s="57">
        <f t="shared" si="15"/>
        <v>0</v>
      </c>
      <c r="BF28" s="57">
        <f t="shared" si="15"/>
        <v>0</v>
      </c>
      <c r="BG28" s="57">
        <f t="shared" si="15"/>
        <v>0</v>
      </c>
      <c r="BH28" s="57">
        <f t="shared" si="15"/>
        <v>0</v>
      </c>
      <c r="BI28" s="57">
        <f t="shared" si="15"/>
        <v>0</v>
      </c>
    </row>
    <row r="29" spans="1:61" x14ac:dyDescent="0.25">
      <c r="A29" s="53" t="s">
        <v>236</v>
      </c>
      <c r="B29" s="57">
        <f t="shared" ref="B29:AG29" si="16">B20-B28</f>
        <v>0</v>
      </c>
      <c r="C29" s="57">
        <f t="shared" si="16"/>
        <v>0</v>
      </c>
      <c r="D29" s="57">
        <f t="shared" si="16"/>
        <v>0</v>
      </c>
      <c r="E29" s="57">
        <f t="shared" si="16"/>
        <v>0</v>
      </c>
      <c r="F29" s="57">
        <f t="shared" si="16"/>
        <v>0</v>
      </c>
      <c r="G29" s="57">
        <f t="shared" si="16"/>
        <v>0</v>
      </c>
      <c r="H29" s="57">
        <f t="shared" si="16"/>
        <v>0</v>
      </c>
      <c r="I29" s="57">
        <f t="shared" si="16"/>
        <v>0</v>
      </c>
      <c r="J29" s="57">
        <f t="shared" si="16"/>
        <v>0</v>
      </c>
      <c r="K29" s="57">
        <f t="shared" si="16"/>
        <v>0</v>
      </c>
      <c r="L29" s="57">
        <f t="shared" si="16"/>
        <v>0</v>
      </c>
      <c r="M29" s="57">
        <f t="shared" si="16"/>
        <v>0</v>
      </c>
      <c r="N29" s="57">
        <f t="shared" si="16"/>
        <v>0</v>
      </c>
      <c r="O29" s="57">
        <f t="shared" si="16"/>
        <v>0</v>
      </c>
      <c r="P29" s="57">
        <f t="shared" si="16"/>
        <v>0</v>
      </c>
      <c r="Q29" s="57">
        <f t="shared" si="16"/>
        <v>0</v>
      </c>
      <c r="R29" s="57">
        <f t="shared" si="16"/>
        <v>0</v>
      </c>
      <c r="S29" s="57">
        <f t="shared" si="16"/>
        <v>0</v>
      </c>
      <c r="T29" s="57">
        <f t="shared" si="16"/>
        <v>0</v>
      </c>
      <c r="U29" s="57">
        <f t="shared" si="16"/>
        <v>0</v>
      </c>
      <c r="V29" s="57">
        <f t="shared" si="16"/>
        <v>0</v>
      </c>
      <c r="W29" s="57">
        <f t="shared" si="16"/>
        <v>0</v>
      </c>
      <c r="X29" s="57">
        <f t="shared" si="16"/>
        <v>0</v>
      </c>
      <c r="Y29" s="57">
        <f t="shared" si="16"/>
        <v>0</v>
      </c>
      <c r="Z29" s="57">
        <f t="shared" si="16"/>
        <v>0</v>
      </c>
      <c r="AA29" s="57">
        <f t="shared" si="16"/>
        <v>0</v>
      </c>
      <c r="AB29" s="57">
        <f t="shared" si="16"/>
        <v>0</v>
      </c>
      <c r="AC29" s="57">
        <f t="shared" si="16"/>
        <v>0</v>
      </c>
      <c r="AD29" s="57">
        <f t="shared" si="16"/>
        <v>0</v>
      </c>
      <c r="AE29" s="57">
        <f t="shared" si="16"/>
        <v>0</v>
      </c>
      <c r="AF29" s="57">
        <f t="shared" si="16"/>
        <v>0</v>
      </c>
      <c r="AG29" s="57">
        <f t="shared" si="16"/>
        <v>0</v>
      </c>
      <c r="AH29" s="57">
        <f t="shared" ref="AH29:BM29" si="17">AH20-AH28</f>
        <v>0</v>
      </c>
      <c r="AI29" s="57">
        <f t="shared" si="17"/>
        <v>0</v>
      </c>
      <c r="AJ29" s="57">
        <f t="shared" si="17"/>
        <v>0</v>
      </c>
      <c r="AK29" s="57">
        <f t="shared" si="17"/>
        <v>0</v>
      </c>
      <c r="AL29" s="57">
        <f t="shared" si="17"/>
        <v>0</v>
      </c>
      <c r="AM29" s="57">
        <f t="shared" si="17"/>
        <v>0</v>
      </c>
      <c r="AN29" s="57">
        <f t="shared" si="17"/>
        <v>0</v>
      </c>
      <c r="AO29" s="57">
        <f t="shared" si="17"/>
        <v>0</v>
      </c>
      <c r="AP29" s="57">
        <f t="shared" si="17"/>
        <v>0</v>
      </c>
      <c r="AQ29" s="57">
        <f t="shared" si="17"/>
        <v>0</v>
      </c>
      <c r="AR29" s="57">
        <f t="shared" si="17"/>
        <v>0</v>
      </c>
      <c r="AS29" s="57">
        <f t="shared" si="17"/>
        <v>0</v>
      </c>
      <c r="AT29" s="57">
        <f t="shared" si="17"/>
        <v>0</v>
      </c>
      <c r="AU29" s="57">
        <f t="shared" si="17"/>
        <v>0</v>
      </c>
      <c r="AV29" s="57">
        <f t="shared" si="17"/>
        <v>0</v>
      </c>
      <c r="AW29" s="57">
        <f t="shared" si="17"/>
        <v>0</v>
      </c>
      <c r="AX29" s="57">
        <f t="shared" si="17"/>
        <v>0</v>
      </c>
      <c r="AY29" s="57">
        <f t="shared" si="17"/>
        <v>0</v>
      </c>
      <c r="AZ29" s="57">
        <f t="shared" si="17"/>
        <v>0</v>
      </c>
      <c r="BA29" s="57">
        <f t="shared" si="17"/>
        <v>0</v>
      </c>
      <c r="BB29" s="57">
        <f t="shared" si="17"/>
        <v>0</v>
      </c>
      <c r="BC29" s="57">
        <f t="shared" si="17"/>
        <v>0</v>
      </c>
      <c r="BD29" s="57">
        <f t="shared" si="17"/>
        <v>0</v>
      </c>
      <c r="BE29" s="57">
        <f t="shared" si="17"/>
        <v>0</v>
      </c>
      <c r="BF29" s="57">
        <f t="shared" si="17"/>
        <v>0</v>
      </c>
      <c r="BG29" s="57">
        <f t="shared" si="17"/>
        <v>0</v>
      </c>
      <c r="BH29" s="57">
        <f t="shared" si="17"/>
        <v>0</v>
      </c>
      <c r="BI29" s="57">
        <f t="shared" si="17"/>
        <v>0</v>
      </c>
    </row>
    <row r="30" spans="1:61" x14ac:dyDescent="0.25">
      <c r="A30" s="50" t="s">
        <v>237</v>
      </c>
      <c r="B30" s="51">
        <f t="shared" ref="B30:AG30" si="18">IFERROR(IF(B20=0,0,B29/B20),0)</f>
        <v>0</v>
      </c>
      <c r="C30" s="51">
        <f t="shared" si="18"/>
        <v>0</v>
      </c>
      <c r="D30" s="51">
        <f t="shared" si="18"/>
        <v>0</v>
      </c>
      <c r="E30" s="51">
        <f t="shared" si="18"/>
        <v>0</v>
      </c>
      <c r="F30" s="51">
        <f t="shared" si="18"/>
        <v>0</v>
      </c>
      <c r="G30" s="51">
        <f t="shared" si="18"/>
        <v>0</v>
      </c>
      <c r="H30" s="51">
        <f t="shared" si="18"/>
        <v>0</v>
      </c>
      <c r="I30" s="51">
        <f t="shared" si="18"/>
        <v>0</v>
      </c>
      <c r="J30" s="51">
        <f t="shared" si="18"/>
        <v>0</v>
      </c>
      <c r="K30" s="51">
        <f t="shared" si="18"/>
        <v>0</v>
      </c>
      <c r="L30" s="51">
        <f t="shared" si="18"/>
        <v>0</v>
      </c>
      <c r="M30" s="51">
        <f t="shared" si="18"/>
        <v>0</v>
      </c>
      <c r="N30" s="51">
        <f t="shared" si="18"/>
        <v>0</v>
      </c>
      <c r="O30" s="51">
        <f t="shared" si="18"/>
        <v>0</v>
      </c>
      <c r="P30" s="51">
        <f t="shared" si="18"/>
        <v>0</v>
      </c>
      <c r="Q30" s="51">
        <f t="shared" si="18"/>
        <v>0</v>
      </c>
      <c r="R30" s="51">
        <f t="shared" si="18"/>
        <v>0</v>
      </c>
      <c r="S30" s="51">
        <f t="shared" si="18"/>
        <v>0</v>
      </c>
      <c r="T30" s="51">
        <f t="shared" si="18"/>
        <v>0</v>
      </c>
      <c r="U30" s="51">
        <f t="shared" si="18"/>
        <v>0</v>
      </c>
      <c r="V30" s="51">
        <f t="shared" si="18"/>
        <v>0</v>
      </c>
      <c r="W30" s="51">
        <f t="shared" si="18"/>
        <v>0</v>
      </c>
      <c r="X30" s="51">
        <f t="shared" si="18"/>
        <v>0</v>
      </c>
      <c r="Y30" s="51">
        <f t="shared" si="18"/>
        <v>0</v>
      </c>
      <c r="Z30" s="51">
        <f t="shared" si="18"/>
        <v>0</v>
      </c>
      <c r="AA30" s="51">
        <f t="shared" si="18"/>
        <v>0</v>
      </c>
      <c r="AB30" s="51">
        <f t="shared" si="18"/>
        <v>0</v>
      </c>
      <c r="AC30" s="51">
        <f t="shared" si="18"/>
        <v>0</v>
      </c>
      <c r="AD30" s="51">
        <f t="shared" si="18"/>
        <v>0</v>
      </c>
      <c r="AE30" s="51">
        <f t="shared" si="18"/>
        <v>0</v>
      </c>
      <c r="AF30" s="51">
        <f t="shared" si="18"/>
        <v>0</v>
      </c>
      <c r="AG30" s="51">
        <f t="shared" si="18"/>
        <v>0</v>
      </c>
      <c r="AH30" s="51">
        <f t="shared" ref="AH30:BM30" si="19">IFERROR(IF(AH20=0,0,AH29/AH20),0)</f>
        <v>0</v>
      </c>
      <c r="AI30" s="51">
        <f t="shared" si="19"/>
        <v>0</v>
      </c>
      <c r="AJ30" s="51">
        <f t="shared" si="19"/>
        <v>0</v>
      </c>
      <c r="AK30" s="51">
        <f t="shared" si="19"/>
        <v>0</v>
      </c>
      <c r="AL30" s="51">
        <f t="shared" si="19"/>
        <v>0</v>
      </c>
      <c r="AM30" s="51">
        <f t="shared" si="19"/>
        <v>0</v>
      </c>
      <c r="AN30" s="51">
        <f t="shared" si="19"/>
        <v>0</v>
      </c>
      <c r="AO30" s="51">
        <f t="shared" si="19"/>
        <v>0</v>
      </c>
      <c r="AP30" s="51">
        <f t="shared" si="19"/>
        <v>0</v>
      </c>
      <c r="AQ30" s="51">
        <f t="shared" si="19"/>
        <v>0</v>
      </c>
      <c r="AR30" s="51">
        <f t="shared" si="19"/>
        <v>0</v>
      </c>
      <c r="AS30" s="51">
        <f t="shared" si="19"/>
        <v>0</v>
      </c>
      <c r="AT30" s="51">
        <f t="shared" si="19"/>
        <v>0</v>
      </c>
      <c r="AU30" s="51">
        <f t="shared" si="19"/>
        <v>0</v>
      </c>
      <c r="AV30" s="51">
        <f t="shared" si="19"/>
        <v>0</v>
      </c>
      <c r="AW30" s="51">
        <f t="shared" si="19"/>
        <v>0</v>
      </c>
      <c r="AX30" s="51">
        <f t="shared" si="19"/>
        <v>0</v>
      </c>
      <c r="AY30" s="51">
        <f t="shared" si="19"/>
        <v>0</v>
      </c>
      <c r="AZ30" s="51">
        <f t="shared" si="19"/>
        <v>0</v>
      </c>
      <c r="BA30" s="51">
        <f t="shared" si="19"/>
        <v>0</v>
      </c>
      <c r="BB30" s="51">
        <f t="shared" si="19"/>
        <v>0</v>
      </c>
      <c r="BC30" s="51">
        <f t="shared" si="19"/>
        <v>0</v>
      </c>
      <c r="BD30" s="51">
        <f t="shared" si="19"/>
        <v>0</v>
      </c>
      <c r="BE30" s="51">
        <f t="shared" si="19"/>
        <v>0</v>
      </c>
      <c r="BF30" s="51">
        <f t="shared" si="19"/>
        <v>0</v>
      </c>
      <c r="BG30" s="51">
        <f t="shared" si="19"/>
        <v>0</v>
      </c>
      <c r="BH30" s="51">
        <f t="shared" si="19"/>
        <v>0</v>
      </c>
      <c r="BI30" s="51">
        <f t="shared" si="19"/>
        <v>0</v>
      </c>
    </row>
    <row r="32" spans="1:61" x14ac:dyDescent="0.25">
      <c r="A32" s="32" t="s">
        <v>238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 spans="1:61" x14ac:dyDescent="0.25">
      <c r="A33" s="50" t="s">
        <v>239</v>
      </c>
      <c r="B33" s="56">
        <f>IFERROR(CHOOSE(B3,Assumptions!$C$35,Assumptions!$C$36,Assumptions!$C$37,Assumptions!$C$38,Assumptions!$C$39)*Assumptions!$C$40*(1+Assumptions!$C$41)^(B3-1)/100000,0)</f>
        <v>0</v>
      </c>
      <c r="C33" s="56">
        <f>IFERROR(CHOOSE(C3,Assumptions!$C$35,Assumptions!$C$36,Assumptions!$C$37,Assumptions!$C$38,Assumptions!$C$39)*Assumptions!$C$40*(1+Assumptions!$C$41)^(C3-1)/100000,0)</f>
        <v>0</v>
      </c>
      <c r="D33" s="56">
        <f>IFERROR(CHOOSE(D3,Assumptions!$C$35,Assumptions!$C$36,Assumptions!$C$37,Assumptions!$C$38,Assumptions!$C$39)*Assumptions!$C$40*(1+Assumptions!$C$41)^(D3-1)/100000,0)</f>
        <v>0</v>
      </c>
      <c r="E33" s="56">
        <f>IFERROR(CHOOSE(E3,Assumptions!$C$35,Assumptions!$C$36,Assumptions!$C$37,Assumptions!$C$38,Assumptions!$C$39)*Assumptions!$C$40*(1+Assumptions!$C$41)^(E3-1)/100000,0)</f>
        <v>0</v>
      </c>
      <c r="F33" s="56">
        <f>IFERROR(CHOOSE(F3,Assumptions!$C$35,Assumptions!$C$36,Assumptions!$C$37,Assumptions!$C$38,Assumptions!$C$39)*Assumptions!$C$40*(1+Assumptions!$C$41)^(F3-1)/100000,0)</f>
        <v>0</v>
      </c>
      <c r="G33" s="56">
        <f>IFERROR(CHOOSE(G3,Assumptions!$C$35,Assumptions!$C$36,Assumptions!$C$37,Assumptions!$C$38,Assumptions!$C$39)*Assumptions!$C$40*(1+Assumptions!$C$41)^(G3-1)/100000,0)</f>
        <v>0</v>
      </c>
      <c r="H33" s="56">
        <f>IFERROR(CHOOSE(H3,Assumptions!$C$35,Assumptions!$C$36,Assumptions!$C$37,Assumptions!$C$38,Assumptions!$C$39)*Assumptions!$C$40*(1+Assumptions!$C$41)^(H3-1)/100000,0)</f>
        <v>0</v>
      </c>
      <c r="I33" s="56">
        <f>IFERROR(CHOOSE(I3,Assumptions!$C$35,Assumptions!$C$36,Assumptions!$C$37,Assumptions!$C$38,Assumptions!$C$39)*Assumptions!$C$40*(1+Assumptions!$C$41)^(I3-1)/100000,0)</f>
        <v>0</v>
      </c>
      <c r="J33" s="56">
        <f>IFERROR(CHOOSE(J3,Assumptions!$C$35,Assumptions!$C$36,Assumptions!$C$37,Assumptions!$C$38,Assumptions!$C$39)*Assumptions!$C$40*(1+Assumptions!$C$41)^(J3-1)/100000,0)</f>
        <v>0</v>
      </c>
      <c r="K33" s="56">
        <f>IFERROR(CHOOSE(K3,Assumptions!$C$35,Assumptions!$C$36,Assumptions!$C$37,Assumptions!$C$38,Assumptions!$C$39)*Assumptions!$C$40*(1+Assumptions!$C$41)^(K3-1)/100000,0)</f>
        <v>0</v>
      </c>
      <c r="L33" s="56">
        <f>IFERROR(CHOOSE(L3,Assumptions!$C$35,Assumptions!$C$36,Assumptions!$C$37,Assumptions!$C$38,Assumptions!$C$39)*Assumptions!$C$40*(1+Assumptions!$C$41)^(L3-1)/100000,0)</f>
        <v>0</v>
      </c>
      <c r="M33" s="56">
        <f>IFERROR(CHOOSE(M3,Assumptions!$C$35,Assumptions!$C$36,Assumptions!$C$37,Assumptions!$C$38,Assumptions!$C$39)*Assumptions!$C$40*(1+Assumptions!$C$41)^(M3-1)/100000,0)</f>
        <v>0</v>
      </c>
      <c r="N33" s="56">
        <f>IFERROR(CHOOSE(N3,Assumptions!$C$35,Assumptions!$C$36,Assumptions!$C$37,Assumptions!$C$38,Assumptions!$C$39)*Assumptions!$C$40*(1+Assumptions!$C$41)^(N3-1)/100000,0)</f>
        <v>0</v>
      </c>
      <c r="O33" s="56">
        <f>IFERROR(CHOOSE(O3,Assumptions!$C$35,Assumptions!$C$36,Assumptions!$C$37,Assumptions!$C$38,Assumptions!$C$39)*Assumptions!$C$40*(1+Assumptions!$C$41)^(O3-1)/100000,0)</f>
        <v>0</v>
      </c>
      <c r="P33" s="56">
        <f>IFERROR(CHOOSE(P3,Assumptions!$C$35,Assumptions!$C$36,Assumptions!$C$37,Assumptions!$C$38,Assumptions!$C$39)*Assumptions!$C$40*(1+Assumptions!$C$41)^(P3-1)/100000,0)</f>
        <v>0</v>
      </c>
      <c r="Q33" s="56">
        <f>IFERROR(CHOOSE(Q3,Assumptions!$C$35,Assumptions!$C$36,Assumptions!$C$37,Assumptions!$C$38,Assumptions!$C$39)*Assumptions!$C$40*(1+Assumptions!$C$41)^(Q3-1)/100000,0)</f>
        <v>0</v>
      </c>
      <c r="R33" s="56">
        <f>IFERROR(CHOOSE(R3,Assumptions!$C$35,Assumptions!$C$36,Assumptions!$C$37,Assumptions!$C$38,Assumptions!$C$39)*Assumptions!$C$40*(1+Assumptions!$C$41)^(R3-1)/100000,0)</f>
        <v>0</v>
      </c>
      <c r="S33" s="56">
        <f>IFERROR(CHOOSE(S3,Assumptions!$C$35,Assumptions!$C$36,Assumptions!$C$37,Assumptions!$C$38,Assumptions!$C$39)*Assumptions!$C$40*(1+Assumptions!$C$41)^(S3-1)/100000,0)</f>
        <v>0</v>
      </c>
      <c r="T33" s="56">
        <f>IFERROR(CHOOSE(T3,Assumptions!$C$35,Assumptions!$C$36,Assumptions!$C$37,Assumptions!$C$38,Assumptions!$C$39)*Assumptions!$C$40*(1+Assumptions!$C$41)^(T3-1)/100000,0)</f>
        <v>0</v>
      </c>
      <c r="U33" s="56">
        <f>IFERROR(CHOOSE(U3,Assumptions!$C$35,Assumptions!$C$36,Assumptions!$C$37,Assumptions!$C$38,Assumptions!$C$39)*Assumptions!$C$40*(1+Assumptions!$C$41)^(U3-1)/100000,0)</f>
        <v>0</v>
      </c>
      <c r="V33" s="56">
        <f>IFERROR(CHOOSE(V3,Assumptions!$C$35,Assumptions!$C$36,Assumptions!$C$37,Assumptions!$C$38,Assumptions!$C$39)*Assumptions!$C$40*(1+Assumptions!$C$41)^(V3-1)/100000,0)</f>
        <v>0</v>
      </c>
      <c r="W33" s="56">
        <f>IFERROR(CHOOSE(W3,Assumptions!$C$35,Assumptions!$C$36,Assumptions!$C$37,Assumptions!$C$38,Assumptions!$C$39)*Assumptions!$C$40*(1+Assumptions!$C$41)^(W3-1)/100000,0)</f>
        <v>0</v>
      </c>
      <c r="X33" s="56">
        <f>IFERROR(CHOOSE(X3,Assumptions!$C$35,Assumptions!$C$36,Assumptions!$C$37,Assumptions!$C$38,Assumptions!$C$39)*Assumptions!$C$40*(1+Assumptions!$C$41)^(X3-1)/100000,0)</f>
        <v>0</v>
      </c>
      <c r="Y33" s="56">
        <f>IFERROR(CHOOSE(Y3,Assumptions!$C$35,Assumptions!$C$36,Assumptions!$C$37,Assumptions!$C$38,Assumptions!$C$39)*Assumptions!$C$40*(1+Assumptions!$C$41)^(Y3-1)/100000,0)</f>
        <v>0</v>
      </c>
      <c r="Z33" s="56">
        <f>IFERROR(CHOOSE(Z3,Assumptions!$C$35,Assumptions!$C$36,Assumptions!$C$37,Assumptions!$C$38,Assumptions!$C$39)*Assumptions!$C$40*(1+Assumptions!$C$41)^(Z3-1)/100000,0)</f>
        <v>0</v>
      </c>
      <c r="AA33" s="56">
        <f>IFERROR(CHOOSE(AA3,Assumptions!$C$35,Assumptions!$C$36,Assumptions!$C$37,Assumptions!$C$38,Assumptions!$C$39)*Assumptions!$C$40*(1+Assumptions!$C$41)^(AA3-1)/100000,0)</f>
        <v>0</v>
      </c>
      <c r="AB33" s="56">
        <f>IFERROR(CHOOSE(AB3,Assumptions!$C$35,Assumptions!$C$36,Assumptions!$C$37,Assumptions!$C$38,Assumptions!$C$39)*Assumptions!$C$40*(1+Assumptions!$C$41)^(AB3-1)/100000,0)</f>
        <v>0</v>
      </c>
      <c r="AC33" s="56">
        <f>IFERROR(CHOOSE(AC3,Assumptions!$C$35,Assumptions!$C$36,Assumptions!$C$37,Assumptions!$C$38,Assumptions!$C$39)*Assumptions!$C$40*(1+Assumptions!$C$41)^(AC3-1)/100000,0)</f>
        <v>0</v>
      </c>
      <c r="AD33" s="56">
        <f>IFERROR(CHOOSE(AD3,Assumptions!$C$35,Assumptions!$C$36,Assumptions!$C$37,Assumptions!$C$38,Assumptions!$C$39)*Assumptions!$C$40*(1+Assumptions!$C$41)^(AD3-1)/100000,0)</f>
        <v>0</v>
      </c>
      <c r="AE33" s="56">
        <f>IFERROR(CHOOSE(AE3,Assumptions!$C$35,Assumptions!$C$36,Assumptions!$C$37,Assumptions!$C$38,Assumptions!$C$39)*Assumptions!$C$40*(1+Assumptions!$C$41)^(AE3-1)/100000,0)</f>
        <v>0</v>
      </c>
      <c r="AF33" s="56">
        <f>IFERROR(CHOOSE(AF3,Assumptions!$C$35,Assumptions!$C$36,Assumptions!$C$37,Assumptions!$C$38,Assumptions!$C$39)*Assumptions!$C$40*(1+Assumptions!$C$41)^(AF3-1)/100000,0)</f>
        <v>0</v>
      </c>
      <c r="AG33" s="56">
        <f>IFERROR(CHOOSE(AG3,Assumptions!$C$35,Assumptions!$C$36,Assumptions!$C$37,Assumptions!$C$38,Assumptions!$C$39)*Assumptions!$C$40*(1+Assumptions!$C$41)^(AG3-1)/100000,0)</f>
        <v>0</v>
      </c>
      <c r="AH33" s="56">
        <f>IFERROR(CHOOSE(AH3,Assumptions!$C$35,Assumptions!$C$36,Assumptions!$C$37,Assumptions!$C$38,Assumptions!$C$39)*Assumptions!$C$40*(1+Assumptions!$C$41)^(AH3-1)/100000,0)</f>
        <v>0</v>
      </c>
      <c r="AI33" s="56">
        <f>IFERROR(CHOOSE(AI3,Assumptions!$C$35,Assumptions!$C$36,Assumptions!$C$37,Assumptions!$C$38,Assumptions!$C$39)*Assumptions!$C$40*(1+Assumptions!$C$41)^(AI3-1)/100000,0)</f>
        <v>0</v>
      </c>
      <c r="AJ33" s="56">
        <f>IFERROR(CHOOSE(AJ3,Assumptions!$C$35,Assumptions!$C$36,Assumptions!$C$37,Assumptions!$C$38,Assumptions!$C$39)*Assumptions!$C$40*(1+Assumptions!$C$41)^(AJ3-1)/100000,0)</f>
        <v>0</v>
      </c>
      <c r="AK33" s="56">
        <f>IFERROR(CHOOSE(AK3,Assumptions!$C$35,Assumptions!$C$36,Assumptions!$C$37,Assumptions!$C$38,Assumptions!$C$39)*Assumptions!$C$40*(1+Assumptions!$C$41)^(AK3-1)/100000,0)</f>
        <v>0</v>
      </c>
      <c r="AL33" s="56">
        <f>IFERROR(CHOOSE(AL3,Assumptions!$C$35,Assumptions!$C$36,Assumptions!$C$37,Assumptions!$C$38,Assumptions!$C$39)*Assumptions!$C$40*(1+Assumptions!$C$41)^(AL3-1)/100000,0)</f>
        <v>0</v>
      </c>
      <c r="AM33" s="56">
        <f>IFERROR(CHOOSE(AM3,Assumptions!$C$35,Assumptions!$C$36,Assumptions!$C$37,Assumptions!$C$38,Assumptions!$C$39)*Assumptions!$C$40*(1+Assumptions!$C$41)^(AM3-1)/100000,0)</f>
        <v>0</v>
      </c>
      <c r="AN33" s="56">
        <f>IFERROR(CHOOSE(AN3,Assumptions!$C$35,Assumptions!$C$36,Assumptions!$C$37,Assumptions!$C$38,Assumptions!$C$39)*Assumptions!$C$40*(1+Assumptions!$C$41)^(AN3-1)/100000,0)</f>
        <v>0</v>
      </c>
      <c r="AO33" s="56">
        <f>IFERROR(CHOOSE(AO3,Assumptions!$C$35,Assumptions!$C$36,Assumptions!$C$37,Assumptions!$C$38,Assumptions!$C$39)*Assumptions!$C$40*(1+Assumptions!$C$41)^(AO3-1)/100000,0)</f>
        <v>0</v>
      </c>
      <c r="AP33" s="56">
        <f>IFERROR(CHOOSE(AP3,Assumptions!$C$35,Assumptions!$C$36,Assumptions!$C$37,Assumptions!$C$38,Assumptions!$C$39)*Assumptions!$C$40*(1+Assumptions!$C$41)^(AP3-1)/100000,0)</f>
        <v>0</v>
      </c>
      <c r="AQ33" s="56">
        <f>IFERROR(CHOOSE(AQ3,Assumptions!$C$35,Assumptions!$C$36,Assumptions!$C$37,Assumptions!$C$38,Assumptions!$C$39)*Assumptions!$C$40*(1+Assumptions!$C$41)^(AQ3-1)/100000,0)</f>
        <v>0</v>
      </c>
      <c r="AR33" s="56">
        <f>IFERROR(CHOOSE(AR3,Assumptions!$C$35,Assumptions!$C$36,Assumptions!$C$37,Assumptions!$C$38,Assumptions!$C$39)*Assumptions!$C$40*(1+Assumptions!$C$41)^(AR3-1)/100000,0)</f>
        <v>0</v>
      </c>
      <c r="AS33" s="56">
        <f>IFERROR(CHOOSE(AS3,Assumptions!$C$35,Assumptions!$C$36,Assumptions!$C$37,Assumptions!$C$38,Assumptions!$C$39)*Assumptions!$C$40*(1+Assumptions!$C$41)^(AS3-1)/100000,0)</f>
        <v>0</v>
      </c>
      <c r="AT33" s="56">
        <f>IFERROR(CHOOSE(AT3,Assumptions!$C$35,Assumptions!$C$36,Assumptions!$C$37,Assumptions!$C$38,Assumptions!$C$39)*Assumptions!$C$40*(1+Assumptions!$C$41)^(AT3-1)/100000,0)</f>
        <v>0</v>
      </c>
      <c r="AU33" s="56">
        <f>IFERROR(CHOOSE(AU3,Assumptions!$C$35,Assumptions!$C$36,Assumptions!$C$37,Assumptions!$C$38,Assumptions!$C$39)*Assumptions!$C$40*(1+Assumptions!$C$41)^(AU3-1)/100000,0)</f>
        <v>0</v>
      </c>
      <c r="AV33" s="56">
        <f>IFERROR(CHOOSE(AV3,Assumptions!$C$35,Assumptions!$C$36,Assumptions!$C$37,Assumptions!$C$38,Assumptions!$C$39)*Assumptions!$C$40*(1+Assumptions!$C$41)^(AV3-1)/100000,0)</f>
        <v>0</v>
      </c>
      <c r="AW33" s="56">
        <f>IFERROR(CHOOSE(AW3,Assumptions!$C$35,Assumptions!$C$36,Assumptions!$C$37,Assumptions!$C$38,Assumptions!$C$39)*Assumptions!$C$40*(1+Assumptions!$C$41)^(AW3-1)/100000,0)</f>
        <v>0</v>
      </c>
      <c r="AX33" s="56">
        <f>IFERROR(CHOOSE(AX3,Assumptions!$C$35,Assumptions!$C$36,Assumptions!$C$37,Assumptions!$C$38,Assumptions!$C$39)*Assumptions!$C$40*(1+Assumptions!$C$41)^(AX3-1)/100000,0)</f>
        <v>0</v>
      </c>
      <c r="AY33" s="56">
        <f>IFERROR(CHOOSE(AY3,Assumptions!$C$35,Assumptions!$C$36,Assumptions!$C$37,Assumptions!$C$38,Assumptions!$C$39)*Assumptions!$C$40*(1+Assumptions!$C$41)^(AY3-1)/100000,0)</f>
        <v>0</v>
      </c>
      <c r="AZ33" s="56">
        <f>IFERROR(CHOOSE(AZ3,Assumptions!$C$35,Assumptions!$C$36,Assumptions!$C$37,Assumptions!$C$38,Assumptions!$C$39)*Assumptions!$C$40*(1+Assumptions!$C$41)^(AZ3-1)/100000,0)</f>
        <v>0</v>
      </c>
      <c r="BA33" s="56">
        <f>IFERROR(CHOOSE(BA3,Assumptions!$C$35,Assumptions!$C$36,Assumptions!$C$37,Assumptions!$C$38,Assumptions!$C$39)*Assumptions!$C$40*(1+Assumptions!$C$41)^(BA3-1)/100000,0)</f>
        <v>0</v>
      </c>
      <c r="BB33" s="56">
        <f>IFERROR(CHOOSE(BB3,Assumptions!$C$35,Assumptions!$C$36,Assumptions!$C$37,Assumptions!$C$38,Assumptions!$C$39)*Assumptions!$C$40*(1+Assumptions!$C$41)^(BB3-1)/100000,0)</f>
        <v>0</v>
      </c>
      <c r="BC33" s="56">
        <f>IFERROR(CHOOSE(BC3,Assumptions!$C$35,Assumptions!$C$36,Assumptions!$C$37,Assumptions!$C$38,Assumptions!$C$39)*Assumptions!$C$40*(1+Assumptions!$C$41)^(BC3-1)/100000,0)</f>
        <v>0</v>
      </c>
      <c r="BD33" s="56">
        <f>IFERROR(CHOOSE(BD3,Assumptions!$C$35,Assumptions!$C$36,Assumptions!$C$37,Assumptions!$C$38,Assumptions!$C$39)*Assumptions!$C$40*(1+Assumptions!$C$41)^(BD3-1)/100000,0)</f>
        <v>0</v>
      </c>
      <c r="BE33" s="56">
        <f>IFERROR(CHOOSE(BE3,Assumptions!$C$35,Assumptions!$C$36,Assumptions!$C$37,Assumptions!$C$38,Assumptions!$C$39)*Assumptions!$C$40*(1+Assumptions!$C$41)^(BE3-1)/100000,0)</f>
        <v>0</v>
      </c>
      <c r="BF33" s="56">
        <f>IFERROR(CHOOSE(BF3,Assumptions!$C$35,Assumptions!$C$36,Assumptions!$C$37,Assumptions!$C$38,Assumptions!$C$39)*Assumptions!$C$40*(1+Assumptions!$C$41)^(BF3-1)/100000,0)</f>
        <v>0</v>
      </c>
      <c r="BG33" s="56">
        <f>IFERROR(CHOOSE(BG3,Assumptions!$C$35,Assumptions!$C$36,Assumptions!$C$37,Assumptions!$C$38,Assumptions!$C$39)*Assumptions!$C$40*(1+Assumptions!$C$41)^(BG3-1)/100000,0)</f>
        <v>0</v>
      </c>
      <c r="BH33" s="56">
        <f>IFERROR(CHOOSE(BH3,Assumptions!$C$35,Assumptions!$C$36,Assumptions!$C$37,Assumptions!$C$38,Assumptions!$C$39)*Assumptions!$C$40*(1+Assumptions!$C$41)^(BH3-1)/100000,0)</f>
        <v>0</v>
      </c>
      <c r="BI33" s="56">
        <f>IFERROR(CHOOSE(BI3,Assumptions!$C$35,Assumptions!$C$36,Assumptions!$C$37,Assumptions!$C$38,Assumptions!$C$39)*Assumptions!$C$40*(1+Assumptions!$C$41)^(BI3-1)/100000,0)</f>
        <v>0</v>
      </c>
    </row>
    <row r="34" spans="1:61" x14ac:dyDescent="0.25">
      <c r="A34" s="50" t="s">
        <v>180</v>
      </c>
      <c r="B34" s="56">
        <f>IFERROR(Assumptions!$C$43*(1+Assumptions!$C$44)^(B3-1),0)</f>
        <v>0</v>
      </c>
      <c r="C34" s="56">
        <f>IFERROR(Assumptions!$C$43*(1+Assumptions!$C$44)^(C3-1),0)</f>
        <v>0</v>
      </c>
      <c r="D34" s="56">
        <f>IFERROR(Assumptions!$C$43*(1+Assumptions!$C$44)^(D3-1),0)</f>
        <v>0</v>
      </c>
      <c r="E34" s="56">
        <f>IFERROR(Assumptions!$C$43*(1+Assumptions!$C$44)^(E3-1),0)</f>
        <v>0</v>
      </c>
      <c r="F34" s="56">
        <f>IFERROR(Assumptions!$C$43*(1+Assumptions!$C$44)^(F3-1),0)</f>
        <v>0</v>
      </c>
      <c r="G34" s="56">
        <f>IFERROR(Assumptions!$C$43*(1+Assumptions!$C$44)^(G3-1),0)</f>
        <v>0</v>
      </c>
      <c r="H34" s="56">
        <f>IFERROR(Assumptions!$C$43*(1+Assumptions!$C$44)^(H3-1),0)</f>
        <v>0</v>
      </c>
      <c r="I34" s="56">
        <f>IFERROR(Assumptions!$C$43*(1+Assumptions!$C$44)^(I3-1),0)</f>
        <v>0</v>
      </c>
      <c r="J34" s="56">
        <f>IFERROR(Assumptions!$C$43*(1+Assumptions!$C$44)^(J3-1),0)</f>
        <v>0</v>
      </c>
      <c r="K34" s="56">
        <f>IFERROR(Assumptions!$C$43*(1+Assumptions!$C$44)^(K3-1),0)</f>
        <v>0</v>
      </c>
      <c r="L34" s="56">
        <f>IFERROR(Assumptions!$C$43*(1+Assumptions!$C$44)^(L3-1),0)</f>
        <v>0</v>
      </c>
      <c r="M34" s="56">
        <f>IFERROR(Assumptions!$C$43*(1+Assumptions!$C$44)^(M3-1),0)</f>
        <v>0</v>
      </c>
      <c r="N34" s="56">
        <f>IFERROR(Assumptions!$C$43*(1+Assumptions!$C$44)^(N3-1),0)</f>
        <v>0</v>
      </c>
      <c r="O34" s="56">
        <f>IFERROR(Assumptions!$C$43*(1+Assumptions!$C$44)^(O3-1),0)</f>
        <v>0</v>
      </c>
      <c r="P34" s="56">
        <f>IFERROR(Assumptions!$C$43*(1+Assumptions!$C$44)^(P3-1),0)</f>
        <v>0</v>
      </c>
      <c r="Q34" s="56">
        <f>IFERROR(Assumptions!$C$43*(1+Assumptions!$C$44)^(Q3-1),0)</f>
        <v>0</v>
      </c>
      <c r="R34" s="56">
        <f>IFERROR(Assumptions!$C$43*(1+Assumptions!$C$44)^(R3-1),0)</f>
        <v>0</v>
      </c>
      <c r="S34" s="56">
        <f>IFERROR(Assumptions!$C$43*(1+Assumptions!$C$44)^(S3-1),0)</f>
        <v>0</v>
      </c>
      <c r="T34" s="56">
        <f>IFERROR(Assumptions!$C$43*(1+Assumptions!$C$44)^(T3-1),0)</f>
        <v>0</v>
      </c>
      <c r="U34" s="56">
        <f>IFERROR(Assumptions!$C$43*(1+Assumptions!$C$44)^(U3-1),0)</f>
        <v>0</v>
      </c>
      <c r="V34" s="56">
        <f>IFERROR(Assumptions!$C$43*(1+Assumptions!$C$44)^(V3-1),0)</f>
        <v>0</v>
      </c>
      <c r="W34" s="56">
        <f>IFERROR(Assumptions!$C$43*(1+Assumptions!$C$44)^(W3-1),0)</f>
        <v>0</v>
      </c>
      <c r="X34" s="56">
        <f>IFERROR(Assumptions!$C$43*(1+Assumptions!$C$44)^(X3-1),0)</f>
        <v>0</v>
      </c>
      <c r="Y34" s="56">
        <f>IFERROR(Assumptions!$C$43*(1+Assumptions!$C$44)^(Y3-1),0)</f>
        <v>0</v>
      </c>
      <c r="Z34" s="56">
        <f>IFERROR(Assumptions!$C$43*(1+Assumptions!$C$44)^(Z3-1),0)</f>
        <v>0</v>
      </c>
      <c r="AA34" s="56">
        <f>IFERROR(Assumptions!$C$43*(1+Assumptions!$C$44)^(AA3-1),0)</f>
        <v>0</v>
      </c>
      <c r="AB34" s="56">
        <f>IFERROR(Assumptions!$C$43*(1+Assumptions!$C$44)^(AB3-1),0)</f>
        <v>0</v>
      </c>
      <c r="AC34" s="56">
        <f>IFERROR(Assumptions!$C$43*(1+Assumptions!$C$44)^(AC3-1),0)</f>
        <v>0</v>
      </c>
      <c r="AD34" s="56">
        <f>IFERROR(Assumptions!$C$43*(1+Assumptions!$C$44)^(AD3-1),0)</f>
        <v>0</v>
      </c>
      <c r="AE34" s="56">
        <f>IFERROR(Assumptions!$C$43*(1+Assumptions!$C$44)^(AE3-1),0)</f>
        <v>0</v>
      </c>
      <c r="AF34" s="56">
        <f>IFERROR(Assumptions!$C$43*(1+Assumptions!$C$44)^(AF3-1),0)</f>
        <v>0</v>
      </c>
      <c r="AG34" s="56">
        <f>IFERROR(Assumptions!$C$43*(1+Assumptions!$C$44)^(AG3-1),0)</f>
        <v>0</v>
      </c>
      <c r="AH34" s="56">
        <f>IFERROR(Assumptions!$C$43*(1+Assumptions!$C$44)^(AH3-1),0)</f>
        <v>0</v>
      </c>
      <c r="AI34" s="56">
        <f>IFERROR(Assumptions!$C$43*(1+Assumptions!$C$44)^(AI3-1),0)</f>
        <v>0</v>
      </c>
      <c r="AJ34" s="56">
        <f>IFERROR(Assumptions!$C$43*(1+Assumptions!$C$44)^(AJ3-1),0)</f>
        <v>0</v>
      </c>
      <c r="AK34" s="56">
        <f>IFERROR(Assumptions!$C$43*(1+Assumptions!$C$44)^(AK3-1),0)</f>
        <v>0</v>
      </c>
      <c r="AL34" s="56">
        <f>IFERROR(Assumptions!$C$43*(1+Assumptions!$C$44)^(AL3-1),0)</f>
        <v>0</v>
      </c>
      <c r="AM34" s="56">
        <f>IFERROR(Assumptions!$C$43*(1+Assumptions!$C$44)^(AM3-1),0)</f>
        <v>0</v>
      </c>
      <c r="AN34" s="56">
        <f>IFERROR(Assumptions!$C$43*(1+Assumptions!$C$44)^(AN3-1),0)</f>
        <v>0</v>
      </c>
      <c r="AO34" s="56">
        <f>IFERROR(Assumptions!$C$43*(1+Assumptions!$C$44)^(AO3-1),0)</f>
        <v>0</v>
      </c>
      <c r="AP34" s="56">
        <f>IFERROR(Assumptions!$C$43*(1+Assumptions!$C$44)^(AP3-1),0)</f>
        <v>0</v>
      </c>
      <c r="AQ34" s="56">
        <f>IFERROR(Assumptions!$C$43*(1+Assumptions!$C$44)^(AQ3-1),0)</f>
        <v>0</v>
      </c>
      <c r="AR34" s="56">
        <f>IFERROR(Assumptions!$C$43*(1+Assumptions!$C$44)^(AR3-1),0)</f>
        <v>0</v>
      </c>
      <c r="AS34" s="56">
        <f>IFERROR(Assumptions!$C$43*(1+Assumptions!$C$44)^(AS3-1),0)</f>
        <v>0</v>
      </c>
      <c r="AT34" s="56">
        <f>IFERROR(Assumptions!$C$43*(1+Assumptions!$C$44)^(AT3-1),0)</f>
        <v>0</v>
      </c>
      <c r="AU34" s="56">
        <f>IFERROR(Assumptions!$C$43*(1+Assumptions!$C$44)^(AU3-1),0)</f>
        <v>0</v>
      </c>
      <c r="AV34" s="56">
        <f>IFERROR(Assumptions!$C$43*(1+Assumptions!$C$44)^(AV3-1),0)</f>
        <v>0</v>
      </c>
      <c r="AW34" s="56">
        <f>IFERROR(Assumptions!$C$43*(1+Assumptions!$C$44)^(AW3-1),0)</f>
        <v>0</v>
      </c>
      <c r="AX34" s="56">
        <f>IFERROR(Assumptions!$C$43*(1+Assumptions!$C$44)^(AX3-1),0)</f>
        <v>0</v>
      </c>
      <c r="AY34" s="56">
        <f>IFERROR(Assumptions!$C$43*(1+Assumptions!$C$44)^(AY3-1),0)</f>
        <v>0</v>
      </c>
      <c r="AZ34" s="56">
        <f>IFERROR(Assumptions!$C$43*(1+Assumptions!$C$44)^(AZ3-1),0)</f>
        <v>0</v>
      </c>
      <c r="BA34" s="56">
        <f>IFERROR(Assumptions!$C$43*(1+Assumptions!$C$44)^(BA3-1),0)</f>
        <v>0</v>
      </c>
      <c r="BB34" s="56">
        <f>IFERROR(Assumptions!$C$43*(1+Assumptions!$C$44)^(BB3-1),0)</f>
        <v>0</v>
      </c>
      <c r="BC34" s="56">
        <f>IFERROR(Assumptions!$C$43*(1+Assumptions!$C$44)^(BC3-1),0)</f>
        <v>0</v>
      </c>
      <c r="BD34" s="56">
        <f>IFERROR(Assumptions!$C$43*(1+Assumptions!$C$44)^(BD3-1),0)</f>
        <v>0</v>
      </c>
      <c r="BE34" s="56">
        <f>IFERROR(Assumptions!$C$43*(1+Assumptions!$C$44)^(BE3-1),0)</f>
        <v>0</v>
      </c>
      <c r="BF34" s="56">
        <f>IFERROR(Assumptions!$C$43*(1+Assumptions!$C$44)^(BF3-1),0)</f>
        <v>0</v>
      </c>
      <c r="BG34" s="56">
        <f>IFERROR(Assumptions!$C$43*(1+Assumptions!$C$44)^(BG3-1),0)</f>
        <v>0</v>
      </c>
      <c r="BH34" s="56">
        <f>IFERROR(Assumptions!$C$43*(1+Assumptions!$C$44)^(BH3-1),0)</f>
        <v>0</v>
      </c>
      <c r="BI34" s="56">
        <f>IFERROR(Assumptions!$C$43*(1+Assumptions!$C$44)^(BI3-1),0)</f>
        <v>0</v>
      </c>
    </row>
    <row r="35" spans="1:61" x14ac:dyDescent="0.25">
      <c r="A35" s="50" t="s">
        <v>240</v>
      </c>
      <c r="B35" s="58">
        <f>IFERROR(IF(B4&lt;Assumptions!$C$6,0,Funding!$C$20*Assumptions!$C$45/12),0)</f>
        <v>0</v>
      </c>
      <c r="C35" s="58">
        <f>IFERROR(IF(C4&lt;Assumptions!$C$6,0,Funding!$C$20*Assumptions!$C$45/12),0)</f>
        <v>0</v>
      </c>
      <c r="D35" s="58">
        <f>IFERROR(IF(D4&lt;Assumptions!$C$6,0,Funding!$C$20*Assumptions!$C$45/12),0)</f>
        <v>0</v>
      </c>
      <c r="E35" s="58">
        <f>IFERROR(IF(E4&lt;Assumptions!$C$6,0,Funding!$C$20*Assumptions!$C$45/12),0)</f>
        <v>0</v>
      </c>
      <c r="F35" s="58">
        <f>IFERROR(IF(F4&lt;Assumptions!$C$6,0,Funding!$C$20*Assumptions!$C$45/12),0)</f>
        <v>0</v>
      </c>
      <c r="G35" s="58">
        <f>IFERROR(IF(G4&lt;Assumptions!$C$6,0,Funding!$C$20*Assumptions!$C$45/12),0)</f>
        <v>0</v>
      </c>
      <c r="H35" s="58">
        <f>IFERROR(IF(H4&lt;Assumptions!$C$6,0,Funding!$C$20*Assumptions!$C$45/12),0)</f>
        <v>0</v>
      </c>
      <c r="I35" s="58">
        <f>IFERROR(IF(I4&lt;Assumptions!$C$6,0,Funding!$C$20*Assumptions!$C$45/12),0)</f>
        <v>0</v>
      </c>
      <c r="J35" s="58">
        <f>IFERROR(IF(J4&lt;Assumptions!$C$6,0,Funding!$C$20*Assumptions!$C$45/12),0)</f>
        <v>0</v>
      </c>
      <c r="K35" s="58">
        <f>IFERROR(IF(K4&lt;Assumptions!$C$6,0,Funding!$C$20*Assumptions!$C$45/12),0)</f>
        <v>0</v>
      </c>
      <c r="L35" s="58">
        <f>IFERROR(IF(L4&lt;Assumptions!$C$6,0,Funding!$C$20*Assumptions!$C$45/12),0)</f>
        <v>0</v>
      </c>
      <c r="M35" s="58">
        <f>IFERROR(IF(M4&lt;Assumptions!$C$6,0,Funding!$C$20*Assumptions!$C$45/12),0)</f>
        <v>0</v>
      </c>
      <c r="N35" s="58">
        <f>IFERROR(IF(N4&lt;Assumptions!$C$6,0,Funding!$C$20*Assumptions!$C$45/12),0)</f>
        <v>0</v>
      </c>
      <c r="O35" s="58">
        <f>IFERROR(IF(O4&lt;Assumptions!$C$6,0,Funding!$C$20*Assumptions!$C$45/12),0)</f>
        <v>0</v>
      </c>
      <c r="P35" s="58">
        <f>IFERROR(IF(P4&lt;Assumptions!$C$6,0,Funding!$C$20*Assumptions!$C$45/12),0)</f>
        <v>0</v>
      </c>
      <c r="Q35" s="58">
        <f>IFERROR(IF(Q4&lt;Assumptions!$C$6,0,Funding!$C$20*Assumptions!$C$45/12),0)</f>
        <v>0</v>
      </c>
      <c r="R35" s="58">
        <f>IFERROR(IF(R4&lt;Assumptions!$C$6,0,Funding!$C$20*Assumptions!$C$45/12),0)</f>
        <v>0</v>
      </c>
      <c r="S35" s="58">
        <f>IFERROR(IF(S4&lt;Assumptions!$C$6,0,Funding!$C$20*Assumptions!$C$45/12),0)</f>
        <v>0</v>
      </c>
      <c r="T35" s="58">
        <f>IFERROR(IF(T4&lt;Assumptions!$C$6,0,Funding!$C$20*Assumptions!$C$45/12),0)</f>
        <v>0</v>
      </c>
      <c r="U35" s="58">
        <f>IFERROR(IF(U4&lt;Assumptions!$C$6,0,Funding!$C$20*Assumptions!$C$45/12),0)</f>
        <v>0</v>
      </c>
      <c r="V35" s="58">
        <f>IFERROR(IF(V4&lt;Assumptions!$C$6,0,Funding!$C$20*Assumptions!$C$45/12),0)</f>
        <v>0</v>
      </c>
      <c r="W35" s="58">
        <f>IFERROR(IF(W4&lt;Assumptions!$C$6,0,Funding!$C$20*Assumptions!$C$45/12),0)</f>
        <v>0</v>
      </c>
      <c r="X35" s="58">
        <f>IFERROR(IF(X4&lt;Assumptions!$C$6,0,Funding!$C$20*Assumptions!$C$45/12),0)</f>
        <v>0</v>
      </c>
      <c r="Y35" s="58">
        <f>IFERROR(IF(Y4&lt;Assumptions!$C$6,0,Funding!$C$20*Assumptions!$C$45/12),0)</f>
        <v>0</v>
      </c>
      <c r="Z35" s="58">
        <f>IFERROR(IF(Z4&lt;Assumptions!$C$6,0,Funding!$C$20*Assumptions!$C$45/12),0)</f>
        <v>0</v>
      </c>
      <c r="AA35" s="58">
        <f>IFERROR(IF(AA4&lt;Assumptions!$C$6,0,Funding!$C$20*Assumptions!$C$45/12),0)</f>
        <v>0</v>
      </c>
      <c r="AB35" s="58">
        <f>IFERROR(IF(AB4&lt;Assumptions!$C$6,0,Funding!$C$20*Assumptions!$C$45/12),0)</f>
        <v>0</v>
      </c>
      <c r="AC35" s="58">
        <f>IFERROR(IF(AC4&lt;Assumptions!$C$6,0,Funding!$C$20*Assumptions!$C$45/12),0)</f>
        <v>0</v>
      </c>
      <c r="AD35" s="58">
        <f>IFERROR(IF(AD4&lt;Assumptions!$C$6,0,Funding!$C$20*Assumptions!$C$45/12),0)</f>
        <v>0</v>
      </c>
      <c r="AE35" s="58">
        <f>IFERROR(IF(AE4&lt;Assumptions!$C$6,0,Funding!$C$20*Assumptions!$C$45/12),0)</f>
        <v>0</v>
      </c>
      <c r="AF35" s="58">
        <f>IFERROR(IF(AF4&lt;Assumptions!$C$6,0,Funding!$C$20*Assumptions!$C$45/12),0)</f>
        <v>0</v>
      </c>
      <c r="AG35" s="58">
        <f>IFERROR(IF(AG4&lt;Assumptions!$C$6,0,Funding!$C$20*Assumptions!$C$45/12),0)</f>
        <v>0</v>
      </c>
      <c r="AH35" s="58">
        <f>IFERROR(IF(AH4&lt;Assumptions!$C$6,0,Funding!$C$20*Assumptions!$C$45/12),0)</f>
        <v>0</v>
      </c>
      <c r="AI35" s="58">
        <f>IFERROR(IF(AI4&lt;Assumptions!$C$6,0,Funding!$C$20*Assumptions!$C$45/12),0)</f>
        <v>0</v>
      </c>
      <c r="AJ35" s="58">
        <f>IFERROR(IF(AJ4&lt;Assumptions!$C$6,0,Funding!$C$20*Assumptions!$C$45/12),0)</f>
        <v>0</v>
      </c>
      <c r="AK35" s="58">
        <f>IFERROR(IF(AK4&lt;Assumptions!$C$6,0,Funding!$C$20*Assumptions!$C$45/12),0)</f>
        <v>0</v>
      </c>
      <c r="AL35" s="58">
        <f>IFERROR(IF(AL4&lt;Assumptions!$C$6,0,Funding!$C$20*Assumptions!$C$45/12),0)</f>
        <v>0</v>
      </c>
      <c r="AM35" s="58">
        <f>IFERROR(IF(AM4&lt;Assumptions!$C$6,0,Funding!$C$20*Assumptions!$C$45/12),0)</f>
        <v>0</v>
      </c>
      <c r="AN35" s="58">
        <f>IFERROR(IF(AN4&lt;Assumptions!$C$6,0,Funding!$C$20*Assumptions!$C$45/12),0)</f>
        <v>0</v>
      </c>
      <c r="AO35" s="58">
        <f>IFERROR(IF(AO4&lt;Assumptions!$C$6,0,Funding!$C$20*Assumptions!$C$45/12),0)</f>
        <v>0</v>
      </c>
      <c r="AP35" s="58">
        <f>IFERROR(IF(AP4&lt;Assumptions!$C$6,0,Funding!$C$20*Assumptions!$C$45/12),0)</f>
        <v>0</v>
      </c>
      <c r="AQ35" s="58">
        <f>IFERROR(IF(AQ4&lt;Assumptions!$C$6,0,Funding!$C$20*Assumptions!$C$45/12),0)</f>
        <v>0</v>
      </c>
      <c r="AR35" s="58">
        <f>IFERROR(IF(AR4&lt;Assumptions!$C$6,0,Funding!$C$20*Assumptions!$C$45/12),0)</f>
        <v>0</v>
      </c>
      <c r="AS35" s="58">
        <f>IFERROR(IF(AS4&lt;Assumptions!$C$6,0,Funding!$C$20*Assumptions!$C$45/12),0)</f>
        <v>0</v>
      </c>
      <c r="AT35" s="58">
        <f>IFERROR(IF(AT4&lt;Assumptions!$C$6,0,Funding!$C$20*Assumptions!$C$45/12),0)</f>
        <v>0</v>
      </c>
      <c r="AU35" s="58">
        <f>IFERROR(IF(AU4&lt;Assumptions!$C$6,0,Funding!$C$20*Assumptions!$C$45/12),0)</f>
        <v>0</v>
      </c>
      <c r="AV35" s="58">
        <f>IFERROR(IF(AV4&lt;Assumptions!$C$6,0,Funding!$C$20*Assumptions!$C$45/12),0)</f>
        <v>0</v>
      </c>
      <c r="AW35" s="58">
        <f>IFERROR(IF(AW4&lt;Assumptions!$C$6,0,Funding!$C$20*Assumptions!$C$45/12),0)</f>
        <v>0</v>
      </c>
      <c r="AX35" s="58">
        <f>IFERROR(IF(AX4&lt;Assumptions!$C$6,0,Funding!$C$20*Assumptions!$C$45/12),0)</f>
        <v>0</v>
      </c>
      <c r="AY35" s="58">
        <f>IFERROR(IF(AY4&lt;Assumptions!$C$6,0,Funding!$C$20*Assumptions!$C$45/12),0)</f>
        <v>0</v>
      </c>
      <c r="AZ35" s="58">
        <f>IFERROR(IF(AZ4&lt;Assumptions!$C$6,0,Funding!$C$20*Assumptions!$C$45/12),0)</f>
        <v>0</v>
      </c>
      <c r="BA35" s="58">
        <f>IFERROR(IF(BA4&lt;Assumptions!$C$6,0,Funding!$C$20*Assumptions!$C$45/12),0)</f>
        <v>0</v>
      </c>
      <c r="BB35" s="58">
        <f>IFERROR(IF(BB4&lt;Assumptions!$C$6,0,Funding!$C$20*Assumptions!$C$45/12),0)</f>
        <v>0</v>
      </c>
      <c r="BC35" s="58">
        <f>IFERROR(IF(BC4&lt;Assumptions!$C$6,0,Funding!$C$20*Assumptions!$C$45/12),0)</f>
        <v>0</v>
      </c>
      <c r="BD35" s="58">
        <f>IFERROR(IF(BD4&lt;Assumptions!$C$6,0,Funding!$C$20*Assumptions!$C$45/12),0)</f>
        <v>0</v>
      </c>
      <c r="BE35" s="58">
        <f>IFERROR(IF(BE4&lt;Assumptions!$C$6,0,Funding!$C$20*Assumptions!$C$45/12),0)</f>
        <v>0</v>
      </c>
      <c r="BF35" s="58">
        <f>IFERROR(IF(BF4&lt;Assumptions!$C$6,0,Funding!$C$20*Assumptions!$C$45/12),0)</f>
        <v>0</v>
      </c>
      <c r="BG35" s="58">
        <f>IFERROR(IF(BG4&lt;Assumptions!$C$6,0,Funding!$C$20*Assumptions!$C$45/12),0)</f>
        <v>0</v>
      </c>
      <c r="BH35" s="58">
        <f>IFERROR(IF(BH4&lt;Assumptions!$C$6,0,Funding!$C$20*Assumptions!$C$45/12),0)</f>
        <v>0</v>
      </c>
      <c r="BI35" s="58">
        <f>IFERROR(IF(BI4&lt;Assumptions!$C$6,0,Funding!$C$20*Assumptions!$C$45/12),0)</f>
        <v>0</v>
      </c>
    </row>
    <row r="36" spans="1:61" x14ac:dyDescent="0.25">
      <c r="A36" s="50" t="s">
        <v>188</v>
      </c>
      <c r="B36" s="56">
        <f>B20*Assumptions!$C$46</f>
        <v>0</v>
      </c>
      <c r="C36" s="56">
        <f>C20*Assumptions!$C$46</f>
        <v>0</v>
      </c>
      <c r="D36" s="56">
        <f>D20*Assumptions!$C$46</f>
        <v>0</v>
      </c>
      <c r="E36" s="56">
        <f>E20*Assumptions!$C$46</f>
        <v>0</v>
      </c>
      <c r="F36" s="56">
        <f>F20*Assumptions!$C$46</f>
        <v>0</v>
      </c>
      <c r="G36" s="56">
        <f>G20*Assumptions!$C$46</f>
        <v>0</v>
      </c>
      <c r="H36" s="56">
        <f>H20*Assumptions!$C$46</f>
        <v>0</v>
      </c>
      <c r="I36" s="56">
        <f>I20*Assumptions!$C$46</f>
        <v>0</v>
      </c>
      <c r="J36" s="56">
        <f>J20*Assumptions!$C$46</f>
        <v>0</v>
      </c>
      <c r="K36" s="56">
        <f>K20*Assumptions!$C$46</f>
        <v>0</v>
      </c>
      <c r="L36" s="56">
        <f>L20*Assumptions!$C$46</f>
        <v>0</v>
      </c>
      <c r="M36" s="56">
        <f>M20*Assumptions!$C$46</f>
        <v>0</v>
      </c>
      <c r="N36" s="56">
        <f>N20*Assumptions!$C$46</f>
        <v>0</v>
      </c>
      <c r="O36" s="56">
        <f>O20*Assumptions!$C$46</f>
        <v>0</v>
      </c>
      <c r="P36" s="56">
        <f>P20*Assumptions!$C$46</f>
        <v>0</v>
      </c>
      <c r="Q36" s="56">
        <f>Q20*Assumptions!$C$46</f>
        <v>0</v>
      </c>
      <c r="R36" s="56">
        <f>R20*Assumptions!$C$46</f>
        <v>0</v>
      </c>
      <c r="S36" s="56">
        <f>S20*Assumptions!$C$46</f>
        <v>0</v>
      </c>
      <c r="T36" s="56">
        <f>T20*Assumptions!$C$46</f>
        <v>0</v>
      </c>
      <c r="U36" s="56">
        <f>U20*Assumptions!$C$46</f>
        <v>0</v>
      </c>
      <c r="V36" s="56">
        <f>V20*Assumptions!$C$46</f>
        <v>0</v>
      </c>
      <c r="W36" s="56">
        <f>W20*Assumptions!$C$46</f>
        <v>0</v>
      </c>
      <c r="X36" s="56">
        <f>X20*Assumptions!$C$46</f>
        <v>0</v>
      </c>
      <c r="Y36" s="56">
        <f>Y20*Assumptions!$C$46</f>
        <v>0</v>
      </c>
      <c r="Z36" s="56">
        <f>Z20*Assumptions!$C$46</f>
        <v>0</v>
      </c>
      <c r="AA36" s="56">
        <f>AA20*Assumptions!$C$46</f>
        <v>0</v>
      </c>
      <c r="AB36" s="56">
        <f>AB20*Assumptions!$C$46</f>
        <v>0</v>
      </c>
      <c r="AC36" s="56">
        <f>AC20*Assumptions!$C$46</f>
        <v>0</v>
      </c>
      <c r="AD36" s="56">
        <f>AD20*Assumptions!$C$46</f>
        <v>0</v>
      </c>
      <c r="AE36" s="56">
        <f>AE20*Assumptions!$C$46</f>
        <v>0</v>
      </c>
      <c r="AF36" s="56">
        <f>AF20*Assumptions!$C$46</f>
        <v>0</v>
      </c>
      <c r="AG36" s="56">
        <f>AG20*Assumptions!$C$46</f>
        <v>0</v>
      </c>
      <c r="AH36" s="56">
        <f>AH20*Assumptions!$C$46</f>
        <v>0</v>
      </c>
      <c r="AI36" s="56">
        <f>AI20*Assumptions!$C$46</f>
        <v>0</v>
      </c>
      <c r="AJ36" s="56">
        <f>AJ20*Assumptions!$C$46</f>
        <v>0</v>
      </c>
      <c r="AK36" s="56">
        <f>AK20*Assumptions!$C$46</f>
        <v>0</v>
      </c>
      <c r="AL36" s="56">
        <f>AL20*Assumptions!$C$46</f>
        <v>0</v>
      </c>
      <c r="AM36" s="56">
        <f>AM20*Assumptions!$C$46</f>
        <v>0</v>
      </c>
      <c r="AN36" s="56">
        <f>AN20*Assumptions!$C$46</f>
        <v>0</v>
      </c>
      <c r="AO36" s="56">
        <f>AO20*Assumptions!$C$46</f>
        <v>0</v>
      </c>
      <c r="AP36" s="56">
        <f>AP20*Assumptions!$C$46</f>
        <v>0</v>
      </c>
      <c r="AQ36" s="56">
        <f>AQ20*Assumptions!$C$46</f>
        <v>0</v>
      </c>
      <c r="AR36" s="56">
        <f>AR20*Assumptions!$C$46</f>
        <v>0</v>
      </c>
      <c r="AS36" s="56">
        <f>AS20*Assumptions!$C$46</f>
        <v>0</v>
      </c>
      <c r="AT36" s="56">
        <f>AT20*Assumptions!$C$46</f>
        <v>0</v>
      </c>
      <c r="AU36" s="56">
        <f>AU20*Assumptions!$C$46</f>
        <v>0</v>
      </c>
      <c r="AV36" s="56">
        <f>AV20*Assumptions!$C$46</f>
        <v>0</v>
      </c>
      <c r="AW36" s="56">
        <f>AW20*Assumptions!$C$46</f>
        <v>0</v>
      </c>
      <c r="AX36" s="56">
        <f>AX20*Assumptions!$C$46</f>
        <v>0</v>
      </c>
      <c r="AY36" s="56">
        <f>AY20*Assumptions!$C$46</f>
        <v>0</v>
      </c>
      <c r="AZ36" s="56">
        <f>AZ20*Assumptions!$C$46</f>
        <v>0</v>
      </c>
      <c r="BA36" s="56">
        <f>BA20*Assumptions!$C$46</f>
        <v>0</v>
      </c>
      <c r="BB36" s="56">
        <f>BB20*Assumptions!$C$46</f>
        <v>0</v>
      </c>
      <c r="BC36" s="56">
        <f>BC20*Assumptions!$C$46</f>
        <v>0</v>
      </c>
      <c r="BD36" s="56">
        <f>BD20*Assumptions!$C$46</f>
        <v>0</v>
      </c>
      <c r="BE36" s="56">
        <f>BE20*Assumptions!$C$46</f>
        <v>0</v>
      </c>
      <c r="BF36" s="56">
        <f>BF20*Assumptions!$C$46</f>
        <v>0</v>
      </c>
      <c r="BG36" s="56">
        <f>BG20*Assumptions!$C$46</f>
        <v>0</v>
      </c>
      <c r="BH36" s="56">
        <f>BH20*Assumptions!$C$46</f>
        <v>0</v>
      </c>
      <c r="BI36" s="56">
        <f>BI20*Assumptions!$C$46</f>
        <v>0</v>
      </c>
    </row>
    <row r="37" spans="1:61" x14ac:dyDescent="0.25">
      <c r="A37" s="50" t="s">
        <v>190</v>
      </c>
      <c r="B37" s="56">
        <f>IFERROR(Assumptions!$C$47*(1+Assumptions!$C$48)^(B3-1),0)</f>
        <v>0</v>
      </c>
      <c r="C37" s="56">
        <f>IFERROR(Assumptions!$C$47*(1+Assumptions!$C$48)^(C3-1),0)</f>
        <v>0</v>
      </c>
      <c r="D37" s="56">
        <f>IFERROR(Assumptions!$C$47*(1+Assumptions!$C$48)^(D3-1),0)</f>
        <v>0</v>
      </c>
      <c r="E37" s="56">
        <f>IFERROR(Assumptions!$C$47*(1+Assumptions!$C$48)^(E3-1),0)</f>
        <v>0</v>
      </c>
      <c r="F37" s="56">
        <f>IFERROR(Assumptions!$C$47*(1+Assumptions!$C$48)^(F3-1),0)</f>
        <v>0</v>
      </c>
      <c r="G37" s="56">
        <f>IFERROR(Assumptions!$C$47*(1+Assumptions!$C$48)^(G3-1),0)</f>
        <v>0</v>
      </c>
      <c r="H37" s="56">
        <f>IFERROR(Assumptions!$C$47*(1+Assumptions!$C$48)^(H3-1),0)</f>
        <v>0</v>
      </c>
      <c r="I37" s="56">
        <f>IFERROR(Assumptions!$C$47*(1+Assumptions!$C$48)^(I3-1),0)</f>
        <v>0</v>
      </c>
      <c r="J37" s="56">
        <f>IFERROR(Assumptions!$C$47*(1+Assumptions!$C$48)^(J3-1),0)</f>
        <v>0</v>
      </c>
      <c r="K37" s="56">
        <f>IFERROR(Assumptions!$C$47*(1+Assumptions!$C$48)^(K3-1),0)</f>
        <v>0</v>
      </c>
      <c r="L37" s="56">
        <f>IFERROR(Assumptions!$C$47*(1+Assumptions!$C$48)^(L3-1),0)</f>
        <v>0</v>
      </c>
      <c r="M37" s="56">
        <f>IFERROR(Assumptions!$C$47*(1+Assumptions!$C$48)^(M3-1),0)</f>
        <v>0</v>
      </c>
      <c r="N37" s="56">
        <f>IFERROR(Assumptions!$C$47*(1+Assumptions!$C$48)^(N3-1),0)</f>
        <v>0</v>
      </c>
      <c r="O37" s="56">
        <f>IFERROR(Assumptions!$C$47*(1+Assumptions!$C$48)^(O3-1),0)</f>
        <v>0</v>
      </c>
      <c r="P37" s="56">
        <f>IFERROR(Assumptions!$C$47*(1+Assumptions!$C$48)^(P3-1),0)</f>
        <v>0</v>
      </c>
      <c r="Q37" s="56">
        <f>IFERROR(Assumptions!$C$47*(1+Assumptions!$C$48)^(Q3-1),0)</f>
        <v>0</v>
      </c>
      <c r="R37" s="56">
        <f>IFERROR(Assumptions!$C$47*(1+Assumptions!$C$48)^(R3-1),0)</f>
        <v>0</v>
      </c>
      <c r="S37" s="56">
        <f>IFERROR(Assumptions!$C$47*(1+Assumptions!$C$48)^(S3-1),0)</f>
        <v>0</v>
      </c>
      <c r="T37" s="56">
        <f>IFERROR(Assumptions!$C$47*(1+Assumptions!$C$48)^(T3-1),0)</f>
        <v>0</v>
      </c>
      <c r="U37" s="56">
        <f>IFERROR(Assumptions!$C$47*(1+Assumptions!$C$48)^(U3-1),0)</f>
        <v>0</v>
      </c>
      <c r="V37" s="56">
        <f>IFERROR(Assumptions!$C$47*(1+Assumptions!$C$48)^(V3-1),0)</f>
        <v>0</v>
      </c>
      <c r="W37" s="56">
        <f>IFERROR(Assumptions!$C$47*(1+Assumptions!$C$48)^(W3-1),0)</f>
        <v>0</v>
      </c>
      <c r="X37" s="56">
        <f>IFERROR(Assumptions!$C$47*(1+Assumptions!$C$48)^(X3-1),0)</f>
        <v>0</v>
      </c>
      <c r="Y37" s="56">
        <f>IFERROR(Assumptions!$C$47*(1+Assumptions!$C$48)^(Y3-1),0)</f>
        <v>0</v>
      </c>
      <c r="Z37" s="56">
        <f>IFERROR(Assumptions!$C$47*(1+Assumptions!$C$48)^(Z3-1),0)</f>
        <v>0</v>
      </c>
      <c r="AA37" s="56">
        <f>IFERROR(Assumptions!$C$47*(1+Assumptions!$C$48)^(AA3-1),0)</f>
        <v>0</v>
      </c>
      <c r="AB37" s="56">
        <f>IFERROR(Assumptions!$C$47*(1+Assumptions!$C$48)^(AB3-1),0)</f>
        <v>0</v>
      </c>
      <c r="AC37" s="56">
        <f>IFERROR(Assumptions!$C$47*(1+Assumptions!$C$48)^(AC3-1),0)</f>
        <v>0</v>
      </c>
      <c r="AD37" s="56">
        <f>IFERROR(Assumptions!$C$47*(1+Assumptions!$C$48)^(AD3-1),0)</f>
        <v>0</v>
      </c>
      <c r="AE37" s="56">
        <f>IFERROR(Assumptions!$C$47*(1+Assumptions!$C$48)^(AE3-1),0)</f>
        <v>0</v>
      </c>
      <c r="AF37" s="56">
        <f>IFERROR(Assumptions!$C$47*(1+Assumptions!$C$48)^(AF3-1),0)</f>
        <v>0</v>
      </c>
      <c r="AG37" s="56">
        <f>IFERROR(Assumptions!$C$47*(1+Assumptions!$C$48)^(AG3-1),0)</f>
        <v>0</v>
      </c>
      <c r="AH37" s="56">
        <f>IFERROR(Assumptions!$C$47*(1+Assumptions!$C$48)^(AH3-1),0)</f>
        <v>0</v>
      </c>
      <c r="AI37" s="56">
        <f>IFERROR(Assumptions!$C$47*(1+Assumptions!$C$48)^(AI3-1),0)</f>
        <v>0</v>
      </c>
      <c r="AJ37" s="56">
        <f>IFERROR(Assumptions!$C$47*(1+Assumptions!$C$48)^(AJ3-1),0)</f>
        <v>0</v>
      </c>
      <c r="AK37" s="56">
        <f>IFERROR(Assumptions!$C$47*(1+Assumptions!$C$48)^(AK3-1),0)</f>
        <v>0</v>
      </c>
      <c r="AL37" s="56">
        <f>IFERROR(Assumptions!$C$47*(1+Assumptions!$C$48)^(AL3-1),0)</f>
        <v>0</v>
      </c>
      <c r="AM37" s="56">
        <f>IFERROR(Assumptions!$C$47*(1+Assumptions!$C$48)^(AM3-1),0)</f>
        <v>0</v>
      </c>
      <c r="AN37" s="56">
        <f>IFERROR(Assumptions!$C$47*(1+Assumptions!$C$48)^(AN3-1),0)</f>
        <v>0</v>
      </c>
      <c r="AO37" s="56">
        <f>IFERROR(Assumptions!$C$47*(1+Assumptions!$C$48)^(AO3-1),0)</f>
        <v>0</v>
      </c>
      <c r="AP37" s="56">
        <f>IFERROR(Assumptions!$C$47*(1+Assumptions!$C$48)^(AP3-1),0)</f>
        <v>0</v>
      </c>
      <c r="AQ37" s="56">
        <f>IFERROR(Assumptions!$C$47*(1+Assumptions!$C$48)^(AQ3-1),0)</f>
        <v>0</v>
      </c>
      <c r="AR37" s="56">
        <f>IFERROR(Assumptions!$C$47*(1+Assumptions!$C$48)^(AR3-1),0)</f>
        <v>0</v>
      </c>
      <c r="AS37" s="56">
        <f>IFERROR(Assumptions!$C$47*(1+Assumptions!$C$48)^(AS3-1),0)</f>
        <v>0</v>
      </c>
      <c r="AT37" s="56">
        <f>IFERROR(Assumptions!$C$47*(1+Assumptions!$C$48)^(AT3-1),0)</f>
        <v>0</v>
      </c>
      <c r="AU37" s="56">
        <f>IFERROR(Assumptions!$C$47*(1+Assumptions!$C$48)^(AU3-1),0)</f>
        <v>0</v>
      </c>
      <c r="AV37" s="56">
        <f>IFERROR(Assumptions!$C$47*(1+Assumptions!$C$48)^(AV3-1),0)</f>
        <v>0</v>
      </c>
      <c r="AW37" s="56">
        <f>IFERROR(Assumptions!$C$47*(1+Assumptions!$C$48)^(AW3-1),0)</f>
        <v>0</v>
      </c>
      <c r="AX37" s="56">
        <f>IFERROR(Assumptions!$C$47*(1+Assumptions!$C$48)^(AX3-1),0)</f>
        <v>0</v>
      </c>
      <c r="AY37" s="56">
        <f>IFERROR(Assumptions!$C$47*(1+Assumptions!$C$48)^(AY3-1),0)</f>
        <v>0</v>
      </c>
      <c r="AZ37" s="56">
        <f>IFERROR(Assumptions!$C$47*(1+Assumptions!$C$48)^(AZ3-1),0)</f>
        <v>0</v>
      </c>
      <c r="BA37" s="56">
        <f>IFERROR(Assumptions!$C$47*(1+Assumptions!$C$48)^(BA3-1),0)</f>
        <v>0</v>
      </c>
      <c r="BB37" s="56">
        <f>IFERROR(Assumptions!$C$47*(1+Assumptions!$C$48)^(BB3-1),0)</f>
        <v>0</v>
      </c>
      <c r="BC37" s="56">
        <f>IFERROR(Assumptions!$C$47*(1+Assumptions!$C$48)^(BC3-1),0)</f>
        <v>0</v>
      </c>
      <c r="BD37" s="56">
        <f>IFERROR(Assumptions!$C$47*(1+Assumptions!$C$48)^(BD3-1),0)</f>
        <v>0</v>
      </c>
      <c r="BE37" s="56">
        <f>IFERROR(Assumptions!$C$47*(1+Assumptions!$C$48)^(BE3-1),0)</f>
        <v>0</v>
      </c>
      <c r="BF37" s="56">
        <f>IFERROR(Assumptions!$C$47*(1+Assumptions!$C$48)^(BF3-1),0)</f>
        <v>0</v>
      </c>
      <c r="BG37" s="56">
        <f>IFERROR(Assumptions!$C$47*(1+Assumptions!$C$48)^(BG3-1),0)</f>
        <v>0</v>
      </c>
      <c r="BH37" s="56">
        <f>IFERROR(Assumptions!$C$47*(1+Assumptions!$C$48)^(BH3-1),0)</f>
        <v>0</v>
      </c>
      <c r="BI37" s="56">
        <f>IFERROR(Assumptions!$C$47*(1+Assumptions!$C$48)^(BI3-1),0)</f>
        <v>0</v>
      </c>
    </row>
    <row r="38" spans="1:61" x14ac:dyDescent="0.25">
      <c r="A38" s="53" t="s">
        <v>241</v>
      </c>
      <c r="B38" s="57">
        <f t="shared" ref="B38:AG38" si="20">SUM(B33:B37)</f>
        <v>0</v>
      </c>
      <c r="C38" s="57">
        <f t="shared" si="20"/>
        <v>0</v>
      </c>
      <c r="D38" s="57">
        <f t="shared" si="20"/>
        <v>0</v>
      </c>
      <c r="E38" s="57">
        <f t="shared" si="20"/>
        <v>0</v>
      </c>
      <c r="F38" s="57">
        <f t="shared" si="20"/>
        <v>0</v>
      </c>
      <c r="G38" s="57">
        <f t="shared" si="20"/>
        <v>0</v>
      </c>
      <c r="H38" s="57">
        <f t="shared" si="20"/>
        <v>0</v>
      </c>
      <c r="I38" s="57">
        <f t="shared" si="20"/>
        <v>0</v>
      </c>
      <c r="J38" s="57">
        <f t="shared" si="20"/>
        <v>0</v>
      </c>
      <c r="K38" s="57">
        <f t="shared" si="20"/>
        <v>0</v>
      </c>
      <c r="L38" s="57">
        <f t="shared" si="20"/>
        <v>0</v>
      </c>
      <c r="M38" s="57">
        <f t="shared" si="20"/>
        <v>0</v>
      </c>
      <c r="N38" s="57">
        <f t="shared" si="20"/>
        <v>0</v>
      </c>
      <c r="O38" s="57">
        <f t="shared" si="20"/>
        <v>0</v>
      </c>
      <c r="P38" s="57">
        <f t="shared" si="20"/>
        <v>0</v>
      </c>
      <c r="Q38" s="57">
        <f t="shared" si="20"/>
        <v>0</v>
      </c>
      <c r="R38" s="57">
        <f t="shared" si="20"/>
        <v>0</v>
      </c>
      <c r="S38" s="57">
        <f t="shared" si="20"/>
        <v>0</v>
      </c>
      <c r="T38" s="57">
        <f t="shared" si="20"/>
        <v>0</v>
      </c>
      <c r="U38" s="57">
        <f t="shared" si="20"/>
        <v>0</v>
      </c>
      <c r="V38" s="57">
        <f t="shared" si="20"/>
        <v>0</v>
      </c>
      <c r="W38" s="57">
        <f t="shared" si="20"/>
        <v>0</v>
      </c>
      <c r="X38" s="57">
        <f t="shared" si="20"/>
        <v>0</v>
      </c>
      <c r="Y38" s="57">
        <f t="shared" si="20"/>
        <v>0</v>
      </c>
      <c r="Z38" s="57">
        <f t="shared" si="20"/>
        <v>0</v>
      </c>
      <c r="AA38" s="57">
        <f t="shared" si="20"/>
        <v>0</v>
      </c>
      <c r="AB38" s="57">
        <f t="shared" si="20"/>
        <v>0</v>
      </c>
      <c r="AC38" s="57">
        <f t="shared" si="20"/>
        <v>0</v>
      </c>
      <c r="AD38" s="57">
        <f t="shared" si="20"/>
        <v>0</v>
      </c>
      <c r="AE38" s="57">
        <f t="shared" si="20"/>
        <v>0</v>
      </c>
      <c r="AF38" s="57">
        <f t="shared" si="20"/>
        <v>0</v>
      </c>
      <c r="AG38" s="57">
        <f t="shared" si="20"/>
        <v>0</v>
      </c>
      <c r="AH38" s="57">
        <f t="shared" ref="AH38:BM38" si="21">SUM(AH33:AH37)</f>
        <v>0</v>
      </c>
      <c r="AI38" s="57">
        <f t="shared" si="21"/>
        <v>0</v>
      </c>
      <c r="AJ38" s="57">
        <f t="shared" si="21"/>
        <v>0</v>
      </c>
      <c r="AK38" s="57">
        <f t="shared" si="21"/>
        <v>0</v>
      </c>
      <c r="AL38" s="57">
        <f t="shared" si="21"/>
        <v>0</v>
      </c>
      <c r="AM38" s="57">
        <f t="shared" si="21"/>
        <v>0</v>
      </c>
      <c r="AN38" s="57">
        <f t="shared" si="21"/>
        <v>0</v>
      </c>
      <c r="AO38" s="57">
        <f t="shared" si="21"/>
        <v>0</v>
      </c>
      <c r="AP38" s="57">
        <f t="shared" si="21"/>
        <v>0</v>
      </c>
      <c r="AQ38" s="57">
        <f t="shared" si="21"/>
        <v>0</v>
      </c>
      <c r="AR38" s="57">
        <f t="shared" si="21"/>
        <v>0</v>
      </c>
      <c r="AS38" s="57">
        <f t="shared" si="21"/>
        <v>0</v>
      </c>
      <c r="AT38" s="57">
        <f t="shared" si="21"/>
        <v>0</v>
      </c>
      <c r="AU38" s="57">
        <f t="shared" si="21"/>
        <v>0</v>
      </c>
      <c r="AV38" s="57">
        <f t="shared" si="21"/>
        <v>0</v>
      </c>
      <c r="AW38" s="57">
        <f t="shared" si="21"/>
        <v>0</v>
      </c>
      <c r="AX38" s="57">
        <f t="shared" si="21"/>
        <v>0</v>
      </c>
      <c r="AY38" s="57">
        <f t="shared" si="21"/>
        <v>0</v>
      </c>
      <c r="AZ38" s="57">
        <f t="shared" si="21"/>
        <v>0</v>
      </c>
      <c r="BA38" s="57">
        <f t="shared" si="21"/>
        <v>0</v>
      </c>
      <c r="BB38" s="57">
        <f t="shared" si="21"/>
        <v>0</v>
      </c>
      <c r="BC38" s="57">
        <f t="shared" si="21"/>
        <v>0</v>
      </c>
      <c r="BD38" s="57">
        <f t="shared" si="21"/>
        <v>0</v>
      </c>
      <c r="BE38" s="57">
        <f t="shared" si="21"/>
        <v>0</v>
      </c>
      <c r="BF38" s="57">
        <f t="shared" si="21"/>
        <v>0</v>
      </c>
      <c r="BG38" s="57">
        <f t="shared" si="21"/>
        <v>0</v>
      </c>
      <c r="BH38" s="57">
        <f t="shared" si="21"/>
        <v>0</v>
      </c>
      <c r="BI38" s="57">
        <f t="shared" si="21"/>
        <v>0</v>
      </c>
    </row>
    <row r="40" spans="1:61" x14ac:dyDescent="0.25">
      <c r="A40" s="59" t="s">
        <v>242</v>
      </c>
      <c r="B40" s="60">
        <f t="shared" ref="B40:AG40" si="22">B29-B38</f>
        <v>0</v>
      </c>
      <c r="C40" s="60">
        <f t="shared" si="22"/>
        <v>0</v>
      </c>
      <c r="D40" s="60">
        <f t="shared" si="22"/>
        <v>0</v>
      </c>
      <c r="E40" s="60">
        <f t="shared" si="22"/>
        <v>0</v>
      </c>
      <c r="F40" s="60">
        <f t="shared" si="22"/>
        <v>0</v>
      </c>
      <c r="G40" s="60">
        <f t="shared" si="22"/>
        <v>0</v>
      </c>
      <c r="H40" s="60">
        <f t="shared" si="22"/>
        <v>0</v>
      </c>
      <c r="I40" s="60">
        <f t="shared" si="22"/>
        <v>0</v>
      </c>
      <c r="J40" s="60">
        <f t="shared" si="22"/>
        <v>0</v>
      </c>
      <c r="K40" s="60">
        <f t="shared" si="22"/>
        <v>0</v>
      </c>
      <c r="L40" s="60">
        <f t="shared" si="22"/>
        <v>0</v>
      </c>
      <c r="M40" s="60">
        <f t="shared" si="22"/>
        <v>0</v>
      </c>
      <c r="N40" s="60">
        <f t="shared" si="22"/>
        <v>0</v>
      </c>
      <c r="O40" s="60">
        <f t="shared" si="22"/>
        <v>0</v>
      </c>
      <c r="P40" s="60">
        <f t="shared" si="22"/>
        <v>0</v>
      </c>
      <c r="Q40" s="60">
        <f t="shared" si="22"/>
        <v>0</v>
      </c>
      <c r="R40" s="60">
        <f t="shared" si="22"/>
        <v>0</v>
      </c>
      <c r="S40" s="60">
        <f t="shared" si="22"/>
        <v>0</v>
      </c>
      <c r="T40" s="60">
        <f t="shared" si="22"/>
        <v>0</v>
      </c>
      <c r="U40" s="60">
        <f t="shared" si="22"/>
        <v>0</v>
      </c>
      <c r="V40" s="60">
        <f t="shared" si="22"/>
        <v>0</v>
      </c>
      <c r="W40" s="60">
        <f t="shared" si="22"/>
        <v>0</v>
      </c>
      <c r="X40" s="60">
        <f t="shared" si="22"/>
        <v>0</v>
      </c>
      <c r="Y40" s="60">
        <f t="shared" si="22"/>
        <v>0</v>
      </c>
      <c r="Z40" s="60">
        <f t="shared" si="22"/>
        <v>0</v>
      </c>
      <c r="AA40" s="60">
        <f t="shared" si="22"/>
        <v>0</v>
      </c>
      <c r="AB40" s="60">
        <f t="shared" si="22"/>
        <v>0</v>
      </c>
      <c r="AC40" s="60">
        <f t="shared" si="22"/>
        <v>0</v>
      </c>
      <c r="AD40" s="60">
        <f t="shared" si="22"/>
        <v>0</v>
      </c>
      <c r="AE40" s="60">
        <f t="shared" si="22"/>
        <v>0</v>
      </c>
      <c r="AF40" s="60">
        <f t="shared" si="22"/>
        <v>0</v>
      </c>
      <c r="AG40" s="60">
        <f t="shared" si="22"/>
        <v>0</v>
      </c>
      <c r="AH40" s="60">
        <f t="shared" ref="AH40:BI40" si="23">AH29-AH38</f>
        <v>0</v>
      </c>
      <c r="AI40" s="60">
        <f t="shared" si="23"/>
        <v>0</v>
      </c>
      <c r="AJ40" s="60">
        <f t="shared" si="23"/>
        <v>0</v>
      </c>
      <c r="AK40" s="60">
        <f t="shared" si="23"/>
        <v>0</v>
      </c>
      <c r="AL40" s="60">
        <f t="shared" si="23"/>
        <v>0</v>
      </c>
      <c r="AM40" s="60">
        <f t="shared" si="23"/>
        <v>0</v>
      </c>
      <c r="AN40" s="60">
        <f t="shared" si="23"/>
        <v>0</v>
      </c>
      <c r="AO40" s="60">
        <f t="shared" si="23"/>
        <v>0</v>
      </c>
      <c r="AP40" s="60">
        <f t="shared" si="23"/>
        <v>0</v>
      </c>
      <c r="AQ40" s="60">
        <f t="shared" si="23"/>
        <v>0</v>
      </c>
      <c r="AR40" s="60">
        <f t="shared" si="23"/>
        <v>0</v>
      </c>
      <c r="AS40" s="60">
        <f t="shared" si="23"/>
        <v>0</v>
      </c>
      <c r="AT40" s="60">
        <f t="shared" si="23"/>
        <v>0</v>
      </c>
      <c r="AU40" s="60">
        <f t="shared" si="23"/>
        <v>0</v>
      </c>
      <c r="AV40" s="60">
        <f t="shared" si="23"/>
        <v>0</v>
      </c>
      <c r="AW40" s="60">
        <f t="shared" si="23"/>
        <v>0</v>
      </c>
      <c r="AX40" s="60">
        <f t="shared" si="23"/>
        <v>0</v>
      </c>
      <c r="AY40" s="60">
        <f t="shared" si="23"/>
        <v>0</v>
      </c>
      <c r="AZ40" s="60">
        <f t="shared" si="23"/>
        <v>0</v>
      </c>
      <c r="BA40" s="60">
        <f t="shared" si="23"/>
        <v>0</v>
      </c>
      <c r="BB40" s="60">
        <f t="shared" si="23"/>
        <v>0</v>
      </c>
      <c r="BC40" s="60">
        <f t="shared" si="23"/>
        <v>0</v>
      </c>
      <c r="BD40" s="60">
        <f t="shared" si="23"/>
        <v>0</v>
      </c>
      <c r="BE40" s="60">
        <f t="shared" si="23"/>
        <v>0</v>
      </c>
      <c r="BF40" s="60">
        <f t="shared" si="23"/>
        <v>0</v>
      </c>
      <c r="BG40" s="60">
        <f t="shared" si="23"/>
        <v>0</v>
      </c>
      <c r="BH40" s="60">
        <f t="shared" si="23"/>
        <v>0</v>
      </c>
      <c r="BI40" s="60">
        <f t="shared" si="23"/>
        <v>0</v>
      </c>
    </row>
    <row r="41" spans="1:61" x14ac:dyDescent="0.25">
      <c r="A41" s="50" t="s">
        <v>243</v>
      </c>
      <c r="B41" s="51">
        <f t="shared" ref="B41:AG41" si="24">IFERROR(IF(B20=0,0,B40/B20),0)</f>
        <v>0</v>
      </c>
      <c r="C41" s="51">
        <f t="shared" si="24"/>
        <v>0</v>
      </c>
      <c r="D41" s="51">
        <f t="shared" si="24"/>
        <v>0</v>
      </c>
      <c r="E41" s="51">
        <f t="shared" si="24"/>
        <v>0</v>
      </c>
      <c r="F41" s="51">
        <f t="shared" si="24"/>
        <v>0</v>
      </c>
      <c r="G41" s="51">
        <f t="shared" si="24"/>
        <v>0</v>
      </c>
      <c r="H41" s="51">
        <f t="shared" si="24"/>
        <v>0</v>
      </c>
      <c r="I41" s="51">
        <f t="shared" si="24"/>
        <v>0</v>
      </c>
      <c r="J41" s="51">
        <f t="shared" si="24"/>
        <v>0</v>
      </c>
      <c r="K41" s="51">
        <f t="shared" si="24"/>
        <v>0</v>
      </c>
      <c r="L41" s="51">
        <f t="shared" si="24"/>
        <v>0</v>
      </c>
      <c r="M41" s="51">
        <f t="shared" si="24"/>
        <v>0</v>
      </c>
      <c r="N41" s="51">
        <f t="shared" si="24"/>
        <v>0</v>
      </c>
      <c r="O41" s="51">
        <f t="shared" si="24"/>
        <v>0</v>
      </c>
      <c r="P41" s="51">
        <f t="shared" si="24"/>
        <v>0</v>
      </c>
      <c r="Q41" s="51">
        <f t="shared" si="24"/>
        <v>0</v>
      </c>
      <c r="R41" s="51">
        <f t="shared" si="24"/>
        <v>0</v>
      </c>
      <c r="S41" s="51">
        <f t="shared" si="24"/>
        <v>0</v>
      </c>
      <c r="T41" s="51">
        <f t="shared" si="24"/>
        <v>0</v>
      </c>
      <c r="U41" s="51">
        <f t="shared" si="24"/>
        <v>0</v>
      </c>
      <c r="V41" s="51">
        <f t="shared" si="24"/>
        <v>0</v>
      </c>
      <c r="W41" s="51">
        <f t="shared" si="24"/>
        <v>0</v>
      </c>
      <c r="X41" s="51">
        <f t="shared" si="24"/>
        <v>0</v>
      </c>
      <c r="Y41" s="51">
        <f t="shared" si="24"/>
        <v>0</v>
      </c>
      <c r="Z41" s="51">
        <f t="shared" si="24"/>
        <v>0</v>
      </c>
      <c r="AA41" s="51">
        <f t="shared" si="24"/>
        <v>0</v>
      </c>
      <c r="AB41" s="51">
        <f t="shared" si="24"/>
        <v>0</v>
      </c>
      <c r="AC41" s="51">
        <f t="shared" si="24"/>
        <v>0</v>
      </c>
      <c r="AD41" s="51">
        <f t="shared" si="24"/>
        <v>0</v>
      </c>
      <c r="AE41" s="51">
        <f t="shared" si="24"/>
        <v>0</v>
      </c>
      <c r="AF41" s="51">
        <f t="shared" si="24"/>
        <v>0</v>
      </c>
      <c r="AG41" s="51">
        <f t="shared" si="24"/>
        <v>0</v>
      </c>
      <c r="AH41" s="51">
        <f t="shared" ref="AH41:BM41" si="25">IFERROR(IF(AH20=0,0,AH40/AH20),0)</f>
        <v>0</v>
      </c>
      <c r="AI41" s="51">
        <f t="shared" si="25"/>
        <v>0</v>
      </c>
      <c r="AJ41" s="51">
        <f t="shared" si="25"/>
        <v>0</v>
      </c>
      <c r="AK41" s="51">
        <f t="shared" si="25"/>
        <v>0</v>
      </c>
      <c r="AL41" s="51">
        <f t="shared" si="25"/>
        <v>0</v>
      </c>
      <c r="AM41" s="51">
        <f t="shared" si="25"/>
        <v>0</v>
      </c>
      <c r="AN41" s="51">
        <f t="shared" si="25"/>
        <v>0</v>
      </c>
      <c r="AO41" s="51">
        <f t="shared" si="25"/>
        <v>0</v>
      </c>
      <c r="AP41" s="51">
        <f t="shared" si="25"/>
        <v>0</v>
      </c>
      <c r="AQ41" s="51">
        <f t="shared" si="25"/>
        <v>0</v>
      </c>
      <c r="AR41" s="51">
        <f t="shared" si="25"/>
        <v>0</v>
      </c>
      <c r="AS41" s="51">
        <f t="shared" si="25"/>
        <v>0</v>
      </c>
      <c r="AT41" s="51">
        <f t="shared" si="25"/>
        <v>0</v>
      </c>
      <c r="AU41" s="51">
        <f t="shared" si="25"/>
        <v>0</v>
      </c>
      <c r="AV41" s="51">
        <f t="shared" si="25"/>
        <v>0</v>
      </c>
      <c r="AW41" s="51">
        <f t="shared" si="25"/>
        <v>0</v>
      </c>
      <c r="AX41" s="51">
        <f t="shared" si="25"/>
        <v>0</v>
      </c>
      <c r="AY41" s="51">
        <f t="shared" si="25"/>
        <v>0</v>
      </c>
      <c r="AZ41" s="51">
        <f t="shared" si="25"/>
        <v>0</v>
      </c>
      <c r="BA41" s="51">
        <f t="shared" si="25"/>
        <v>0</v>
      </c>
      <c r="BB41" s="51">
        <f t="shared" si="25"/>
        <v>0</v>
      </c>
      <c r="BC41" s="51">
        <f t="shared" si="25"/>
        <v>0</v>
      </c>
      <c r="BD41" s="51">
        <f t="shared" si="25"/>
        <v>0</v>
      </c>
      <c r="BE41" s="51">
        <f t="shared" si="25"/>
        <v>0</v>
      </c>
      <c r="BF41" s="51">
        <f t="shared" si="25"/>
        <v>0</v>
      </c>
      <c r="BG41" s="51">
        <f t="shared" si="25"/>
        <v>0</v>
      </c>
      <c r="BH41" s="51">
        <f t="shared" si="25"/>
        <v>0</v>
      </c>
      <c r="BI41" s="51">
        <f t="shared" si="25"/>
        <v>0</v>
      </c>
    </row>
    <row r="42" spans="1:61" x14ac:dyDescent="0.25">
      <c r="A42" s="50" t="s">
        <v>244</v>
      </c>
      <c r="B42" s="58">
        <f>IF(B4&lt;Assumptions!$C$6,0,'Fixed Assets'!$C$11)</f>
        <v>0</v>
      </c>
      <c r="C42" s="58">
        <f>IF(C4&lt;Assumptions!$C$6,0,'Fixed Assets'!$C$11)</f>
        <v>0</v>
      </c>
      <c r="D42" s="58">
        <f>IF(D4&lt;Assumptions!$C$6,0,'Fixed Assets'!$C$11)</f>
        <v>0</v>
      </c>
      <c r="E42" s="58">
        <f>IF(E4&lt;Assumptions!$C$6,0,'Fixed Assets'!$C$11)</f>
        <v>0</v>
      </c>
      <c r="F42" s="58">
        <f>IF(F4&lt;Assumptions!$C$6,0,'Fixed Assets'!$C$11)</f>
        <v>0</v>
      </c>
      <c r="G42" s="58">
        <f>IF(G4&lt;Assumptions!$C$6,0,'Fixed Assets'!$C$11)</f>
        <v>0</v>
      </c>
      <c r="H42" s="58">
        <f>IF(H4&lt;Assumptions!$C$6,0,'Fixed Assets'!$C$11)</f>
        <v>0</v>
      </c>
      <c r="I42" s="58">
        <f>IF(I4&lt;Assumptions!$C$6,0,'Fixed Assets'!$C$11)</f>
        <v>0</v>
      </c>
      <c r="J42" s="58">
        <f>IF(J4&lt;Assumptions!$C$6,0,'Fixed Assets'!$C$11)</f>
        <v>0</v>
      </c>
      <c r="K42" s="58">
        <f>IF(K4&lt;Assumptions!$C$6,0,'Fixed Assets'!$C$11)</f>
        <v>0</v>
      </c>
      <c r="L42" s="58">
        <f>IF(L4&lt;Assumptions!$C$6,0,'Fixed Assets'!$C$11)</f>
        <v>0</v>
      </c>
      <c r="M42" s="58">
        <f>IF(M4&lt;Assumptions!$C$6,0,'Fixed Assets'!$C$11)</f>
        <v>0</v>
      </c>
      <c r="N42" s="58">
        <f>IF(N4&lt;Assumptions!$C$6,0,'Fixed Assets'!$C$11)</f>
        <v>0</v>
      </c>
      <c r="O42" s="58">
        <f>IF(O4&lt;Assumptions!$C$6,0,'Fixed Assets'!$C$11)</f>
        <v>0</v>
      </c>
      <c r="P42" s="58">
        <f>IF(P4&lt;Assumptions!$C$6,0,'Fixed Assets'!$C$11)</f>
        <v>0</v>
      </c>
      <c r="Q42" s="58">
        <f>IF(Q4&lt;Assumptions!$C$6,0,'Fixed Assets'!$C$11)</f>
        <v>0</v>
      </c>
      <c r="R42" s="58">
        <f>IF(R4&lt;Assumptions!$C$6,0,'Fixed Assets'!$C$11)</f>
        <v>0</v>
      </c>
      <c r="S42" s="58">
        <f>IF(S4&lt;Assumptions!$C$6,0,'Fixed Assets'!$C$11)</f>
        <v>0</v>
      </c>
      <c r="T42" s="58">
        <f>IF(T4&lt;Assumptions!$C$6,0,'Fixed Assets'!$C$11)</f>
        <v>0</v>
      </c>
      <c r="U42" s="58">
        <f>IF(U4&lt;Assumptions!$C$6,0,'Fixed Assets'!$C$11)</f>
        <v>0</v>
      </c>
      <c r="V42" s="58">
        <f>IF(V4&lt;Assumptions!$C$6,0,'Fixed Assets'!$C$11)</f>
        <v>0</v>
      </c>
      <c r="W42" s="58">
        <f>IF(W4&lt;Assumptions!$C$6,0,'Fixed Assets'!$C$11)</f>
        <v>0</v>
      </c>
      <c r="X42" s="58">
        <f>IF(X4&lt;Assumptions!$C$6,0,'Fixed Assets'!$C$11)</f>
        <v>0</v>
      </c>
      <c r="Y42" s="58">
        <f>IF(Y4&lt;Assumptions!$C$6,0,'Fixed Assets'!$C$11)</f>
        <v>0</v>
      </c>
      <c r="Z42" s="58">
        <f>IF(Z4&lt;Assumptions!$C$6,0,'Fixed Assets'!$C$11)</f>
        <v>0</v>
      </c>
      <c r="AA42" s="58">
        <f>IF(AA4&lt;Assumptions!$C$6,0,'Fixed Assets'!$C$11)</f>
        <v>0</v>
      </c>
      <c r="AB42" s="58">
        <f>IF(AB4&lt;Assumptions!$C$6,0,'Fixed Assets'!$C$11)</f>
        <v>0</v>
      </c>
      <c r="AC42" s="58">
        <f>IF(AC4&lt;Assumptions!$C$6,0,'Fixed Assets'!$C$11)</f>
        <v>0</v>
      </c>
      <c r="AD42" s="58">
        <f>IF(AD4&lt;Assumptions!$C$6,0,'Fixed Assets'!$C$11)</f>
        <v>0</v>
      </c>
      <c r="AE42" s="58">
        <f>IF(AE4&lt;Assumptions!$C$6,0,'Fixed Assets'!$C$11)</f>
        <v>0</v>
      </c>
      <c r="AF42" s="58">
        <f>IF(AF4&lt;Assumptions!$C$6,0,'Fixed Assets'!$C$11)</f>
        <v>0</v>
      </c>
      <c r="AG42" s="58">
        <f>IF(AG4&lt;Assumptions!$C$6,0,'Fixed Assets'!$C$11)</f>
        <v>0</v>
      </c>
      <c r="AH42" s="58">
        <f>IF(AH4&lt;Assumptions!$C$6,0,'Fixed Assets'!$C$11)</f>
        <v>0</v>
      </c>
      <c r="AI42" s="58">
        <f>IF(AI4&lt;Assumptions!$C$6,0,'Fixed Assets'!$C$11)</f>
        <v>0</v>
      </c>
      <c r="AJ42" s="58">
        <f>IF(AJ4&lt;Assumptions!$C$6,0,'Fixed Assets'!$C$11)</f>
        <v>0</v>
      </c>
      <c r="AK42" s="58">
        <f>IF(AK4&lt;Assumptions!$C$6,0,'Fixed Assets'!$C$11)</f>
        <v>0</v>
      </c>
      <c r="AL42" s="58">
        <f>IF(AL4&lt;Assumptions!$C$6,0,'Fixed Assets'!$C$11)</f>
        <v>0</v>
      </c>
      <c r="AM42" s="58">
        <f>IF(AM4&lt;Assumptions!$C$6,0,'Fixed Assets'!$C$11)</f>
        <v>0</v>
      </c>
      <c r="AN42" s="58">
        <f>IF(AN4&lt;Assumptions!$C$6,0,'Fixed Assets'!$C$11)</f>
        <v>0</v>
      </c>
      <c r="AO42" s="58">
        <f>IF(AO4&lt;Assumptions!$C$6,0,'Fixed Assets'!$C$11)</f>
        <v>0</v>
      </c>
      <c r="AP42" s="58">
        <f>IF(AP4&lt;Assumptions!$C$6,0,'Fixed Assets'!$C$11)</f>
        <v>0</v>
      </c>
      <c r="AQ42" s="58">
        <f>IF(AQ4&lt;Assumptions!$C$6,0,'Fixed Assets'!$C$11)</f>
        <v>0</v>
      </c>
      <c r="AR42" s="58">
        <f>IF(AR4&lt;Assumptions!$C$6,0,'Fixed Assets'!$C$11)</f>
        <v>0</v>
      </c>
      <c r="AS42" s="58">
        <f>IF(AS4&lt;Assumptions!$C$6,0,'Fixed Assets'!$C$11)</f>
        <v>0</v>
      </c>
      <c r="AT42" s="58">
        <f>IF(AT4&lt;Assumptions!$C$6,0,'Fixed Assets'!$C$11)</f>
        <v>0</v>
      </c>
      <c r="AU42" s="58">
        <f>IF(AU4&lt;Assumptions!$C$6,0,'Fixed Assets'!$C$11)</f>
        <v>0</v>
      </c>
      <c r="AV42" s="58">
        <f>IF(AV4&lt;Assumptions!$C$6,0,'Fixed Assets'!$C$11)</f>
        <v>0</v>
      </c>
      <c r="AW42" s="58">
        <f>IF(AW4&lt;Assumptions!$C$6,0,'Fixed Assets'!$C$11)</f>
        <v>0</v>
      </c>
      <c r="AX42" s="58">
        <f>IF(AX4&lt;Assumptions!$C$6,0,'Fixed Assets'!$C$11)</f>
        <v>0</v>
      </c>
      <c r="AY42" s="58">
        <f>IF(AY4&lt;Assumptions!$C$6,0,'Fixed Assets'!$C$11)</f>
        <v>0</v>
      </c>
      <c r="AZ42" s="58">
        <f>IF(AZ4&lt;Assumptions!$C$6,0,'Fixed Assets'!$C$11)</f>
        <v>0</v>
      </c>
      <c r="BA42" s="58">
        <f>IF(BA4&lt;Assumptions!$C$6,0,'Fixed Assets'!$C$11)</f>
        <v>0</v>
      </c>
      <c r="BB42" s="58">
        <f>IF(BB4&lt;Assumptions!$C$6,0,'Fixed Assets'!$C$11)</f>
        <v>0</v>
      </c>
      <c r="BC42" s="58">
        <f>IF(BC4&lt;Assumptions!$C$6,0,'Fixed Assets'!$C$11)</f>
        <v>0</v>
      </c>
      <c r="BD42" s="58">
        <f>IF(BD4&lt;Assumptions!$C$6,0,'Fixed Assets'!$C$11)</f>
        <v>0</v>
      </c>
      <c r="BE42" s="58">
        <f>IF(BE4&lt;Assumptions!$C$6,0,'Fixed Assets'!$C$11)</f>
        <v>0</v>
      </c>
      <c r="BF42" s="58">
        <f>IF(BF4&lt;Assumptions!$C$6,0,'Fixed Assets'!$C$11)</f>
        <v>0</v>
      </c>
      <c r="BG42" s="58">
        <f>IF(BG4&lt;Assumptions!$C$6,0,'Fixed Assets'!$C$11)</f>
        <v>0</v>
      </c>
      <c r="BH42" s="58">
        <f>IF(BH4&lt;Assumptions!$C$6,0,'Fixed Assets'!$C$11)</f>
        <v>0</v>
      </c>
      <c r="BI42" s="58">
        <f>IF(BI4&lt;Assumptions!$C$6,0,'Fixed Assets'!$C$11)</f>
        <v>0</v>
      </c>
    </row>
    <row r="43" spans="1:61" x14ac:dyDescent="0.25">
      <c r="A43" s="53" t="s">
        <v>245</v>
      </c>
      <c r="B43" s="57">
        <f t="shared" ref="B43:AG43" si="26">B40-B42</f>
        <v>0</v>
      </c>
      <c r="C43" s="57">
        <f t="shared" si="26"/>
        <v>0</v>
      </c>
      <c r="D43" s="57">
        <f t="shared" si="26"/>
        <v>0</v>
      </c>
      <c r="E43" s="57">
        <f t="shared" si="26"/>
        <v>0</v>
      </c>
      <c r="F43" s="57">
        <f t="shared" si="26"/>
        <v>0</v>
      </c>
      <c r="G43" s="57">
        <f t="shared" si="26"/>
        <v>0</v>
      </c>
      <c r="H43" s="57">
        <f t="shared" si="26"/>
        <v>0</v>
      </c>
      <c r="I43" s="57">
        <f t="shared" si="26"/>
        <v>0</v>
      </c>
      <c r="J43" s="57">
        <f t="shared" si="26"/>
        <v>0</v>
      </c>
      <c r="K43" s="57">
        <f t="shared" si="26"/>
        <v>0</v>
      </c>
      <c r="L43" s="57">
        <f t="shared" si="26"/>
        <v>0</v>
      </c>
      <c r="M43" s="57">
        <f t="shared" si="26"/>
        <v>0</v>
      </c>
      <c r="N43" s="57">
        <f t="shared" si="26"/>
        <v>0</v>
      </c>
      <c r="O43" s="57">
        <f t="shared" si="26"/>
        <v>0</v>
      </c>
      <c r="P43" s="57">
        <f t="shared" si="26"/>
        <v>0</v>
      </c>
      <c r="Q43" s="57">
        <f t="shared" si="26"/>
        <v>0</v>
      </c>
      <c r="R43" s="57">
        <f t="shared" si="26"/>
        <v>0</v>
      </c>
      <c r="S43" s="57">
        <f t="shared" si="26"/>
        <v>0</v>
      </c>
      <c r="T43" s="57">
        <f t="shared" si="26"/>
        <v>0</v>
      </c>
      <c r="U43" s="57">
        <f t="shared" si="26"/>
        <v>0</v>
      </c>
      <c r="V43" s="57">
        <f t="shared" si="26"/>
        <v>0</v>
      </c>
      <c r="W43" s="57">
        <f t="shared" si="26"/>
        <v>0</v>
      </c>
      <c r="X43" s="57">
        <f t="shared" si="26"/>
        <v>0</v>
      </c>
      <c r="Y43" s="57">
        <f t="shared" si="26"/>
        <v>0</v>
      </c>
      <c r="Z43" s="57">
        <f t="shared" si="26"/>
        <v>0</v>
      </c>
      <c r="AA43" s="57">
        <f t="shared" si="26"/>
        <v>0</v>
      </c>
      <c r="AB43" s="57">
        <f t="shared" si="26"/>
        <v>0</v>
      </c>
      <c r="AC43" s="57">
        <f t="shared" si="26"/>
        <v>0</v>
      </c>
      <c r="AD43" s="57">
        <f t="shared" si="26"/>
        <v>0</v>
      </c>
      <c r="AE43" s="57">
        <f t="shared" si="26"/>
        <v>0</v>
      </c>
      <c r="AF43" s="57">
        <f t="shared" si="26"/>
        <v>0</v>
      </c>
      <c r="AG43" s="57">
        <f t="shared" si="26"/>
        <v>0</v>
      </c>
      <c r="AH43" s="57">
        <f t="shared" ref="AH43:BM43" si="27">AH40-AH42</f>
        <v>0</v>
      </c>
      <c r="AI43" s="57">
        <f t="shared" si="27"/>
        <v>0</v>
      </c>
      <c r="AJ43" s="57">
        <f t="shared" si="27"/>
        <v>0</v>
      </c>
      <c r="AK43" s="57">
        <f t="shared" si="27"/>
        <v>0</v>
      </c>
      <c r="AL43" s="57">
        <f t="shared" si="27"/>
        <v>0</v>
      </c>
      <c r="AM43" s="57">
        <f t="shared" si="27"/>
        <v>0</v>
      </c>
      <c r="AN43" s="57">
        <f t="shared" si="27"/>
        <v>0</v>
      </c>
      <c r="AO43" s="57">
        <f t="shared" si="27"/>
        <v>0</v>
      </c>
      <c r="AP43" s="57">
        <f t="shared" si="27"/>
        <v>0</v>
      </c>
      <c r="AQ43" s="57">
        <f t="shared" si="27"/>
        <v>0</v>
      </c>
      <c r="AR43" s="57">
        <f t="shared" si="27"/>
        <v>0</v>
      </c>
      <c r="AS43" s="57">
        <f t="shared" si="27"/>
        <v>0</v>
      </c>
      <c r="AT43" s="57">
        <f t="shared" si="27"/>
        <v>0</v>
      </c>
      <c r="AU43" s="57">
        <f t="shared" si="27"/>
        <v>0</v>
      </c>
      <c r="AV43" s="57">
        <f t="shared" si="27"/>
        <v>0</v>
      </c>
      <c r="AW43" s="57">
        <f t="shared" si="27"/>
        <v>0</v>
      </c>
      <c r="AX43" s="57">
        <f t="shared" si="27"/>
        <v>0</v>
      </c>
      <c r="AY43" s="57">
        <f t="shared" si="27"/>
        <v>0</v>
      </c>
      <c r="AZ43" s="57">
        <f t="shared" si="27"/>
        <v>0</v>
      </c>
      <c r="BA43" s="57">
        <f t="shared" si="27"/>
        <v>0</v>
      </c>
      <c r="BB43" s="57">
        <f t="shared" si="27"/>
        <v>0</v>
      </c>
      <c r="BC43" s="57">
        <f t="shared" si="27"/>
        <v>0</v>
      </c>
      <c r="BD43" s="57">
        <f t="shared" si="27"/>
        <v>0</v>
      </c>
      <c r="BE43" s="57">
        <f t="shared" si="27"/>
        <v>0</v>
      </c>
      <c r="BF43" s="57">
        <f t="shared" si="27"/>
        <v>0</v>
      </c>
      <c r="BG43" s="57">
        <f t="shared" si="27"/>
        <v>0</v>
      </c>
      <c r="BH43" s="57">
        <f t="shared" si="27"/>
        <v>0</v>
      </c>
      <c r="BI43" s="57">
        <f t="shared" si="27"/>
        <v>0</v>
      </c>
    </row>
    <row r="44" spans="1:61" x14ac:dyDescent="0.25">
      <c r="A44" s="50" t="s">
        <v>246</v>
      </c>
      <c r="B44" s="58">
        <f>IFERROR(CHOOSE(B3,'Debt Schedule'!$D$5,'Debt Schedule'!$D$6,'Debt Schedule'!$D$7,'Debt Schedule'!$D$8,'Debt Schedule'!$D$9)/12,0)</f>
        <v>0</v>
      </c>
      <c r="C44" s="58">
        <f>IFERROR(CHOOSE(C3,'Debt Schedule'!$D$5,'Debt Schedule'!$D$6,'Debt Schedule'!$D$7,'Debt Schedule'!$D$8,'Debt Schedule'!$D$9)/12,0)</f>
        <v>0</v>
      </c>
      <c r="D44" s="58">
        <f>IFERROR(CHOOSE(D3,'Debt Schedule'!$D$5,'Debt Schedule'!$D$6,'Debt Schedule'!$D$7,'Debt Schedule'!$D$8,'Debt Schedule'!$D$9)/12,0)</f>
        <v>0</v>
      </c>
      <c r="E44" s="58">
        <f>IFERROR(CHOOSE(E3,'Debt Schedule'!$D$5,'Debt Schedule'!$D$6,'Debt Schedule'!$D$7,'Debt Schedule'!$D$8,'Debt Schedule'!$D$9)/12,0)</f>
        <v>0</v>
      </c>
      <c r="F44" s="58">
        <f>IFERROR(CHOOSE(F3,'Debt Schedule'!$D$5,'Debt Schedule'!$D$6,'Debt Schedule'!$D$7,'Debt Schedule'!$D$8,'Debt Schedule'!$D$9)/12,0)</f>
        <v>0</v>
      </c>
      <c r="G44" s="58">
        <f>IFERROR(CHOOSE(G3,'Debt Schedule'!$D$5,'Debt Schedule'!$D$6,'Debt Schedule'!$D$7,'Debt Schedule'!$D$8,'Debt Schedule'!$D$9)/12,0)</f>
        <v>0</v>
      </c>
      <c r="H44" s="58">
        <f>IFERROR(CHOOSE(H3,'Debt Schedule'!$D$5,'Debt Schedule'!$D$6,'Debt Schedule'!$D$7,'Debt Schedule'!$D$8,'Debt Schedule'!$D$9)/12,0)</f>
        <v>0</v>
      </c>
      <c r="I44" s="58">
        <f>IFERROR(CHOOSE(I3,'Debt Schedule'!$D$5,'Debt Schedule'!$D$6,'Debt Schedule'!$D$7,'Debt Schedule'!$D$8,'Debt Schedule'!$D$9)/12,0)</f>
        <v>0</v>
      </c>
      <c r="J44" s="58">
        <f>IFERROR(CHOOSE(J3,'Debt Schedule'!$D$5,'Debt Schedule'!$D$6,'Debt Schedule'!$D$7,'Debt Schedule'!$D$8,'Debt Schedule'!$D$9)/12,0)</f>
        <v>0</v>
      </c>
      <c r="K44" s="58">
        <f>IFERROR(CHOOSE(K3,'Debt Schedule'!$D$5,'Debt Schedule'!$D$6,'Debt Schedule'!$D$7,'Debt Schedule'!$D$8,'Debt Schedule'!$D$9)/12,0)</f>
        <v>0</v>
      </c>
      <c r="L44" s="58">
        <f>IFERROR(CHOOSE(L3,'Debt Schedule'!$D$5,'Debt Schedule'!$D$6,'Debt Schedule'!$D$7,'Debt Schedule'!$D$8,'Debt Schedule'!$D$9)/12,0)</f>
        <v>0</v>
      </c>
      <c r="M44" s="58">
        <f>IFERROR(CHOOSE(M3,'Debt Schedule'!$D$5,'Debt Schedule'!$D$6,'Debt Schedule'!$D$7,'Debt Schedule'!$D$8,'Debt Schedule'!$D$9)/12,0)</f>
        <v>0</v>
      </c>
      <c r="N44" s="58">
        <f>IFERROR(CHOOSE(N3,'Debt Schedule'!$D$5,'Debt Schedule'!$D$6,'Debt Schedule'!$D$7,'Debt Schedule'!$D$8,'Debt Schedule'!$D$9)/12,0)</f>
        <v>0</v>
      </c>
      <c r="O44" s="58">
        <f>IFERROR(CHOOSE(O3,'Debt Schedule'!$D$5,'Debt Schedule'!$D$6,'Debt Schedule'!$D$7,'Debt Schedule'!$D$8,'Debt Schedule'!$D$9)/12,0)</f>
        <v>0</v>
      </c>
      <c r="P44" s="58">
        <f>IFERROR(CHOOSE(P3,'Debt Schedule'!$D$5,'Debt Schedule'!$D$6,'Debt Schedule'!$D$7,'Debt Schedule'!$D$8,'Debt Schedule'!$D$9)/12,0)</f>
        <v>0</v>
      </c>
      <c r="Q44" s="58">
        <f>IFERROR(CHOOSE(Q3,'Debt Schedule'!$D$5,'Debt Schedule'!$D$6,'Debt Schedule'!$D$7,'Debt Schedule'!$D$8,'Debt Schedule'!$D$9)/12,0)</f>
        <v>0</v>
      </c>
      <c r="R44" s="58">
        <f>IFERROR(CHOOSE(R3,'Debt Schedule'!$D$5,'Debt Schedule'!$D$6,'Debt Schedule'!$D$7,'Debt Schedule'!$D$8,'Debt Schedule'!$D$9)/12,0)</f>
        <v>0</v>
      </c>
      <c r="S44" s="58">
        <f>IFERROR(CHOOSE(S3,'Debt Schedule'!$D$5,'Debt Schedule'!$D$6,'Debt Schedule'!$D$7,'Debt Schedule'!$D$8,'Debt Schedule'!$D$9)/12,0)</f>
        <v>0</v>
      </c>
      <c r="T44" s="58">
        <f>IFERROR(CHOOSE(T3,'Debt Schedule'!$D$5,'Debt Schedule'!$D$6,'Debt Schedule'!$D$7,'Debt Schedule'!$D$8,'Debt Schedule'!$D$9)/12,0)</f>
        <v>0</v>
      </c>
      <c r="U44" s="58">
        <f>IFERROR(CHOOSE(U3,'Debt Schedule'!$D$5,'Debt Schedule'!$D$6,'Debt Schedule'!$D$7,'Debt Schedule'!$D$8,'Debt Schedule'!$D$9)/12,0)</f>
        <v>0</v>
      </c>
      <c r="V44" s="58">
        <f>IFERROR(CHOOSE(V3,'Debt Schedule'!$D$5,'Debt Schedule'!$D$6,'Debt Schedule'!$D$7,'Debt Schedule'!$D$8,'Debt Schedule'!$D$9)/12,0)</f>
        <v>0</v>
      </c>
      <c r="W44" s="58">
        <f>IFERROR(CHOOSE(W3,'Debt Schedule'!$D$5,'Debt Schedule'!$D$6,'Debt Schedule'!$D$7,'Debt Schedule'!$D$8,'Debt Schedule'!$D$9)/12,0)</f>
        <v>0</v>
      </c>
      <c r="X44" s="58">
        <f>IFERROR(CHOOSE(X3,'Debt Schedule'!$D$5,'Debt Schedule'!$D$6,'Debt Schedule'!$D$7,'Debt Schedule'!$D$8,'Debt Schedule'!$D$9)/12,0)</f>
        <v>0</v>
      </c>
      <c r="Y44" s="58">
        <f>IFERROR(CHOOSE(Y3,'Debt Schedule'!$D$5,'Debt Schedule'!$D$6,'Debt Schedule'!$D$7,'Debt Schedule'!$D$8,'Debt Schedule'!$D$9)/12,0)</f>
        <v>0</v>
      </c>
      <c r="Z44" s="58">
        <f>IFERROR(CHOOSE(Z3,'Debt Schedule'!$D$5,'Debt Schedule'!$D$6,'Debt Schedule'!$D$7,'Debt Schedule'!$D$8,'Debt Schedule'!$D$9)/12,0)</f>
        <v>0</v>
      </c>
      <c r="AA44" s="58">
        <f>IFERROR(CHOOSE(AA3,'Debt Schedule'!$D$5,'Debt Schedule'!$D$6,'Debt Schedule'!$D$7,'Debt Schedule'!$D$8,'Debt Schedule'!$D$9)/12,0)</f>
        <v>0</v>
      </c>
      <c r="AB44" s="58">
        <f>IFERROR(CHOOSE(AB3,'Debt Schedule'!$D$5,'Debt Schedule'!$D$6,'Debt Schedule'!$D$7,'Debt Schedule'!$D$8,'Debt Schedule'!$D$9)/12,0)</f>
        <v>0</v>
      </c>
      <c r="AC44" s="58">
        <f>IFERROR(CHOOSE(AC3,'Debt Schedule'!$D$5,'Debt Schedule'!$D$6,'Debt Schedule'!$D$7,'Debt Schedule'!$D$8,'Debt Schedule'!$D$9)/12,0)</f>
        <v>0</v>
      </c>
      <c r="AD44" s="58">
        <f>IFERROR(CHOOSE(AD3,'Debt Schedule'!$D$5,'Debt Schedule'!$D$6,'Debt Schedule'!$D$7,'Debt Schedule'!$D$8,'Debt Schedule'!$D$9)/12,0)</f>
        <v>0</v>
      </c>
      <c r="AE44" s="58">
        <f>IFERROR(CHOOSE(AE3,'Debt Schedule'!$D$5,'Debt Schedule'!$D$6,'Debt Schedule'!$D$7,'Debt Schedule'!$D$8,'Debt Schedule'!$D$9)/12,0)</f>
        <v>0</v>
      </c>
      <c r="AF44" s="58">
        <f>IFERROR(CHOOSE(AF3,'Debt Schedule'!$D$5,'Debt Schedule'!$D$6,'Debt Schedule'!$D$7,'Debt Schedule'!$D$8,'Debt Schedule'!$D$9)/12,0)</f>
        <v>0</v>
      </c>
      <c r="AG44" s="58">
        <f>IFERROR(CHOOSE(AG3,'Debt Schedule'!$D$5,'Debt Schedule'!$D$6,'Debt Schedule'!$D$7,'Debt Schedule'!$D$8,'Debt Schedule'!$D$9)/12,0)</f>
        <v>0</v>
      </c>
      <c r="AH44" s="58">
        <f>IFERROR(CHOOSE(AH3,'Debt Schedule'!$D$5,'Debt Schedule'!$D$6,'Debt Schedule'!$D$7,'Debt Schedule'!$D$8,'Debt Schedule'!$D$9)/12,0)</f>
        <v>0</v>
      </c>
      <c r="AI44" s="58">
        <f>IFERROR(CHOOSE(AI3,'Debt Schedule'!$D$5,'Debt Schedule'!$D$6,'Debt Schedule'!$D$7,'Debt Schedule'!$D$8,'Debt Schedule'!$D$9)/12,0)</f>
        <v>0</v>
      </c>
      <c r="AJ44" s="58">
        <f>IFERROR(CHOOSE(AJ3,'Debt Schedule'!$D$5,'Debt Schedule'!$D$6,'Debt Schedule'!$D$7,'Debt Schedule'!$D$8,'Debt Schedule'!$D$9)/12,0)</f>
        <v>0</v>
      </c>
      <c r="AK44" s="58">
        <f>IFERROR(CHOOSE(AK3,'Debt Schedule'!$D$5,'Debt Schedule'!$D$6,'Debt Schedule'!$D$7,'Debt Schedule'!$D$8,'Debt Schedule'!$D$9)/12,0)</f>
        <v>0</v>
      </c>
      <c r="AL44" s="58">
        <f>IFERROR(CHOOSE(AL3,'Debt Schedule'!$D$5,'Debt Schedule'!$D$6,'Debt Schedule'!$D$7,'Debt Schedule'!$D$8,'Debt Schedule'!$D$9)/12,0)</f>
        <v>0</v>
      </c>
      <c r="AM44" s="58">
        <f>IFERROR(CHOOSE(AM3,'Debt Schedule'!$D$5,'Debt Schedule'!$D$6,'Debt Schedule'!$D$7,'Debt Schedule'!$D$8,'Debt Schedule'!$D$9)/12,0)</f>
        <v>0</v>
      </c>
      <c r="AN44" s="58">
        <f>IFERROR(CHOOSE(AN3,'Debt Schedule'!$D$5,'Debt Schedule'!$D$6,'Debt Schedule'!$D$7,'Debt Schedule'!$D$8,'Debt Schedule'!$D$9)/12,0)</f>
        <v>0</v>
      </c>
      <c r="AO44" s="58">
        <f>IFERROR(CHOOSE(AO3,'Debt Schedule'!$D$5,'Debt Schedule'!$D$6,'Debt Schedule'!$D$7,'Debt Schedule'!$D$8,'Debt Schedule'!$D$9)/12,0)</f>
        <v>0</v>
      </c>
      <c r="AP44" s="58">
        <f>IFERROR(CHOOSE(AP3,'Debt Schedule'!$D$5,'Debt Schedule'!$D$6,'Debt Schedule'!$D$7,'Debt Schedule'!$D$8,'Debt Schedule'!$D$9)/12,0)</f>
        <v>0</v>
      </c>
      <c r="AQ44" s="58">
        <f>IFERROR(CHOOSE(AQ3,'Debt Schedule'!$D$5,'Debt Schedule'!$D$6,'Debt Schedule'!$D$7,'Debt Schedule'!$D$8,'Debt Schedule'!$D$9)/12,0)</f>
        <v>0</v>
      </c>
      <c r="AR44" s="58">
        <f>IFERROR(CHOOSE(AR3,'Debt Schedule'!$D$5,'Debt Schedule'!$D$6,'Debt Schedule'!$D$7,'Debt Schedule'!$D$8,'Debt Schedule'!$D$9)/12,0)</f>
        <v>0</v>
      </c>
      <c r="AS44" s="58">
        <f>IFERROR(CHOOSE(AS3,'Debt Schedule'!$D$5,'Debt Schedule'!$D$6,'Debt Schedule'!$D$7,'Debt Schedule'!$D$8,'Debt Schedule'!$D$9)/12,0)</f>
        <v>0</v>
      </c>
      <c r="AT44" s="58">
        <f>IFERROR(CHOOSE(AT3,'Debt Schedule'!$D$5,'Debt Schedule'!$D$6,'Debt Schedule'!$D$7,'Debt Schedule'!$D$8,'Debt Schedule'!$D$9)/12,0)</f>
        <v>0</v>
      </c>
      <c r="AU44" s="58">
        <f>IFERROR(CHOOSE(AU3,'Debt Schedule'!$D$5,'Debt Schedule'!$D$6,'Debt Schedule'!$D$7,'Debt Schedule'!$D$8,'Debt Schedule'!$D$9)/12,0)</f>
        <v>0</v>
      </c>
      <c r="AV44" s="58">
        <f>IFERROR(CHOOSE(AV3,'Debt Schedule'!$D$5,'Debt Schedule'!$D$6,'Debt Schedule'!$D$7,'Debt Schedule'!$D$8,'Debt Schedule'!$D$9)/12,0)</f>
        <v>0</v>
      </c>
      <c r="AW44" s="58">
        <f>IFERROR(CHOOSE(AW3,'Debt Schedule'!$D$5,'Debt Schedule'!$D$6,'Debt Schedule'!$D$7,'Debt Schedule'!$D$8,'Debt Schedule'!$D$9)/12,0)</f>
        <v>0</v>
      </c>
      <c r="AX44" s="58">
        <f>IFERROR(CHOOSE(AX3,'Debt Schedule'!$D$5,'Debt Schedule'!$D$6,'Debt Schedule'!$D$7,'Debt Schedule'!$D$8,'Debt Schedule'!$D$9)/12,0)</f>
        <v>0</v>
      </c>
      <c r="AY44" s="58">
        <f>IFERROR(CHOOSE(AY3,'Debt Schedule'!$D$5,'Debt Schedule'!$D$6,'Debt Schedule'!$D$7,'Debt Schedule'!$D$8,'Debt Schedule'!$D$9)/12,0)</f>
        <v>0</v>
      </c>
      <c r="AZ44" s="58">
        <f>IFERROR(CHOOSE(AZ3,'Debt Schedule'!$D$5,'Debt Schedule'!$D$6,'Debt Schedule'!$D$7,'Debt Schedule'!$D$8,'Debt Schedule'!$D$9)/12,0)</f>
        <v>0</v>
      </c>
      <c r="BA44" s="58">
        <f>IFERROR(CHOOSE(BA3,'Debt Schedule'!$D$5,'Debt Schedule'!$D$6,'Debt Schedule'!$D$7,'Debt Schedule'!$D$8,'Debt Schedule'!$D$9)/12,0)</f>
        <v>0</v>
      </c>
      <c r="BB44" s="58">
        <f>IFERROR(CHOOSE(BB3,'Debt Schedule'!$D$5,'Debt Schedule'!$D$6,'Debt Schedule'!$D$7,'Debt Schedule'!$D$8,'Debt Schedule'!$D$9)/12,0)</f>
        <v>0</v>
      </c>
      <c r="BC44" s="58">
        <f>IFERROR(CHOOSE(BC3,'Debt Schedule'!$D$5,'Debt Schedule'!$D$6,'Debt Schedule'!$D$7,'Debt Schedule'!$D$8,'Debt Schedule'!$D$9)/12,0)</f>
        <v>0</v>
      </c>
      <c r="BD44" s="58">
        <f>IFERROR(CHOOSE(BD3,'Debt Schedule'!$D$5,'Debt Schedule'!$D$6,'Debt Schedule'!$D$7,'Debt Schedule'!$D$8,'Debt Schedule'!$D$9)/12,0)</f>
        <v>0</v>
      </c>
      <c r="BE44" s="58">
        <f>IFERROR(CHOOSE(BE3,'Debt Schedule'!$D$5,'Debt Schedule'!$D$6,'Debt Schedule'!$D$7,'Debt Schedule'!$D$8,'Debt Schedule'!$D$9)/12,0)</f>
        <v>0</v>
      </c>
      <c r="BF44" s="58">
        <f>IFERROR(CHOOSE(BF3,'Debt Schedule'!$D$5,'Debt Schedule'!$D$6,'Debt Schedule'!$D$7,'Debt Schedule'!$D$8,'Debt Schedule'!$D$9)/12,0)</f>
        <v>0</v>
      </c>
      <c r="BG44" s="58">
        <f>IFERROR(CHOOSE(BG3,'Debt Schedule'!$D$5,'Debt Schedule'!$D$6,'Debt Schedule'!$D$7,'Debt Schedule'!$D$8,'Debt Schedule'!$D$9)/12,0)</f>
        <v>0</v>
      </c>
      <c r="BH44" s="58">
        <f>IFERROR(CHOOSE(BH3,'Debt Schedule'!$D$5,'Debt Schedule'!$D$6,'Debt Schedule'!$D$7,'Debt Schedule'!$D$8,'Debt Schedule'!$D$9)/12,0)</f>
        <v>0</v>
      </c>
      <c r="BI44" s="58">
        <f>IFERROR(CHOOSE(BI3,'Debt Schedule'!$D$5,'Debt Schedule'!$D$6,'Debt Schedule'!$D$7,'Debt Schedule'!$D$8,'Debt Schedule'!$D$9)/12,0)</f>
        <v>0</v>
      </c>
    </row>
    <row r="45" spans="1:61" x14ac:dyDescent="0.25">
      <c r="A45" s="50" t="s">
        <v>247</v>
      </c>
      <c r="B45" s="58">
        <f>IFERROR(CHOOSE(B3,'Debt Schedule'!$C$18,'Debt Schedule'!$D$18,'Debt Schedule'!$E$18,'Debt Schedule'!$F$18,'Debt Schedule'!$G$18)/12,0)</f>
        <v>0</v>
      </c>
      <c r="C45" s="58">
        <f>IFERROR(CHOOSE(C3,'Debt Schedule'!$C$18,'Debt Schedule'!$D$18,'Debt Schedule'!$E$18,'Debt Schedule'!$F$18,'Debt Schedule'!$G$18)/12,0)</f>
        <v>0</v>
      </c>
      <c r="D45" s="58">
        <f>IFERROR(CHOOSE(D3,'Debt Schedule'!$C$18,'Debt Schedule'!$D$18,'Debt Schedule'!$E$18,'Debt Schedule'!$F$18,'Debt Schedule'!$G$18)/12,0)</f>
        <v>0</v>
      </c>
      <c r="E45" s="58">
        <f>IFERROR(CHOOSE(E3,'Debt Schedule'!$C$18,'Debt Schedule'!$D$18,'Debt Schedule'!$E$18,'Debt Schedule'!$F$18,'Debt Schedule'!$G$18)/12,0)</f>
        <v>0</v>
      </c>
      <c r="F45" s="58">
        <f>IFERROR(CHOOSE(F3,'Debt Schedule'!$C$18,'Debt Schedule'!$D$18,'Debt Schedule'!$E$18,'Debt Schedule'!$F$18,'Debt Schedule'!$G$18)/12,0)</f>
        <v>0</v>
      </c>
      <c r="G45" s="58">
        <f>IFERROR(CHOOSE(G3,'Debt Schedule'!$C$18,'Debt Schedule'!$D$18,'Debt Schedule'!$E$18,'Debt Schedule'!$F$18,'Debt Schedule'!$G$18)/12,0)</f>
        <v>0</v>
      </c>
      <c r="H45" s="58">
        <f>IFERROR(CHOOSE(H3,'Debt Schedule'!$C$18,'Debt Schedule'!$D$18,'Debt Schedule'!$E$18,'Debt Schedule'!$F$18,'Debt Schedule'!$G$18)/12,0)</f>
        <v>0</v>
      </c>
      <c r="I45" s="58">
        <f>IFERROR(CHOOSE(I3,'Debt Schedule'!$C$18,'Debt Schedule'!$D$18,'Debt Schedule'!$E$18,'Debt Schedule'!$F$18,'Debt Schedule'!$G$18)/12,0)</f>
        <v>0</v>
      </c>
      <c r="J45" s="58">
        <f>IFERROR(CHOOSE(J3,'Debt Schedule'!$C$18,'Debt Schedule'!$D$18,'Debt Schedule'!$E$18,'Debt Schedule'!$F$18,'Debt Schedule'!$G$18)/12,0)</f>
        <v>0</v>
      </c>
      <c r="K45" s="58">
        <f>IFERROR(CHOOSE(K3,'Debt Schedule'!$C$18,'Debt Schedule'!$D$18,'Debt Schedule'!$E$18,'Debt Schedule'!$F$18,'Debt Schedule'!$G$18)/12,0)</f>
        <v>0</v>
      </c>
      <c r="L45" s="58">
        <f>IFERROR(CHOOSE(L3,'Debt Schedule'!$C$18,'Debt Schedule'!$D$18,'Debt Schedule'!$E$18,'Debt Schedule'!$F$18,'Debt Schedule'!$G$18)/12,0)</f>
        <v>0</v>
      </c>
      <c r="M45" s="58">
        <f>IFERROR(CHOOSE(M3,'Debt Schedule'!$C$18,'Debt Schedule'!$D$18,'Debt Schedule'!$E$18,'Debt Schedule'!$F$18,'Debt Schedule'!$G$18)/12,0)</f>
        <v>0</v>
      </c>
      <c r="N45" s="58">
        <f>IFERROR(CHOOSE(N3,'Debt Schedule'!$C$18,'Debt Schedule'!$D$18,'Debt Schedule'!$E$18,'Debt Schedule'!$F$18,'Debt Schedule'!$G$18)/12,0)</f>
        <v>0</v>
      </c>
      <c r="O45" s="58">
        <f>IFERROR(CHOOSE(O3,'Debt Schedule'!$C$18,'Debt Schedule'!$D$18,'Debt Schedule'!$E$18,'Debt Schedule'!$F$18,'Debt Schedule'!$G$18)/12,0)</f>
        <v>0</v>
      </c>
      <c r="P45" s="58">
        <f>IFERROR(CHOOSE(P3,'Debt Schedule'!$C$18,'Debt Schedule'!$D$18,'Debt Schedule'!$E$18,'Debt Schedule'!$F$18,'Debt Schedule'!$G$18)/12,0)</f>
        <v>0</v>
      </c>
      <c r="Q45" s="58">
        <f>IFERROR(CHOOSE(Q3,'Debt Schedule'!$C$18,'Debt Schedule'!$D$18,'Debt Schedule'!$E$18,'Debt Schedule'!$F$18,'Debt Schedule'!$G$18)/12,0)</f>
        <v>0</v>
      </c>
      <c r="R45" s="58">
        <f>IFERROR(CHOOSE(R3,'Debt Schedule'!$C$18,'Debt Schedule'!$D$18,'Debt Schedule'!$E$18,'Debt Schedule'!$F$18,'Debt Schedule'!$G$18)/12,0)</f>
        <v>0</v>
      </c>
      <c r="S45" s="58">
        <f>IFERROR(CHOOSE(S3,'Debt Schedule'!$C$18,'Debt Schedule'!$D$18,'Debt Schedule'!$E$18,'Debt Schedule'!$F$18,'Debt Schedule'!$G$18)/12,0)</f>
        <v>0</v>
      </c>
      <c r="T45" s="58">
        <f>IFERROR(CHOOSE(T3,'Debt Schedule'!$C$18,'Debt Schedule'!$D$18,'Debt Schedule'!$E$18,'Debt Schedule'!$F$18,'Debt Schedule'!$G$18)/12,0)</f>
        <v>0</v>
      </c>
      <c r="U45" s="58">
        <f>IFERROR(CHOOSE(U3,'Debt Schedule'!$C$18,'Debt Schedule'!$D$18,'Debt Schedule'!$E$18,'Debt Schedule'!$F$18,'Debt Schedule'!$G$18)/12,0)</f>
        <v>0</v>
      </c>
      <c r="V45" s="58">
        <f>IFERROR(CHOOSE(V3,'Debt Schedule'!$C$18,'Debt Schedule'!$D$18,'Debt Schedule'!$E$18,'Debt Schedule'!$F$18,'Debt Schedule'!$G$18)/12,0)</f>
        <v>0</v>
      </c>
      <c r="W45" s="58">
        <f>IFERROR(CHOOSE(W3,'Debt Schedule'!$C$18,'Debt Schedule'!$D$18,'Debt Schedule'!$E$18,'Debt Schedule'!$F$18,'Debt Schedule'!$G$18)/12,0)</f>
        <v>0</v>
      </c>
      <c r="X45" s="58">
        <f>IFERROR(CHOOSE(X3,'Debt Schedule'!$C$18,'Debt Schedule'!$D$18,'Debt Schedule'!$E$18,'Debt Schedule'!$F$18,'Debt Schedule'!$G$18)/12,0)</f>
        <v>0</v>
      </c>
      <c r="Y45" s="58">
        <f>IFERROR(CHOOSE(Y3,'Debt Schedule'!$C$18,'Debt Schedule'!$D$18,'Debt Schedule'!$E$18,'Debt Schedule'!$F$18,'Debt Schedule'!$G$18)/12,0)</f>
        <v>0</v>
      </c>
      <c r="Z45" s="58">
        <f>IFERROR(CHOOSE(Z3,'Debt Schedule'!$C$18,'Debt Schedule'!$D$18,'Debt Schedule'!$E$18,'Debt Schedule'!$F$18,'Debt Schedule'!$G$18)/12,0)</f>
        <v>0</v>
      </c>
      <c r="AA45" s="58">
        <f>IFERROR(CHOOSE(AA3,'Debt Schedule'!$C$18,'Debt Schedule'!$D$18,'Debt Schedule'!$E$18,'Debt Schedule'!$F$18,'Debt Schedule'!$G$18)/12,0)</f>
        <v>0</v>
      </c>
      <c r="AB45" s="58">
        <f>IFERROR(CHOOSE(AB3,'Debt Schedule'!$C$18,'Debt Schedule'!$D$18,'Debt Schedule'!$E$18,'Debt Schedule'!$F$18,'Debt Schedule'!$G$18)/12,0)</f>
        <v>0</v>
      </c>
      <c r="AC45" s="58">
        <f>IFERROR(CHOOSE(AC3,'Debt Schedule'!$C$18,'Debt Schedule'!$D$18,'Debt Schedule'!$E$18,'Debt Schedule'!$F$18,'Debt Schedule'!$G$18)/12,0)</f>
        <v>0</v>
      </c>
      <c r="AD45" s="58">
        <f>IFERROR(CHOOSE(AD3,'Debt Schedule'!$C$18,'Debt Schedule'!$D$18,'Debt Schedule'!$E$18,'Debt Schedule'!$F$18,'Debt Schedule'!$G$18)/12,0)</f>
        <v>0</v>
      </c>
      <c r="AE45" s="58">
        <f>IFERROR(CHOOSE(AE3,'Debt Schedule'!$C$18,'Debt Schedule'!$D$18,'Debt Schedule'!$E$18,'Debt Schedule'!$F$18,'Debt Schedule'!$G$18)/12,0)</f>
        <v>0</v>
      </c>
      <c r="AF45" s="58">
        <f>IFERROR(CHOOSE(AF3,'Debt Schedule'!$C$18,'Debt Schedule'!$D$18,'Debt Schedule'!$E$18,'Debt Schedule'!$F$18,'Debt Schedule'!$G$18)/12,0)</f>
        <v>0</v>
      </c>
      <c r="AG45" s="58">
        <f>IFERROR(CHOOSE(AG3,'Debt Schedule'!$C$18,'Debt Schedule'!$D$18,'Debt Schedule'!$E$18,'Debt Schedule'!$F$18,'Debt Schedule'!$G$18)/12,0)</f>
        <v>0</v>
      </c>
      <c r="AH45" s="58">
        <f>IFERROR(CHOOSE(AH3,'Debt Schedule'!$C$18,'Debt Schedule'!$D$18,'Debt Schedule'!$E$18,'Debt Schedule'!$F$18,'Debt Schedule'!$G$18)/12,0)</f>
        <v>0</v>
      </c>
      <c r="AI45" s="58">
        <f>IFERROR(CHOOSE(AI3,'Debt Schedule'!$C$18,'Debt Schedule'!$D$18,'Debt Schedule'!$E$18,'Debt Schedule'!$F$18,'Debt Schedule'!$G$18)/12,0)</f>
        <v>0</v>
      </c>
      <c r="AJ45" s="58">
        <f>IFERROR(CHOOSE(AJ3,'Debt Schedule'!$C$18,'Debt Schedule'!$D$18,'Debt Schedule'!$E$18,'Debt Schedule'!$F$18,'Debt Schedule'!$G$18)/12,0)</f>
        <v>0</v>
      </c>
      <c r="AK45" s="58">
        <f>IFERROR(CHOOSE(AK3,'Debt Schedule'!$C$18,'Debt Schedule'!$D$18,'Debt Schedule'!$E$18,'Debt Schedule'!$F$18,'Debt Schedule'!$G$18)/12,0)</f>
        <v>0</v>
      </c>
      <c r="AL45" s="58">
        <f>IFERROR(CHOOSE(AL3,'Debt Schedule'!$C$18,'Debt Schedule'!$D$18,'Debt Schedule'!$E$18,'Debt Schedule'!$F$18,'Debt Schedule'!$G$18)/12,0)</f>
        <v>0</v>
      </c>
      <c r="AM45" s="58">
        <f>IFERROR(CHOOSE(AM3,'Debt Schedule'!$C$18,'Debt Schedule'!$D$18,'Debt Schedule'!$E$18,'Debt Schedule'!$F$18,'Debt Schedule'!$G$18)/12,0)</f>
        <v>0</v>
      </c>
      <c r="AN45" s="58">
        <f>IFERROR(CHOOSE(AN3,'Debt Schedule'!$C$18,'Debt Schedule'!$D$18,'Debt Schedule'!$E$18,'Debt Schedule'!$F$18,'Debt Schedule'!$G$18)/12,0)</f>
        <v>0</v>
      </c>
      <c r="AO45" s="58">
        <f>IFERROR(CHOOSE(AO3,'Debt Schedule'!$C$18,'Debt Schedule'!$D$18,'Debt Schedule'!$E$18,'Debt Schedule'!$F$18,'Debt Schedule'!$G$18)/12,0)</f>
        <v>0</v>
      </c>
      <c r="AP45" s="58">
        <f>IFERROR(CHOOSE(AP3,'Debt Schedule'!$C$18,'Debt Schedule'!$D$18,'Debt Schedule'!$E$18,'Debt Schedule'!$F$18,'Debt Schedule'!$G$18)/12,0)</f>
        <v>0</v>
      </c>
      <c r="AQ45" s="58">
        <f>IFERROR(CHOOSE(AQ3,'Debt Schedule'!$C$18,'Debt Schedule'!$D$18,'Debt Schedule'!$E$18,'Debt Schedule'!$F$18,'Debt Schedule'!$G$18)/12,0)</f>
        <v>0</v>
      </c>
      <c r="AR45" s="58">
        <f>IFERROR(CHOOSE(AR3,'Debt Schedule'!$C$18,'Debt Schedule'!$D$18,'Debt Schedule'!$E$18,'Debt Schedule'!$F$18,'Debt Schedule'!$G$18)/12,0)</f>
        <v>0</v>
      </c>
      <c r="AS45" s="58">
        <f>IFERROR(CHOOSE(AS3,'Debt Schedule'!$C$18,'Debt Schedule'!$D$18,'Debt Schedule'!$E$18,'Debt Schedule'!$F$18,'Debt Schedule'!$G$18)/12,0)</f>
        <v>0</v>
      </c>
      <c r="AT45" s="58">
        <f>IFERROR(CHOOSE(AT3,'Debt Schedule'!$C$18,'Debt Schedule'!$D$18,'Debt Schedule'!$E$18,'Debt Schedule'!$F$18,'Debt Schedule'!$G$18)/12,0)</f>
        <v>0</v>
      </c>
      <c r="AU45" s="58">
        <f>IFERROR(CHOOSE(AU3,'Debt Schedule'!$C$18,'Debt Schedule'!$D$18,'Debt Schedule'!$E$18,'Debt Schedule'!$F$18,'Debt Schedule'!$G$18)/12,0)</f>
        <v>0</v>
      </c>
      <c r="AV45" s="58">
        <f>IFERROR(CHOOSE(AV3,'Debt Schedule'!$C$18,'Debt Schedule'!$D$18,'Debt Schedule'!$E$18,'Debt Schedule'!$F$18,'Debt Schedule'!$G$18)/12,0)</f>
        <v>0</v>
      </c>
      <c r="AW45" s="58">
        <f>IFERROR(CHOOSE(AW3,'Debt Schedule'!$C$18,'Debt Schedule'!$D$18,'Debt Schedule'!$E$18,'Debt Schedule'!$F$18,'Debt Schedule'!$G$18)/12,0)</f>
        <v>0</v>
      </c>
      <c r="AX45" s="58">
        <f>IFERROR(CHOOSE(AX3,'Debt Schedule'!$C$18,'Debt Schedule'!$D$18,'Debt Schedule'!$E$18,'Debt Schedule'!$F$18,'Debt Schedule'!$G$18)/12,0)</f>
        <v>0</v>
      </c>
      <c r="AY45" s="58">
        <f>IFERROR(CHOOSE(AY3,'Debt Schedule'!$C$18,'Debt Schedule'!$D$18,'Debt Schedule'!$E$18,'Debt Schedule'!$F$18,'Debt Schedule'!$G$18)/12,0)</f>
        <v>0</v>
      </c>
      <c r="AZ45" s="58">
        <f>IFERROR(CHOOSE(AZ3,'Debt Schedule'!$C$18,'Debt Schedule'!$D$18,'Debt Schedule'!$E$18,'Debt Schedule'!$F$18,'Debt Schedule'!$G$18)/12,0)</f>
        <v>0</v>
      </c>
      <c r="BA45" s="58">
        <f>IFERROR(CHOOSE(BA3,'Debt Schedule'!$C$18,'Debt Schedule'!$D$18,'Debt Schedule'!$E$18,'Debt Schedule'!$F$18,'Debt Schedule'!$G$18)/12,0)</f>
        <v>0</v>
      </c>
      <c r="BB45" s="58">
        <f>IFERROR(CHOOSE(BB3,'Debt Schedule'!$C$18,'Debt Schedule'!$D$18,'Debt Schedule'!$E$18,'Debt Schedule'!$F$18,'Debt Schedule'!$G$18)/12,0)</f>
        <v>0</v>
      </c>
      <c r="BC45" s="58">
        <f>IFERROR(CHOOSE(BC3,'Debt Schedule'!$C$18,'Debt Schedule'!$D$18,'Debt Schedule'!$E$18,'Debt Schedule'!$F$18,'Debt Schedule'!$G$18)/12,0)</f>
        <v>0</v>
      </c>
      <c r="BD45" s="58">
        <f>IFERROR(CHOOSE(BD3,'Debt Schedule'!$C$18,'Debt Schedule'!$D$18,'Debt Schedule'!$E$18,'Debt Schedule'!$F$18,'Debt Schedule'!$G$18)/12,0)</f>
        <v>0</v>
      </c>
      <c r="BE45" s="58">
        <f>IFERROR(CHOOSE(BE3,'Debt Schedule'!$C$18,'Debt Schedule'!$D$18,'Debt Schedule'!$E$18,'Debt Schedule'!$F$18,'Debt Schedule'!$G$18)/12,0)</f>
        <v>0</v>
      </c>
      <c r="BF45" s="58">
        <f>IFERROR(CHOOSE(BF3,'Debt Schedule'!$C$18,'Debt Schedule'!$D$18,'Debt Schedule'!$E$18,'Debt Schedule'!$F$18,'Debt Schedule'!$G$18)/12,0)</f>
        <v>0</v>
      </c>
      <c r="BG45" s="58">
        <f>IFERROR(CHOOSE(BG3,'Debt Schedule'!$C$18,'Debt Schedule'!$D$18,'Debt Schedule'!$E$18,'Debt Schedule'!$F$18,'Debt Schedule'!$G$18)/12,0)</f>
        <v>0</v>
      </c>
      <c r="BH45" s="58">
        <f>IFERROR(CHOOSE(BH3,'Debt Schedule'!$C$18,'Debt Schedule'!$D$18,'Debt Schedule'!$E$18,'Debt Schedule'!$F$18,'Debt Schedule'!$G$18)/12,0)</f>
        <v>0</v>
      </c>
      <c r="BI45" s="58">
        <f>IFERROR(CHOOSE(BI3,'Debt Schedule'!$C$18,'Debt Schedule'!$D$18,'Debt Schedule'!$E$18,'Debt Schedule'!$F$18,'Debt Schedule'!$G$18)/12,0)</f>
        <v>0</v>
      </c>
    </row>
    <row r="46" spans="1:61" x14ac:dyDescent="0.25">
      <c r="A46" s="53" t="s">
        <v>248</v>
      </c>
      <c r="B46" s="57">
        <f t="shared" ref="B46:AG46" si="28">B44+B45</f>
        <v>0</v>
      </c>
      <c r="C46" s="57">
        <f t="shared" si="28"/>
        <v>0</v>
      </c>
      <c r="D46" s="57">
        <f t="shared" si="28"/>
        <v>0</v>
      </c>
      <c r="E46" s="57">
        <f t="shared" si="28"/>
        <v>0</v>
      </c>
      <c r="F46" s="57">
        <f t="shared" si="28"/>
        <v>0</v>
      </c>
      <c r="G46" s="57">
        <f t="shared" si="28"/>
        <v>0</v>
      </c>
      <c r="H46" s="57">
        <f t="shared" si="28"/>
        <v>0</v>
      </c>
      <c r="I46" s="57">
        <f t="shared" si="28"/>
        <v>0</v>
      </c>
      <c r="J46" s="57">
        <f t="shared" si="28"/>
        <v>0</v>
      </c>
      <c r="K46" s="57">
        <f t="shared" si="28"/>
        <v>0</v>
      </c>
      <c r="L46" s="57">
        <f t="shared" si="28"/>
        <v>0</v>
      </c>
      <c r="M46" s="57">
        <f t="shared" si="28"/>
        <v>0</v>
      </c>
      <c r="N46" s="57">
        <f t="shared" si="28"/>
        <v>0</v>
      </c>
      <c r="O46" s="57">
        <f t="shared" si="28"/>
        <v>0</v>
      </c>
      <c r="P46" s="57">
        <f t="shared" si="28"/>
        <v>0</v>
      </c>
      <c r="Q46" s="57">
        <f t="shared" si="28"/>
        <v>0</v>
      </c>
      <c r="R46" s="57">
        <f t="shared" si="28"/>
        <v>0</v>
      </c>
      <c r="S46" s="57">
        <f t="shared" si="28"/>
        <v>0</v>
      </c>
      <c r="T46" s="57">
        <f t="shared" si="28"/>
        <v>0</v>
      </c>
      <c r="U46" s="57">
        <f t="shared" si="28"/>
        <v>0</v>
      </c>
      <c r="V46" s="57">
        <f t="shared" si="28"/>
        <v>0</v>
      </c>
      <c r="W46" s="57">
        <f t="shared" si="28"/>
        <v>0</v>
      </c>
      <c r="X46" s="57">
        <f t="shared" si="28"/>
        <v>0</v>
      </c>
      <c r="Y46" s="57">
        <f t="shared" si="28"/>
        <v>0</v>
      </c>
      <c r="Z46" s="57">
        <f t="shared" si="28"/>
        <v>0</v>
      </c>
      <c r="AA46" s="57">
        <f t="shared" si="28"/>
        <v>0</v>
      </c>
      <c r="AB46" s="57">
        <f t="shared" si="28"/>
        <v>0</v>
      </c>
      <c r="AC46" s="57">
        <f t="shared" si="28"/>
        <v>0</v>
      </c>
      <c r="AD46" s="57">
        <f t="shared" si="28"/>
        <v>0</v>
      </c>
      <c r="AE46" s="57">
        <f t="shared" si="28"/>
        <v>0</v>
      </c>
      <c r="AF46" s="57">
        <f t="shared" si="28"/>
        <v>0</v>
      </c>
      <c r="AG46" s="57">
        <f t="shared" si="28"/>
        <v>0</v>
      </c>
      <c r="AH46" s="57">
        <f t="shared" ref="AH46:BM46" si="29">AH44+AH45</f>
        <v>0</v>
      </c>
      <c r="AI46" s="57">
        <f t="shared" si="29"/>
        <v>0</v>
      </c>
      <c r="AJ46" s="57">
        <f t="shared" si="29"/>
        <v>0</v>
      </c>
      <c r="AK46" s="57">
        <f t="shared" si="29"/>
        <v>0</v>
      </c>
      <c r="AL46" s="57">
        <f t="shared" si="29"/>
        <v>0</v>
      </c>
      <c r="AM46" s="57">
        <f t="shared" si="29"/>
        <v>0</v>
      </c>
      <c r="AN46" s="57">
        <f t="shared" si="29"/>
        <v>0</v>
      </c>
      <c r="AO46" s="57">
        <f t="shared" si="29"/>
        <v>0</v>
      </c>
      <c r="AP46" s="57">
        <f t="shared" si="29"/>
        <v>0</v>
      </c>
      <c r="AQ46" s="57">
        <f t="shared" si="29"/>
        <v>0</v>
      </c>
      <c r="AR46" s="57">
        <f t="shared" si="29"/>
        <v>0</v>
      </c>
      <c r="AS46" s="57">
        <f t="shared" si="29"/>
        <v>0</v>
      </c>
      <c r="AT46" s="57">
        <f t="shared" si="29"/>
        <v>0</v>
      </c>
      <c r="AU46" s="57">
        <f t="shared" si="29"/>
        <v>0</v>
      </c>
      <c r="AV46" s="57">
        <f t="shared" si="29"/>
        <v>0</v>
      </c>
      <c r="AW46" s="57">
        <f t="shared" si="29"/>
        <v>0</v>
      </c>
      <c r="AX46" s="57">
        <f t="shared" si="29"/>
        <v>0</v>
      </c>
      <c r="AY46" s="57">
        <f t="shared" si="29"/>
        <v>0</v>
      </c>
      <c r="AZ46" s="57">
        <f t="shared" si="29"/>
        <v>0</v>
      </c>
      <c r="BA46" s="57">
        <f t="shared" si="29"/>
        <v>0</v>
      </c>
      <c r="BB46" s="57">
        <f t="shared" si="29"/>
        <v>0</v>
      </c>
      <c r="BC46" s="57">
        <f t="shared" si="29"/>
        <v>0</v>
      </c>
      <c r="BD46" s="57">
        <f t="shared" si="29"/>
        <v>0</v>
      </c>
      <c r="BE46" s="57">
        <f t="shared" si="29"/>
        <v>0</v>
      </c>
      <c r="BF46" s="57">
        <f t="shared" si="29"/>
        <v>0</v>
      </c>
      <c r="BG46" s="57">
        <f t="shared" si="29"/>
        <v>0</v>
      </c>
      <c r="BH46" s="57">
        <f t="shared" si="29"/>
        <v>0</v>
      </c>
      <c r="BI46" s="57">
        <f t="shared" si="29"/>
        <v>0</v>
      </c>
    </row>
    <row r="47" spans="1:61" x14ac:dyDescent="0.25">
      <c r="A47" s="53" t="s">
        <v>249</v>
      </c>
      <c r="B47" s="57">
        <f t="shared" ref="B47:AG47" si="30">B43-B46</f>
        <v>0</v>
      </c>
      <c r="C47" s="57">
        <f t="shared" si="30"/>
        <v>0</v>
      </c>
      <c r="D47" s="57">
        <f t="shared" si="30"/>
        <v>0</v>
      </c>
      <c r="E47" s="57">
        <f t="shared" si="30"/>
        <v>0</v>
      </c>
      <c r="F47" s="57">
        <f t="shared" si="30"/>
        <v>0</v>
      </c>
      <c r="G47" s="57">
        <f t="shared" si="30"/>
        <v>0</v>
      </c>
      <c r="H47" s="57">
        <f t="shared" si="30"/>
        <v>0</v>
      </c>
      <c r="I47" s="57">
        <f t="shared" si="30"/>
        <v>0</v>
      </c>
      <c r="J47" s="57">
        <f t="shared" si="30"/>
        <v>0</v>
      </c>
      <c r="K47" s="57">
        <f t="shared" si="30"/>
        <v>0</v>
      </c>
      <c r="L47" s="57">
        <f t="shared" si="30"/>
        <v>0</v>
      </c>
      <c r="M47" s="57">
        <f t="shared" si="30"/>
        <v>0</v>
      </c>
      <c r="N47" s="57">
        <f t="shared" si="30"/>
        <v>0</v>
      </c>
      <c r="O47" s="57">
        <f t="shared" si="30"/>
        <v>0</v>
      </c>
      <c r="P47" s="57">
        <f t="shared" si="30"/>
        <v>0</v>
      </c>
      <c r="Q47" s="57">
        <f t="shared" si="30"/>
        <v>0</v>
      </c>
      <c r="R47" s="57">
        <f t="shared" si="30"/>
        <v>0</v>
      </c>
      <c r="S47" s="57">
        <f t="shared" si="30"/>
        <v>0</v>
      </c>
      <c r="T47" s="57">
        <f t="shared" si="30"/>
        <v>0</v>
      </c>
      <c r="U47" s="57">
        <f t="shared" si="30"/>
        <v>0</v>
      </c>
      <c r="V47" s="57">
        <f t="shared" si="30"/>
        <v>0</v>
      </c>
      <c r="W47" s="57">
        <f t="shared" si="30"/>
        <v>0</v>
      </c>
      <c r="X47" s="57">
        <f t="shared" si="30"/>
        <v>0</v>
      </c>
      <c r="Y47" s="57">
        <f t="shared" si="30"/>
        <v>0</v>
      </c>
      <c r="Z47" s="57">
        <f t="shared" si="30"/>
        <v>0</v>
      </c>
      <c r="AA47" s="57">
        <f t="shared" si="30"/>
        <v>0</v>
      </c>
      <c r="AB47" s="57">
        <f t="shared" si="30"/>
        <v>0</v>
      </c>
      <c r="AC47" s="57">
        <f t="shared" si="30"/>
        <v>0</v>
      </c>
      <c r="AD47" s="57">
        <f t="shared" si="30"/>
        <v>0</v>
      </c>
      <c r="AE47" s="57">
        <f t="shared" si="30"/>
        <v>0</v>
      </c>
      <c r="AF47" s="57">
        <f t="shared" si="30"/>
        <v>0</v>
      </c>
      <c r="AG47" s="57">
        <f t="shared" si="30"/>
        <v>0</v>
      </c>
      <c r="AH47" s="57">
        <f t="shared" ref="AH47:BM47" si="31">AH43-AH46</f>
        <v>0</v>
      </c>
      <c r="AI47" s="57">
        <f t="shared" si="31"/>
        <v>0</v>
      </c>
      <c r="AJ47" s="57">
        <f t="shared" si="31"/>
        <v>0</v>
      </c>
      <c r="AK47" s="57">
        <f t="shared" si="31"/>
        <v>0</v>
      </c>
      <c r="AL47" s="57">
        <f t="shared" si="31"/>
        <v>0</v>
      </c>
      <c r="AM47" s="57">
        <f t="shared" si="31"/>
        <v>0</v>
      </c>
      <c r="AN47" s="57">
        <f t="shared" si="31"/>
        <v>0</v>
      </c>
      <c r="AO47" s="57">
        <f t="shared" si="31"/>
        <v>0</v>
      </c>
      <c r="AP47" s="57">
        <f t="shared" si="31"/>
        <v>0</v>
      </c>
      <c r="AQ47" s="57">
        <f t="shared" si="31"/>
        <v>0</v>
      </c>
      <c r="AR47" s="57">
        <f t="shared" si="31"/>
        <v>0</v>
      </c>
      <c r="AS47" s="57">
        <f t="shared" si="31"/>
        <v>0</v>
      </c>
      <c r="AT47" s="57">
        <f t="shared" si="31"/>
        <v>0</v>
      </c>
      <c r="AU47" s="57">
        <f t="shared" si="31"/>
        <v>0</v>
      </c>
      <c r="AV47" s="57">
        <f t="shared" si="31"/>
        <v>0</v>
      </c>
      <c r="AW47" s="57">
        <f t="shared" si="31"/>
        <v>0</v>
      </c>
      <c r="AX47" s="57">
        <f t="shared" si="31"/>
        <v>0</v>
      </c>
      <c r="AY47" s="57">
        <f t="shared" si="31"/>
        <v>0</v>
      </c>
      <c r="AZ47" s="57">
        <f t="shared" si="31"/>
        <v>0</v>
      </c>
      <c r="BA47" s="57">
        <f t="shared" si="31"/>
        <v>0</v>
      </c>
      <c r="BB47" s="57">
        <f t="shared" si="31"/>
        <v>0</v>
      </c>
      <c r="BC47" s="57">
        <f t="shared" si="31"/>
        <v>0</v>
      </c>
      <c r="BD47" s="57">
        <f t="shared" si="31"/>
        <v>0</v>
      </c>
      <c r="BE47" s="57">
        <f t="shared" si="31"/>
        <v>0</v>
      </c>
      <c r="BF47" s="57">
        <f t="shared" si="31"/>
        <v>0</v>
      </c>
      <c r="BG47" s="57">
        <f t="shared" si="31"/>
        <v>0</v>
      </c>
      <c r="BH47" s="57">
        <f t="shared" si="31"/>
        <v>0</v>
      </c>
      <c r="BI47" s="57">
        <f t="shared" si="31"/>
        <v>0</v>
      </c>
    </row>
    <row r="48" spans="1:61" x14ac:dyDescent="0.25">
      <c r="A48" s="50" t="s">
        <v>250</v>
      </c>
      <c r="B48" s="56">
        <f>MAX(0,B52)*Assumptions!$C$53</f>
        <v>0</v>
      </c>
      <c r="C48" s="56">
        <f>(MAX(0,C52)-MAX(0,B52))*Assumptions!$C$53</f>
        <v>0</v>
      </c>
      <c r="D48" s="56">
        <f>(MAX(0,D52)-MAX(0,C52))*Assumptions!$C$53</f>
        <v>0</v>
      </c>
      <c r="E48" s="56">
        <f>(MAX(0,E52)-MAX(0,D52))*Assumptions!$C$53</f>
        <v>0</v>
      </c>
      <c r="F48" s="56">
        <f>(MAX(0,F52)-MAX(0,E52))*Assumptions!$C$53</f>
        <v>0</v>
      </c>
      <c r="G48" s="56">
        <f>(MAX(0,G52)-MAX(0,F52))*Assumptions!$C$53</f>
        <v>0</v>
      </c>
      <c r="H48" s="56">
        <f>(MAX(0,H52)-MAX(0,G52))*Assumptions!$C$53</f>
        <v>0</v>
      </c>
      <c r="I48" s="56">
        <f>(MAX(0,I52)-MAX(0,H52))*Assumptions!$C$53</f>
        <v>0</v>
      </c>
      <c r="J48" s="56">
        <f>(MAX(0,J52)-MAX(0,I52))*Assumptions!$C$53</f>
        <v>0</v>
      </c>
      <c r="K48" s="56">
        <f>(MAX(0,K52)-MAX(0,J52))*Assumptions!$C$53</f>
        <v>0</v>
      </c>
      <c r="L48" s="56">
        <f>(MAX(0,L52)-MAX(0,K52))*Assumptions!$C$53</f>
        <v>0</v>
      </c>
      <c r="M48" s="56">
        <f>(MAX(0,M52)-MAX(0,L52))*Assumptions!$C$53</f>
        <v>0</v>
      </c>
      <c r="N48" s="56">
        <f>(MAX(0,N52)-MAX(0,M52))*Assumptions!$C$53</f>
        <v>0</v>
      </c>
      <c r="O48" s="56">
        <f>(MAX(0,O52)-MAX(0,N52))*Assumptions!$C$53</f>
        <v>0</v>
      </c>
      <c r="P48" s="56">
        <f>(MAX(0,P52)-MAX(0,O52))*Assumptions!$C$53</f>
        <v>0</v>
      </c>
      <c r="Q48" s="56">
        <f>(MAX(0,Q52)-MAX(0,P52))*Assumptions!$C$53</f>
        <v>0</v>
      </c>
      <c r="R48" s="56">
        <f>(MAX(0,R52)-MAX(0,Q52))*Assumptions!$C$53</f>
        <v>0</v>
      </c>
      <c r="S48" s="56">
        <f>(MAX(0,S52)-MAX(0,R52))*Assumptions!$C$53</f>
        <v>0</v>
      </c>
      <c r="T48" s="56">
        <f>(MAX(0,T52)-MAX(0,S52))*Assumptions!$C$53</f>
        <v>0</v>
      </c>
      <c r="U48" s="56">
        <f>(MAX(0,U52)-MAX(0,T52))*Assumptions!$C$53</f>
        <v>0</v>
      </c>
      <c r="V48" s="56">
        <f>(MAX(0,V52)-MAX(0,U52))*Assumptions!$C$53</f>
        <v>0</v>
      </c>
      <c r="W48" s="56">
        <f>(MAX(0,W52)-MAX(0,V52))*Assumptions!$C$53</f>
        <v>0</v>
      </c>
      <c r="X48" s="56">
        <f>(MAX(0,X52)-MAX(0,W52))*Assumptions!$C$53</f>
        <v>0</v>
      </c>
      <c r="Y48" s="56">
        <f>(MAX(0,Y52)-MAX(0,X52))*Assumptions!$C$53</f>
        <v>0</v>
      </c>
      <c r="Z48" s="56">
        <f>(MAX(0,Z52)-MAX(0,Y52))*Assumptions!$C$53</f>
        <v>0</v>
      </c>
      <c r="AA48" s="56">
        <f>(MAX(0,AA52)-MAX(0,Z52))*Assumptions!$C$53</f>
        <v>0</v>
      </c>
      <c r="AB48" s="56">
        <f>(MAX(0,AB52)-MAX(0,AA52))*Assumptions!$C$53</f>
        <v>0</v>
      </c>
      <c r="AC48" s="56">
        <f>(MAX(0,AC52)-MAX(0,AB52))*Assumptions!$C$53</f>
        <v>0</v>
      </c>
      <c r="AD48" s="56">
        <f>(MAX(0,AD52)-MAX(0,AC52))*Assumptions!$C$53</f>
        <v>0</v>
      </c>
      <c r="AE48" s="56">
        <f>(MAX(0,AE52)-MAX(0,AD52))*Assumptions!$C$53</f>
        <v>0</v>
      </c>
      <c r="AF48" s="56">
        <f>(MAX(0,AF52)-MAX(0,AE52))*Assumptions!$C$53</f>
        <v>0</v>
      </c>
      <c r="AG48" s="56">
        <f>(MAX(0,AG52)-MAX(0,AF52))*Assumptions!$C$53</f>
        <v>0</v>
      </c>
      <c r="AH48" s="56">
        <f>(MAX(0,AH52)-MAX(0,AG52))*Assumptions!$C$53</f>
        <v>0</v>
      </c>
      <c r="AI48" s="56">
        <f>(MAX(0,AI52)-MAX(0,AH52))*Assumptions!$C$53</f>
        <v>0</v>
      </c>
      <c r="AJ48" s="56">
        <f>(MAX(0,AJ52)-MAX(0,AI52))*Assumptions!$C$53</f>
        <v>0</v>
      </c>
      <c r="AK48" s="56">
        <f>(MAX(0,AK52)-MAX(0,AJ52))*Assumptions!$C$53</f>
        <v>0</v>
      </c>
      <c r="AL48" s="56">
        <f>(MAX(0,AL52)-MAX(0,AK52))*Assumptions!$C$53</f>
        <v>0</v>
      </c>
      <c r="AM48" s="56">
        <f>(MAX(0,AM52)-MAX(0,AL52))*Assumptions!$C$53</f>
        <v>0</v>
      </c>
      <c r="AN48" s="56">
        <f>(MAX(0,AN52)-MAX(0,AM52))*Assumptions!$C$53</f>
        <v>0</v>
      </c>
      <c r="AO48" s="56">
        <f>(MAX(0,AO52)-MAX(0,AN52))*Assumptions!$C$53</f>
        <v>0</v>
      </c>
      <c r="AP48" s="56">
        <f>(MAX(0,AP52)-MAX(0,AO52))*Assumptions!$C$53</f>
        <v>0</v>
      </c>
      <c r="AQ48" s="56">
        <f>(MAX(0,AQ52)-MAX(0,AP52))*Assumptions!$C$53</f>
        <v>0</v>
      </c>
      <c r="AR48" s="56">
        <f>(MAX(0,AR52)-MAX(0,AQ52))*Assumptions!$C$53</f>
        <v>0</v>
      </c>
      <c r="AS48" s="56">
        <f>(MAX(0,AS52)-MAX(0,AR52))*Assumptions!$C$53</f>
        <v>0</v>
      </c>
      <c r="AT48" s="56">
        <f>(MAX(0,AT52)-MAX(0,AS52))*Assumptions!$C$53</f>
        <v>0</v>
      </c>
      <c r="AU48" s="56">
        <f>(MAX(0,AU52)-MAX(0,AT52))*Assumptions!$C$53</f>
        <v>0</v>
      </c>
      <c r="AV48" s="56">
        <f>(MAX(0,AV52)-MAX(0,AU52))*Assumptions!$C$53</f>
        <v>0</v>
      </c>
      <c r="AW48" s="56">
        <f>(MAX(0,AW52)-MAX(0,AV52))*Assumptions!$C$53</f>
        <v>0</v>
      </c>
      <c r="AX48" s="56">
        <f>(MAX(0,AX52)-MAX(0,AW52))*Assumptions!$C$53</f>
        <v>0</v>
      </c>
      <c r="AY48" s="56">
        <f>(MAX(0,AY52)-MAX(0,AX52))*Assumptions!$C$53</f>
        <v>0</v>
      </c>
      <c r="AZ48" s="56">
        <f>(MAX(0,AZ52)-MAX(0,AY52))*Assumptions!$C$53</f>
        <v>0</v>
      </c>
      <c r="BA48" s="56">
        <f>(MAX(0,BA52)-MAX(0,AZ52))*Assumptions!$C$53</f>
        <v>0</v>
      </c>
      <c r="BB48" s="56">
        <f>(MAX(0,BB52)-MAX(0,BA52))*Assumptions!$C$53</f>
        <v>0</v>
      </c>
      <c r="BC48" s="56">
        <f>(MAX(0,BC52)-MAX(0,BB52))*Assumptions!$C$53</f>
        <v>0</v>
      </c>
      <c r="BD48" s="56">
        <f>(MAX(0,BD52)-MAX(0,BC52))*Assumptions!$C$53</f>
        <v>0</v>
      </c>
      <c r="BE48" s="56">
        <f>(MAX(0,BE52)-MAX(0,BD52))*Assumptions!$C$53</f>
        <v>0</v>
      </c>
      <c r="BF48" s="56">
        <f>(MAX(0,BF52)-MAX(0,BE52))*Assumptions!$C$53</f>
        <v>0</v>
      </c>
      <c r="BG48" s="56">
        <f>(MAX(0,BG52)-MAX(0,BF52))*Assumptions!$C$53</f>
        <v>0</v>
      </c>
      <c r="BH48" s="56">
        <f>(MAX(0,BH52)-MAX(0,BG52))*Assumptions!$C$53</f>
        <v>0</v>
      </c>
      <c r="BI48" s="56">
        <f>(MAX(0,BI52)-MAX(0,BH52))*Assumptions!$C$53</f>
        <v>0</v>
      </c>
    </row>
    <row r="49" spans="1:61" x14ac:dyDescent="0.25">
      <c r="A49" s="59" t="s">
        <v>251</v>
      </c>
      <c r="B49" s="60">
        <f t="shared" ref="B49:AG49" si="32">B47-B48</f>
        <v>0</v>
      </c>
      <c r="C49" s="60">
        <f t="shared" si="32"/>
        <v>0</v>
      </c>
      <c r="D49" s="60">
        <f t="shared" si="32"/>
        <v>0</v>
      </c>
      <c r="E49" s="60">
        <f t="shared" si="32"/>
        <v>0</v>
      </c>
      <c r="F49" s="60">
        <f t="shared" si="32"/>
        <v>0</v>
      </c>
      <c r="G49" s="60">
        <f t="shared" si="32"/>
        <v>0</v>
      </c>
      <c r="H49" s="60">
        <f t="shared" si="32"/>
        <v>0</v>
      </c>
      <c r="I49" s="60">
        <f t="shared" si="32"/>
        <v>0</v>
      </c>
      <c r="J49" s="60">
        <f t="shared" si="32"/>
        <v>0</v>
      </c>
      <c r="K49" s="60">
        <f t="shared" si="32"/>
        <v>0</v>
      </c>
      <c r="L49" s="60">
        <f t="shared" si="32"/>
        <v>0</v>
      </c>
      <c r="M49" s="60">
        <f t="shared" si="32"/>
        <v>0</v>
      </c>
      <c r="N49" s="60">
        <f t="shared" si="32"/>
        <v>0</v>
      </c>
      <c r="O49" s="60">
        <f t="shared" si="32"/>
        <v>0</v>
      </c>
      <c r="P49" s="60">
        <f t="shared" si="32"/>
        <v>0</v>
      </c>
      <c r="Q49" s="60">
        <f t="shared" si="32"/>
        <v>0</v>
      </c>
      <c r="R49" s="60">
        <f t="shared" si="32"/>
        <v>0</v>
      </c>
      <c r="S49" s="60">
        <f t="shared" si="32"/>
        <v>0</v>
      </c>
      <c r="T49" s="60">
        <f t="shared" si="32"/>
        <v>0</v>
      </c>
      <c r="U49" s="60">
        <f t="shared" si="32"/>
        <v>0</v>
      </c>
      <c r="V49" s="60">
        <f t="shared" si="32"/>
        <v>0</v>
      </c>
      <c r="W49" s="60">
        <f t="shared" si="32"/>
        <v>0</v>
      </c>
      <c r="X49" s="60">
        <f t="shared" si="32"/>
        <v>0</v>
      </c>
      <c r="Y49" s="60">
        <f t="shared" si="32"/>
        <v>0</v>
      </c>
      <c r="Z49" s="60">
        <f t="shared" si="32"/>
        <v>0</v>
      </c>
      <c r="AA49" s="60">
        <f t="shared" si="32"/>
        <v>0</v>
      </c>
      <c r="AB49" s="60">
        <f t="shared" si="32"/>
        <v>0</v>
      </c>
      <c r="AC49" s="60">
        <f t="shared" si="32"/>
        <v>0</v>
      </c>
      <c r="AD49" s="60">
        <f t="shared" si="32"/>
        <v>0</v>
      </c>
      <c r="AE49" s="60">
        <f t="shared" si="32"/>
        <v>0</v>
      </c>
      <c r="AF49" s="60">
        <f t="shared" si="32"/>
        <v>0</v>
      </c>
      <c r="AG49" s="60">
        <f t="shared" si="32"/>
        <v>0</v>
      </c>
      <c r="AH49" s="60">
        <f t="shared" ref="AH49:BM49" si="33">AH47-AH48</f>
        <v>0</v>
      </c>
      <c r="AI49" s="60">
        <f t="shared" si="33"/>
        <v>0</v>
      </c>
      <c r="AJ49" s="60">
        <f t="shared" si="33"/>
        <v>0</v>
      </c>
      <c r="AK49" s="60">
        <f t="shared" si="33"/>
        <v>0</v>
      </c>
      <c r="AL49" s="60">
        <f t="shared" si="33"/>
        <v>0</v>
      </c>
      <c r="AM49" s="60">
        <f t="shared" si="33"/>
        <v>0</v>
      </c>
      <c r="AN49" s="60">
        <f t="shared" si="33"/>
        <v>0</v>
      </c>
      <c r="AO49" s="60">
        <f t="shared" si="33"/>
        <v>0</v>
      </c>
      <c r="AP49" s="60">
        <f t="shared" si="33"/>
        <v>0</v>
      </c>
      <c r="AQ49" s="60">
        <f t="shared" si="33"/>
        <v>0</v>
      </c>
      <c r="AR49" s="60">
        <f t="shared" si="33"/>
        <v>0</v>
      </c>
      <c r="AS49" s="60">
        <f t="shared" si="33"/>
        <v>0</v>
      </c>
      <c r="AT49" s="60">
        <f t="shared" si="33"/>
        <v>0</v>
      </c>
      <c r="AU49" s="60">
        <f t="shared" si="33"/>
        <v>0</v>
      </c>
      <c r="AV49" s="60">
        <f t="shared" si="33"/>
        <v>0</v>
      </c>
      <c r="AW49" s="60">
        <f t="shared" si="33"/>
        <v>0</v>
      </c>
      <c r="AX49" s="60">
        <f t="shared" si="33"/>
        <v>0</v>
      </c>
      <c r="AY49" s="60">
        <f t="shared" si="33"/>
        <v>0</v>
      </c>
      <c r="AZ49" s="60">
        <f t="shared" si="33"/>
        <v>0</v>
      </c>
      <c r="BA49" s="60">
        <f t="shared" si="33"/>
        <v>0</v>
      </c>
      <c r="BB49" s="60">
        <f t="shared" si="33"/>
        <v>0</v>
      </c>
      <c r="BC49" s="60">
        <f t="shared" si="33"/>
        <v>0</v>
      </c>
      <c r="BD49" s="60">
        <f t="shared" si="33"/>
        <v>0</v>
      </c>
      <c r="BE49" s="60">
        <f t="shared" si="33"/>
        <v>0</v>
      </c>
      <c r="BF49" s="60">
        <f t="shared" si="33"/>
        <v>0</v>
      </c>
      <c r="BG49" s="60">
        <f t="shared" si="33"/>
        <v>0</v>
      </c>
      <c r="BH49" s="60">
        <f t="shared" si="33"/>
        <v>0</v>
      </c>
      <c r="BI49" s="60">
        <f t="shared" si="33"/>
        <v>0</v>
      </c>
    </row>
    <row r="50" spans="1:61" x14ac:dyDescent="0.25">
      <c r="A50" s="50" t="s">
        <v>252</v>
      </c>
      <c r="B50" s="51">
        <f t="shared" ref="B50:AG50" si="34">IFERROR(IF(B20=0,0,B49/B20),0)</f>
        <v>0</v>
      </c>
      <c r="C50" s="51">
        <f t="shared" si="34"/>
        <v>0</v>
      </c>
      <c r="D50" s="51">
        <f t="shared" si="34"/>
        <v>0</v>
      </c>
      <c r="E50" s="51">
        <f t="shared" si="34"/>
        <v>0</v>
      </c>
      <c r="F50" s="51">
        <f t="shared" si="34"/>
        <v>0</v>
      </c>
      <c r="G50" s="51">
        <f t="shared" si="34"/>
        <v>0</v>
      </c>
      <c r="H50" s="51">
        <f t="shared" si="34"/>
        <v>0</v>
      </c>
      <c r="I50" s="51">
        <f t="shared" si="34"/>
        <v>0</v>
      </c>
      <c r="J50" s="51">
        <f t="shared" si="34"/>
        <v>0</v>
      </c>
      <c r="K50" s="51">
        <f t="shared" si="34"/>
        <v>0</v>
      </c>
      <c r="L50" s="51">
        <f t="shared" si="34"/>
        <v>0</v>
      </c>
      <c r="M50" s="51">
        <f t="shared" si="34"/>
        <v>0</v>
      </c>
      <c r="N50" s="51">
        <f t="shared" si="34"/>
        <v>0</v>
      </c>
      <c r="O50" s="51">
        <f t="shared" si="34"/>
        <v>0</v>
      </c>
      <c r="P50" s="51">
        <f t="shared" si="34"/>
        <v>0</v>
      </c>
      <c r="Q50" s="51">
        <f t="shared" si="34"/>
        <v>0</v>
      </c>
      <c r="R50" s="51">
        <f t="shared" si="34"/>
        <v>0</v>
      </c>
      <c r="S50" s="51">
        <f t="shared" si="34"/>
        <v>0</v>
      </c>
      <c r="T50" s="51">
        <f t="shared" si="34"/>
        <v>0</v>
      </c>
      <c r="U50" s="51">
        <f t="shared" si="34"/>
        <v>0</v>
      </c>
      <c r="V50" s="51">
        <f t="shared" si="34"/>
        <v>0</v>
      </c>
      <c r="W50" s="51">
        <f t="shared" si="34"/>
        <v>0</v>
      </c>
      <c r="X50" s="51">
        <f t="shared" si="34"/>
        <v>0</v>
      </c>
      <c r="Y50" s="51">
        <f t="shared" si="34"/>
        <v>0</v>
      </c>
      <c r="Z50" s="51">
        <f t="shared" si="34"/>
        <v>0</v>
      </c>
      <c r="AA50" s="51">
        <f t="shared" si="34"/>
        <v>0</v>
      </c>
      <c r="AB50" s="51">
        <f t="shared" si="34"/>
        <v>0</v>
      </c>
      <c r="AC50" s="51">
        <f t="shared" si="34"/>
        <v>0</v>
      </c>
      <c r="AD50" s="51">
        <f t="shared" si="34"/>
        <v>0</v>
      </c>
      <c r="AE50" s="51">
        <f t="shared" si="34"/>
        <v>0</v>
      </c>
      <c r="AF50" s="51">
        <f t="shared" si="34"/>
        <v>0</v>
      </c>
      <c r="AG50" s="51">
        <f t="shared" si="34"/>
        <v>0</v>
      </c>
      <c r="AH50" s="51">
        <f t="shared" ref="AH50:BM50" si="35">IFERROR(IF(AH20=0,0,AH49/AH20),0)</f>
        <v>0</v>
      </c>
      <c r="AI50" s="51">
        <f t="shared" si="35"/>
        <v>0</v>
      </c>
      <c r="AJ50" s="51">
        <f t="shared" si="35"/>
        <v>0</v>
      </c>
      <c r="AK50" s="51">
        <f t="shared" si="35"/>
        <v>0</v>
      </c>
      <c r="AL50" s="51">
        <f t="shared" si="35"/>
        <v>0</v>
      </c>
      <c r="AM50" s="51">
        <f t="shared" si="35"/>
        <v>0</v>
      </c>
      <c r="AN50" s="51">
        <f t="shared" si="35"/>
        <v>0</v>
      </c>
      <c r="AO50" s="51">
        <f t="shared" si="35"/>
        <v>0</v>
      </c>
      <c r="AP50" s="51">
        <f t="shared" si="35"/>
        <v>0</v>
      </c>
      <c r="AQ50" s="51">
        <f t="shared" si="35"/>
        <v>0</v>
      </c>
      <c r="AR50" s="51">
        <f t="shared" si="35"/>
        <v>0</v>
      </c>
      <c r="AS50" s="51">
        <f t="shared" si="35"/>
        <v>0</v>
      </c>
      <c r="AT50" s="51">
        <f t="shared" si="35"/>
        <v>0</v>
      </c>
      <c r="AU50" s="51">
        <f t="shared" si="35"/>
        <v>0</v>
      </c>
      <c r="AV50" s="51">
        <f t="shared" si="35"/>
        <v>0</v>
      </c>
      <c r="AW50" s="51">
        <f t="shared" si="35"/>
        <v>0</v>
      </c>
      <c r="AX50" s="51">
        <f t="shared" si="35"/>
        <v>0</v>
      </c>
      <c r="AY50" s="51">
        <f t="shared" si="35"/>
        <v>0</v>
      </c>
      <c r="AZ50" s="51">
        <f t="shared" si="35"/>
        <v>0</v>
      </c>
      <c r="BA50" s="51">
        <f t="shared" si="35"/>
        <v>0</v>
      </c>
      <c r="BB50" s="51">
        <f t="shared" si="35"/>
        <v>0</v>
      </c>
      <c r="BC50" s="51">
        <f t="shared" si="35"/>
        <v>0</v>
      </c>
      <c r="BD50" s="51">
        <f t="shared" si="35"/>
        <v>0</v>
      </c>
      <c r="BE50" s="51">
        <f t="shared" si="35"/>
        <v>0</v>
      </c>
      <c r="BF50" s="51">
        <f t="shared" si="35"/>
        <v>0</v>
      </c>
      <c r="BG50" s="51">
        <f t="shared" si="35"/>
        <v>0</v>
      </c>
      <c r="BH50" s="51">
        <f t="shared" si="35"/>
        <v>0</v>
      </c>
      <c r="BI50" s="51">
        <f t="shared" si="35"/>
        <v>0</v>
      </c>
    </row>
    <row r="52" spans="1:61" x14ac:dyDescent="0.25">
      <c r="A52" s="45" t="s">
        <v>253</v>
      </c>
      <c r="B52" s="56">
        <f>B47</f>
        <v>0</v>
      </c>
      <c r="C52" s="56">
        <f t="shared" ref="C52:AH52" si="36">B52+C47</f>
        <v>0</v>
      </c>
      <c r="D52" s="56">
        <f t="shared" si="36"/>
        <v>0</v>
      </c>
      <c r="E52" s="56">
        <f t="shared" si="36"/>
        <v>0</v>
      </c>
      <c r="F52" s="56">
        <f t="shared" si="36"/>
        <v>0</v>
      </c>
      <c r="G52" s="56">
        <f t="shared" si="36"/>
        <v>0</v>
      </c>
      <c r="H52" s="56">
        <f t="shared" si="36"/>
        <v>0</v>
      </c>
      <c r="I52" s="56">
        <f t="shared" si="36"/>
        <v>0</v>
      </c>
      <c r="J52" s="56">
        <f t="shared" si="36"/>
        <v>0</v>
      </c>
      <c r="K52" s="56">
        <f t="shared" si="36"/>
        <v>0</v>
      </c>
      <c r="L52" s="56">
        <f t="shared" si="36"/>
        <v>0</v>
      </c>
      <c r="M52" s="56">
        <f t="shared" si="36"/>
        <v>0</v>
      </c>
      <c r="N52" s="56">
        <f t="shared" si="36"/>
        <v>0</v>
      </c>
      <c r="O52" s="56">
        <f t="shared" si="36"/>
        <v>0</v>
      </c>
      <c r="P52" s="56">
        <f t="shared" si="36"/>
        <v>0</v>
      </c>
      <c r="Q52" s="56">
        <f t="shared" si="36"/>
        <v>0</v>
      </c>
      <c r="R52" s="56">
        <f t="shared" si="36"/>
        <v>0</v>
      </c>
      <c r="S52" s="56">
        <f t="shared" si="36"/>
        <v>0</v>
      </c>
      <c r="T52" s="56">
        <f t="shared" si="36"/>
        <v>0</v>
      </c>
      <c r="U52" s="56">
        <f t="shared" si="36"/>
        <v>0</v>
      </c>
      <c r="V52" s="56">
        <f t="shared" si="36"/>
        <v>0</v>
      </c>
      <c r="W52" s="56">
        <f t="shared" si="36"/>
        <v>0</v>
      </c>
      <c r="X52" s="56">
        <f t="shared" si="36"/>
        <v>0</v>
      </c>
      <c r="Y52" s="56">
        <f t="shared" si="36"/>
        <v>0</v>
      </c>
      <c r="Z52" s="56">
        <f t="shared" si="36"/>
        <v>0</v>
      </c>
      <c r="AA52" s="56">
        <f t="shared" si="36"/>
        <v>0</v>
      </c>
      <c r="AB52" s="56">
        <f t="shared" si="36"/>
        <v>0</v>
      </c>
      <c r="AC52" s="56">
        <f t="shared" si="36"/>
        <v>0</v>
      </c>
      <c r="AD52" s="56">
        <f t="shared" si="36"/>
        <v>0</v>
      </c>
      <c r="AE52" s="56">
        <f t="shared" si="36"/>
        <v>0</v>
      </c>
      <c r="AF52" s="56">
        <f t="shared" si="36"/>
        <v>0</v>
      </c>
      <c r="AG52" s="56">
        <f t="shared" si="36"/>
        <v>0</v>
      </c>
      <c r="AH52" s="56">
        <f t="shared" si="36"/>
        <v>0</v>
      </c>
      <c r="AI52" s="56">
        <f t="shared" ref="AI52:BI52" si="37">AH52+AI47</f>
        <v>0</v>
      </c>
      <c r="AJ52" s="56">
        <f t="shared" si="37"/>
        <v>0</v>
      </c>
      <c r="AK52" s="56">
        <f t="shared" si="37"/>
        <v>0</v>
      </c>
      <c r="AL52" s="56">
        <f t="shared" si="37"/>
        <v>0</v>
      </c>
      <c r="AM52" s="56">
        <f t="shared" si="37"/>
        <v>0</v>
      </c>
      <c r="AN52" s="56">
        <f t="shared" si="37"/>
        <v>0</v>
      </c>
      <c r="AO52" s="56">
        <f t="shared" si="37"/>
        <v>0</v>
      </c>
      <c r="AP52" s="56">
        <f t="shared" si="37"/>
        <v>0</v>
      </c>
      <c r="AQ52" s="56">
        <f t="shared" si="37"/>
        <v>0</v>
      </c>
      <c r="AR52" s="56">
        <f t="shared" si="37"/>
        <v>0</v>
      </c>
      <c r="AS52" s="56">
        <f t="shared" si="37"/>
        <v>0</v>
      </c>
      <c r="AT52" s="56">
        <f t="shared" si="37"/>
        <v>0</v>
      </c>
      <c r="AU52" s="56">
        <f t="shared" si="37"/>
        <v>0</v>
      </c>
      <c r="AV52" s="56">
        <f t="shared" si="37"/>
        <v>0</v>
      </c>
      <c r="AW52" s="56">
        <f t="shared" si="37"/>
        <v>0</v>
      </c>
      <c r="AX52" s="56">
        <f t="shared" si="37"/>
        <v>0</v>
      </c>
      <c r="AY52" s="56">
        <f t="shared" si="37"/>
        <v>0</v>
      </c>
      <c r="AZ52" s="56">
        <f t="shared" si="37"/>
        <v>0</v>
      </c>
      <c r="BA52" s="56">
        <f t="shared" si="37"/>
        <v>0</v>
      </c>
      <c r="BB52" s="56">
        <f t="shared" si="37"/>
        <v>0</v>
      </c>
      <c r="BC52" s="56">
        <f t="shared" si="37"/>
        <v>0</v>
      </c>
      <c r="BD52" s="56">
        <f t="shared" si="37"/>
        <v>0</v>
      </c>
      <c r="BE52" s="56">
        <f t="shared" si="37"/>
        <v>0</v>
      </c>
      <c r="BF52" s="56">
        <f t="shared" si="37"/>
        <v>0</v>
      </c>
      <c r="BG52" s="56">
        <f t="shared" si="37"/>
        <v>0</v>
      </c>
      <c r="BH52" s="56">
        <f t="shared" si="37"/>
        <v>0</v>
      </c>
      <c r="BI52" s="56">
        <f t="shared" si="37"/>
        <v>0</v>
      </c>
    </row>
    <row r="53" spans="1:61" x14ac:dyDescent="0.25">
      <c r="A53" s="45" t="s">
        <v>254</v>
      </c>
      <c r="B53" s="56">
        <f>B49</f>
        <v>0</v>
      </c>
      <c r="C53" s="56">
        <f t="shared" ref="C53:AH53" si="38">B53+C49</f>
        <v>0</v>
      </c>
      <c r="D53" s="56">
        <f t="shared" si="38"/>
        <v>0</v>
      </c>
      <c r="E53" s="56">
        <f t="shared" si="38"/>
        <v>0</v>
      </c>
      <c r="F53" s="56">
        <f t="shared" si="38"/>
        <v>0</v>
      </c>
      <c r="G53" s="56">
        <f t="shared" si="38"/>
        <v>0</v>
      </c>
      <c r="H53" s="56">
        <f t="shared" si="38"/>
        <v>0</v>
      </c>
      <c r="I53" s="56">
        <f t="shared" si="38"/>
        <v>0</v>
      </c>
      <c r="J53" s="56">
        <f t="shared" si="38"/>
        <v>0</v>
      </c>
      <c r="K53" s="56">
        <f t="shared" si="38"/>
        <v>0</v>
      </c>
      <c r="L53" s="56">
        <f t="shared" si="38"/>
        <v>0</v>
      </c>
      <c r="M53" s="56">
        <f t="shared" si="38"/>
        <v>0</v>
      </c>
      <c r="N53" s="56">
        <f t="shared" si="38"/>
        <v>0</v>
      </c>
      <c r="O53" s="56">
        <f t="shared" si="38"/>
        <v>0</v>
      </c>
      <c r="P53" s="56">
        <f t="shared" si="38"/>
        <v>0</v>
      </c>
      <c r="Q53" s="56">
        <f t="shared" si="38"/>
        <v>0</v>
      </c>
      <c r="R53" s="56">
        <f t="shared" si="38"/>
        <v>0</v>
      </c>
      <c r="S53" s="56">
        <f t="shared" si="38"/>
        <v>0</v>
      </c>
      <c r="T53" s="56">
        <f t="shared" si="38"/>
        <v>0</v>
      </c>
      <c r="U53" s="56">
        <f t="shared" si="38"/>
        <v>0</v>
      </c>
      <c r="V53" s="56">
        <f t="shared" si="38"/>
        <v>0</v>
      </c>
      <c r="W53" s="56">
        <f t="shared" si="38"/>
        <v>0</v>
      </c>
      <c r="X53" s="56">
        <f t="shared" si="38"/>
        <v>0</v>
      </c>
      <c r="Y53" s="56">
        <f t="shared" si="38"/>
        <v>0</v>
      </c>
      <c r="Z53" s="56">
        <f t="shared" si="38"/>
        <v>0</v>
      </c>
      <c r="AA53" s="56">
        <f t="shared" si="38"/>
        <v>0</v>
      </c>
      <c r="AB53" s="56">
        <f t="shared" si="38"/>
        <v>0</v>
      </c>
      <c r="AC53" s="56">
        <f t="shared" si="38"/>
        <v>0</v>
      </c>
      <c r="AD53" s="56">
        <f t="shared" si="38"/>
        <v>0</v>
      </c>
      <c r="AE53" s="56">
        <f t="shared" si="38"/>
        <v>0</v>
      </c>
      <c r="AF53" s="56">
        <f t="shared" si="38"/>
        <v>0</v>
      </c>
      <c r="AG53" s="56">
        <f t="shared" si="38"/>
        <v>0</v>
      </c>
      <c r="AH53" s="56">
        <f t="shared" si="38"/>
        <v>0</v>
      </c>
      <c r="AI53" s="56">
        <f t="shared" ref="AI53:BI53" si="39">AH53+AI49</f>
        <v>0</v>
      </c>
      <c r="AJ53" s="56">
        <f t="shared" si="39"/>
        <v>0</v>
      </c>
      <c r="AK53" s="56">
        <f t="shared" si="39"/>
        <v>0</v>
      </c>
      <c r="AL53" s="56">
        <f t="shared" si="39"/>
        <v>0</v>
      </c>
      <c r="AM53" s="56">
        <f t="shared" si="39"/>
        <v>0</v>
      </c>
      <c r="AN53" s="56">
        <f t="shared" si="39"/>
        <v>0</v>
      </c>
      <c r="AO53" s="56">
        <f t="shared" si="39"/>
        <v>0</v>
      </c>
      <c r="AP53" s="56">
        <f t="shared" si="39"/>
        <v>0</v>
      </c>
      <c r="AQ53" s="56">
        <f t="shared" si="39"/>
        <v>0</v>
      </c>
      <c r="AR53" s="56">
        <f t="shared" si="39"/>
        <v>0</v>
      </c>
      <c r="AS53" s="56">
        <f t="shared" si="39"/>
        <v>0</v>
      </c>
      <c r="AT53" s="56">
        <f t="shared" si="39"/>
        <v>0</v>
      </c>
      <c r="AU53" s="56">
        <f t="shared" si="39"/>
        <v>0</v>
      </c>
      <c r="AV53" s="56">
        <f t="shared" si="39"/>
        <v>0</v>
      </c>
      <c r="AW53" s="56">
        <f t="shared" si="39"/>
        <v>0</v>
      </c>
      <c r="AX53" s="56">
        <f t="shared" si="39"/>
        <v>0</v>
      </c>
      <c r="AY53" s="56">
        <f t="shared" si="39"/>
        <v>0</v>
      </c>
      <c r="AZ53" s="56">
        <f t="shared" si="39"/>
        <v>0</v>
      </c>
      <c r="BA53" s="56">
        <f t="shared" si="39"/>
        <v>0</v>
      </c>
      <c r="BB53" s="56">
        <f t="shared" si="39"/>
        <v>0</v>
      </c>
      <c r="BC53" s="56">
        <f t="shared" si="39"/>
        <v>0</v>
      </c>
      <c r="BD53" s="56">
        <f t="shared" si="39"/>
        <v>0</v>
      </c>
      <c r="BE53" s="56">
        <f t="shared" si="39"/>
        <v>0</v>
      </c>
      <c r="BF53" s="56">
        <f t="shared" si="39"/>
        <v>0</v>
      </c>
      <c r="BG53" s="56">
        <f t="shared" si="39"/>
        <v>0</v>
      </c>
      <c r="BH53" s="56">
        <f t="shared" si="39"/>
        <v>0</v>
      </c>
      <c r="BI53" s="56">
        <f t="shared" si="39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zoomScaleNormal="100" workbookViewId="0"/>
  </sheetViews>
  <sheetFormatPr defaultColWidth="8.7109375" defaultRowHeight="15" x14ac:dyDescent="0.25"/>
  <cols>
    <col min="1" max="1" width="32" customWidth="1"/>
    <col min="2" max="7" width="12" customWidth="1"/>
    <col min="8" max="8" width="13" customWidth="1"/>
  </cols>
  <sheetData>
    <row r="1" spans="1:8" ht="18" x14ac:dyDescent="0.25">
      <c r="A1" s="21" t="s">
        <v>255</v>
      </c>
    </row>
    <row r="2" spans="1:8" x14ac:dyDescent="0.25">
      <c r="A2" s="15" t="s">
        <v>256</v>
      </c>
    </row>
    <row r="3" spans="1:8" x14ac:dyDescent="0.25">
      <c r="A3" s="25" t="s">
        <v>257</v>
      </c>
      <c r="B3" s="26" t="s">
        <v>258</v>
      </c>
      <c r="C3" s="26" t="s">
        <v>259</v>
      </c>
      <c r="D3" s="26" t="s">
        <v>260</v>
      </c>
      <c r="E3" s="26" t="s">
        <v>261</v>
      </c>
      <c r="F3" s="26" t="s">
        <v>262</v>
      </c>
      <c r="G3" s="26" t="s">
        <v>263</v>
      </c>
      <c r="H3" s="26" t="s">
        <v>264</v>
      </c>
    </row>
    <row r="4" spans="1:8" x14ac:dyDescent="0.25">
      <c r="A4" s="61" t="s">
        <v>229</v>
      </c>
      <c r="B4" s="62">
        <v>0</v>
      </c>
      <c r="C4" s="63">
        <f>SUM('Monthly Model'!B20:M20)</f>
        <v>0</v>
      </c>
      <c r="D4" s="63">
        <f>SUM('Monthly Model'!N20:Y20)</f>
        <v>0</v>
      </c>
      <c r="E4" s="63">
        <f>SUM('Monthly Model'!Z20:AK20)</f>
        <v>0</v>
      </c>
      <c r="F4" s="63">
        <f>SUM('Monthly Model'!AL20:AW20)</f>
        <v>0</v>
      </c>
      <c r="G4" s="63">
        <f>SUM('Monthly Model'!AX20:BI20)</f>
        <v>0</v>
      </c>
      <c r="H4" s="63">
        <f>SUM(C4:G4)</f>
        <v>0</v>
      </c>
    </row>
    <row r="5" spans="1:8" x14ac:dyDescent="0.25">
      <c r="A5" s="45" t="s">
        <v>265</v>
      </c>
      <c r="C5" s="64" t="s">
        <v>266</v>
      </c>
      <c r="D5" s="65">
        <f>IFERROR(IF(C4=0,0,D4/C4-1),0)</f>
        <v>0</v>
      </c>
      <c r="E5" s="65">
        <f>IFERROR(IF(D4=0,0,E4/D4-1),0)</f>
        <v>0</v>
      </c>
      <c r="F5" s="65">
        <f>IFERROR(IF(E4=0,0,F4/E4-1),0)</f>
        <v>0</v>
      </c>
      <c r="G5" s="65">
        <f>IFERROR(IF(F4=0,0,G4/F4-1),0)</f>
        <v>0</v>
      </c>
    </row>
    <row r="6" spans="1:8" x14ac:dyDescent="0.25">
      <c r="A6" s="50" t="s">
        <v>267</v>
      </c>
      <c r="B6" s="56">
        <v>0</v>
      </c>
      <c r="C6" s="58">
        <f>SUM('Monthly Model'!B28:M28)</f>
        <v>0</v>
      </c>
      <c r="D6" s="58">
        <f>SUM('Monthly Model'!N28:Y28)</f>
        <v>0</v>
      </c>
      <c r="E6" s="58">
        <f>SUM('Monthly Model'!Z28:AK28)</f>
        <v>0</v>
      </c>
      <c r="F6" s="58">
        <f>SUM('Monthly Model'!AL28:AW28)</f>
        <v>0</v>
      </c>
      <c r="G6" s="58">
        <f>SUM('Monthly Model'!AX28:BI28)</f>
        <v>0</v>
      </c>
      <c r="H6" s="66">
        <f>SUM(C6:G6)</f>
        <v>0</v>
      </c>
    </row>
    <row r="7" spans="1:8" x14ac:dyDescent="0.25">
      <c r="A7" s="61" t="s">
        <v>236</v>
      </c>
      <c r="B7" s="62">
        <v>0</v>
      </c>
      <c r="C7" s="67">
        <f>SUM('Monthly Model'!B29:M29)</f>
        <v>0</v>
      </c>
      <c r="D7" s="67">
        <f>SUM('Monthly Model'!N29:Y29)</f>
        <v>0</v>
      </c>
      <c r="E7" s="67">
        <f>SUM('Monthly Model'!Z29:AK29)</f>
        <v>0</v>
      </c>
      <c r="F7" s="67">
        <f>SUM('Monthly Model'!AL29:AW29)</f>
        <v>0</v>
      </c>
      <c r="G7" s="67">
        <f>SUM('Monthly Model'!AX29:BI29)</f>
        <v>0</v>
      </c>
      <c r="H7" s="67">
        <f>SUM(C7:G7)</f>
        <v>0</v>
      </c>
    </row>
    <row r="8" spans="1:8" x14ac:dyDescent="0.25">
      <c r="A8" s="45" t="s">
        <v>268</v>
      </c>
      <c r="B8" s="65">
        <f t="shared" ref="B8:G8" si="0">IFERROR(IF(B4=0,0,B7/B4),0)</f>
        <v>0</v>
      </c>
      <c r="C8" s="65">
        <f t="shared" si="0"/>
        <v>0</v>
      </c>
      <c r="D8" s="65">
        <f t="shared" si="0"/>
        <v>0</v>
      </c>
      <c r="E8" s="65">
        <f t="shared" si="0"/>
        <v>0</v>
      </c>
      <c r="F8" s="65">
        <f t="shared" si="0"/>
        <v>0</v>
      </c>
      <c r="G8" s="65">
        <f t="shared" si="0"/>
        <v>0</v>
      </c>
    </row>
    <row r="9" spans="1:8" x14ac:dyDescent="0.25">
      <c r="A9" s="50" t="s">
        <v>269</v>
      </c>
      <c r="B9" s="56">
        <v>0</v>
      </c>
      <c r="C9" s="58">
        <f>SUM('Monthly Model'!B38:M38)</f>
        <v>0</v>
      </c>
      <c r="D9" s="58">
        <f>SUM('Monthly Model'!N38:Y38)</f>
        <v>0</v>
      </c>
      <c r="E9" s="58">
        <f>SUM('Monthly Model'!Z38:AK38)</f>
        <v>0</v>
      </c>
      <c r="F9" s="58">
        <f>SUM('Monthly Model'!AL38:AW38)</f>
        <v>0</v>
      </c>
      <c r="G9" s="58">
        <f>SUM('Monthly Model'!AX38:BI38)</f>
        <v>0</v>
      </c>
      <c r="H9" s="66">
        <f>SUM(C9:G9)</f>
        <v>0</v>
      </c>
    </row>
    <row r="10" spans="1:8" x14ac:dyDescent="0.25">
      <c r="A10" s="61" t="s">
        <v>242</v>
      </c>
      <c r="B10" s="62">
        <v>0</v>
      </c>
      <c r="C10" s="68">
        <f>SUM('Monthly Model'!B40:M40)</f>
        <v>0</v>
      </c>
      <c r="D10" s="68">
        <f>SUM('Monthly Model'!N40:Y40)</f>
        <v>0</v>
      </c>
      <c r="E10" s="68">
        <f>SUM('Monthly Model'!Z40:AK40)</f>
        <v>0</v>
      </c>
      <c r="F10" s="68">
        <f>SUM('Monthly Model'!AL40:AW40)</f>
        <v>0</v>
      </c>
      <c r="G10" s="68">
        <f>SUM('Monthly Model'!AX40:BI40)</f>
        <v>0</v>
      </c>
      <c r="H10" s="68">
        <f>SUM(C10:G10)</f>
        <v>0</v>
      </c>
    </row>
    <row r="11" spans="1:8" x14ac:dyDescent="0.25">
      <c r="A11" s="45" t="s">
        <v>270</v>
      </c>
      <c r="B11" s="65">
        <f t="shared" ref="B11:G11" si="1">IFERROR(IF(B4=0,0,B10/B4),0)</f>
        <v>0</v>
      </c>
      <c r="C11" s="65">
        <f t="shared" si="1"/>
        <v>0</v>
      </c>
      <c r="D11" s="65">
        <f t="shared" si="1"/>
        <v>0</v>
      </c>
      <c r="E11" s="65">
        <f t="shared" si="1"/>
        <v>0</v>
      </c>
      <c r="F11" s="65">
        <f t="shared" si="1"/>
        <v>0</v>
      </c>
      <c r="G11" s="65">
        <f t="shared" si="1"/>
        <v>0</v>
      </c>
    </row>
    <row r="12" spans="1:8" x14ac:dyDescent="0.25">
      <c r="A12" s="50" t="s">
        <v>244</v>
      </c>
      <c r="B12" s="56">
        <v>0</v>
      </c>
      <c r="C12" s="58">
        <f>SUM('Monthly Model'!B42:M42)</f>
        <v>0</v>
      </c>
      <c r="D12" s="58">
        <f>SUM('Monthly Model'!N42:Y42)</f>
        <v>0</v>
      </c>
      <c r="E12" s="58">
        <f>SUM('Monthly Model'!Z42:AK42)</f>
        <v>0</v>
      </c>
      <c r="F12" s="58">
        <f>SUM('Monthly Model'!AL42:AW42)</f>
        <v>0</v>
      </c>
      <c r="G12" s="58">
        <f>SUM('Monthly Model'!AX42:BI42)</f>
        <v>0</v>
      </c>
      <c r="H12" s="66">
        <f t="shared" ref="H12:H17" si="2">SUM(C12:G12)</f>
        <v>0</v>
      </c>
    </row>
    <row r="13" spans="1:8" x14ac:dyDescent="0.25">
      <c r="A13" s="61" t="s">
        <v>245</v>
      </c>
      <c r="B13" s="62">
        <v>0</v>
      </c>
      <c r="C13" s="67">
        <f>SUM('Monthly Model'!B43:M43)</f>
        <v>0</v>
      </c>
      <c r="D13" s="67">
        <f>SUM('Monthly Model'!N43:Y43)</f>
        <v>0</v>
      </c>
      <c r="E13" s="67">
        <f>SUM('Monthly Model'!Z43:AK43)</f>
        <v>0</v>
      </c>
      <c r="F13" s="67">
        <f>SUM('Monthly Model'!AL43:AW43)</f>
        <v>0</v>
      </c>
      <c r="G13" s="67">
        <f>SUM('Monthly Model'!AX43:BI43)</f>
        <v>0</v>
      </c>
      <c r="H13" s="67">
        <f t="shared" si="2"/>
        <v>0</v>
      </c>
    </row>
    <row r="14" spans="1:8" x14ac:dyDescent="0.25">
      <c r="A14" s="50" t="s">
        <v>271</v>
      </c>
      <c r="B14" s="56">
        <v>0</v>
      </c>
      <c r="C14" s="58">
        <f>SUM('Monthly Model'!B46:M46)</f>
        <v>0</v>
      </c>
      <c r="D14" s="58">
        <f>SUM('Monthly Model'!N46:Y46)</f>
        <v>0</v>
      </c>
      <c r="E14" s="58">
        <f>SUM('Monthly Model'!Z46:AK46)</f>
        <v>0</v>
      </c>
      <c r="F14" s="58">
        <f>SUM('Monthly Model'!AL46:AW46)</f>
        <v>0</v>
      </c>
      <c r="G14" s="58">
        <f>SUM('Monthly Model'!AX46:BI46)</f>
        <v>0</v>
      </c>
      <c r="H14" s="66">
        <f t="shared" si="2"/>
        <v>0</v>
      </c>
    </row>
    <row r="15" spans="1:8" x14ac:dyDescent="0.25">
      <c r="A15" s="61" t="s">
        <v>249</v>
      </c>
      <c r="B15" s="62">
        <v>0</v>
      </c>
      <c r="C15" s="67">
        <f>SUM('Monthly Model'!B47:M47)</f>
        <v>0</v>
      </c>
      <c r="D15" s="67">
        <f>SUM('Monthly Model'!N47:Y47)</f>
        <v>0</v>
      </c>
      <c r="E15" s="67">
        <f>SUM('Monthly Model'!Z47:AK47)</f>
        <v>0</v>
      </c>
      <c r="F15" s="67">
        <f>SUM('Monthly Model'!AL47:AW47)</f>
        <v>0</v>
      </c>
      <c r="G15" s="67">
        <f>SUM('Monthly Model'!AX47:BI47)</f>
        <v>0</v>
      </c>
      <c r="H15" s="67">
        <f t="shared" si="2"/>
        <v>0</v>
      </c>
    </row>
    <row r="16" spans="1:8" x14ac:dyDescent="0.25">
      <c r="A16" s="50" t="s">
        <v>250</v>
      </c>
      <c r="B16" s="56">
        <v>0</v>
      </c>
      <c r="C16" s="58">
        <f>SUM('Monthly Model'!B48:M48)</f>
        <v>0</v>
      </c>
      <c r="D16" s="58">
        <f>SUM('Monthly Model'!N48:Y48)</f>
        <v>0</v>
      </c>
      <c r="E16" s="58">
        <f>SUM('Monthly Model'!Z48:AK48)</f>
        <v>0</v>
      </c>
      <c r="F16" s="58">
        <f>SUM('Monthly Model'!AL48:AW48)</f>
        <v>0</v>
      </c>
      <c r="G16" s="58">
        <f>SUM('Monthly Model'!AX48:BI48)</f>
        <v>0</v>
      </c>
      <c r="H16" s="66">
        <f t="shared" si="2"/>
        <v>0</v>
      </c>
    </row>
    <row r="17" spans="1:8" x14ac:dyDescent="0.25">
      <c r="A17" s="61" t="s">
        <v>251</v>
      </c>
      <c r="B17" s="62">
        <v>0</v>
      </c>
      <c r="C17" s="68">
        <f>SUM('Monthly Model'!B49:M49)</f>
        <v>0</v>
      </c>
      <c r="D17" s="68">
        <f>SUM('Monthly Model'!N49:Y49)</f>
        <v>0</v>
      </c>
      <c r="E17" s="68">
        <f>SUM('Monthly Model'!Z49:AK49)</f>
        <v>0</v>
      </c>
      <c r="F17" s="68">
        <f>SUM('Monthly Model'!AL49:AW49)</f>
        <v>0</v>
      </c>
      <c r="G17" s="68">
        <f>SUM('Monthly Model'!AX49:BI49)</f>
        <v>0</v>
      </c>
      <c r="H17" s="68">
        <f t="shared" si="2"/>
        <v>0</v>
      </c>
    </row>
    <row r="18" spans="1:8" x14ac:dyDescent="0.25">
      <c r="A18" s="45" t="s">
        <v>272</v>
      </c>
      <c r="B18" s="65">
        <f t="shared" ref="B18:G18" si="3">IFERROR(IF(B4=0,0,B17/B4),0)</f>
        <v>0</v>
      </c>
      <c r="C18" s="65">
        <f t="shared" si="3"/>
        <v>0</v>
      </c>
      <c r="D18" s="65">
        <f t="shared" si="3"/>
        <v>0</v>
      </c>
      <c r="E18" s="65">
        <f t="shared" si="3"/>
        <v>0</v>
      </c>
      <c r="F18" s="65">
        <f t="shared" si="3"/>
        <v>0</v>
      </c>
      <c r="G18" s="65">
        <f t="shared" si="3"/>
        <v>0</v>
      </c>
    </row>
    <row r="19" spans="1:8" x14ac:dyDescent="0.25">
      <c r="A19" s="69" t="s">
        <v>273</v>
      </c>
      <c r="B19" s="66">
        <v>0</v>
      </c>
      <c r="C19" s="70">
        <f>B19+C17</f>
        <v>0</v>
      </c>
      <c r="D19" s="70">
        <f>C19+D17</f>
        <v>0</v>
      </c>
      <c r="E19" s="70">
        <f>D19+E17</f>
        <v>0</v>
      </c>
      <c r="F19" s="70">
        <f>E19+F17</f>
        <v>0</v>
      </c>
      <c r="G19" s="70">
        <f>F19+G17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7" width="12" customWidth="1"/>
  </cols>
  <sheetData>
    <row r="1" spans="1:7" ht="18" x14ac:dyDescent="0.25">
      <c r="A1" s="21" t="s">
        <v>274</v>
      </c>
    </row>
    <row r="3" spans="1:7" x14ac:dyDescent="0.25">
      <c r="A3" s="25" t="s">
        <v>275</v>
      </c>
      <c r="B3" s="26" t="s">
        <v>258</v>
      </c>
      <c r="C3" s="26" t="s">
        <v>259</v>
      </c>
      <c r="D3" s="26" t="s">
        <v>260</v>
      </c>
      <c r="E3" s="26" t="s">
        <v>261</v>
      </c>
      <c r="F3" s="26" t="s">
        <v>262</v>
      </c>
      <c r="G3" s="26" t="s">
        <v>263</v>
      </c>
    </row>
    <row r="4" spans="1:7" x14ac:dyDescent="0.25">
      <c r="A4" s="46" t="s">
        <v>276</v>
      </c>
      <c r="B4" s="71"/>
      <c r="C4" s="71"/>
      <c r="D4" s="71"/>
      <c r="E4" s="71"/>
      <c r="F4" s="71"/>
      <c r="G4" s="71"/>
    </row>
    <row r="5" spans="1:7" x14ac:dyDescent="0.25">
      <c r="A5" s="50" t="s">
        <v>277</v>
      </c>
      <c r="B5" s="56">
        <f>'Fixed Assets'!B20</f>
        <v>0</v>
      </c>
      <c r="C5" s="56">
        <f>'Fixed Assets'!C20</f>
        <v>0</v>
      </c>
      <c r="D5" s="56">
        <f>'Fixed Assets'!D20</f>
        <v>0</v>
      </c>
      <c r="E5" s="56">
        <f>'Fixed Assets'!E20</f>
        <v>0</v>
      </c>
      <c r="F5" s="56">
        <f>'Fixed Assets'!F20</f>
        <v>0</v>
      </c>
      <c r="G5" s="56">
        <f>'Fixed Assets'!G20</f>
        <v>0</v>
      </c>
    </row>
    <row r="6" spans="1:7" x14ac:dyDescent="0.25">
      <c r="A6" s="50" t="s">
        <v>278</v>
      </c>
      <c r="B6" s="56">
        <f>'Working Capital'!B7</f>
        <v>0</v>
      </c>
      <c r="C6" s="56">
        <f>'Working Capital'!C7</f>
        <v>0</v>
      </c>
      <c r="D6" s="56">
        <f>'Working Capital'!D7</f>
        <v>0</v>
      </c>
      <c r="E6" s="56">
        <f>'Working Capital'!E7</f>
        <v>0</v>
      </c>
      <c r="F6" s="56">
        <f>'Working Capital'!F7</f>
        <v>0</v>
      </c>
      <c r="G6" s="56">
        <f>'Working Capital'!G7</f>
        <v>0</v>
      </c>
    </row>
    <row r="7" spans="1:7" x14ac:dyDescent="0.25">
      <c r="A7" s="50" t="s">
        <v>279</v>
      </c>
      <c r="B7" s="56">
        <f>'Working Capital'!B6</f>
        <v>0</v>
      </c>
      <c r="C7" s="56">
        <f>'Working Capital'!C6</f>
        <v>0</v>
      </c>
      <c r="D7" s="56">
        <f>'Working Capital'!D6</f>
        <v>0</v>
      </c>
      <c r="E7" s="56">
        <f>'Working Capital'!E6</f>
        <v>0</v>
      </c>
      <c r="F7" s="56">
        <f>'Working Capital'!F6</f>
        <v>0</v>
      </c>
      <c r="G7" s="56">
        <f>'Working Capital'!G6</f>
        <v>0</v>
      </c>
    </row>
    <row r="8" spans="1:7" x14ac:dyDescent="0.25">
      <c r="A8" s="50" t="s">
        <v>280</v>
      </c>
      <c r="B8" s="56">
        <f>'Cash Flow'!B24</f>
        <v>0</v>
      </c>
      <c r="C8" s="56">
        <f>'Cash Flow'!C24</f>
        <v>0</v>
      </c>
      <c r="D8" s="56">
        <f>'Cash Flow'!D24</f>
        <v>0</v>
      </c>
      <c r="E8" s="56">
        <f>'Cash Flow'!E24</f>
        <v>0</v>
      </c>
      <c r="F8" s="56">
        <f>'Cash Flow'!F24</f>
        <v>0</v>
      </c>
      <c r="G8" s="56">
        <f>'Cash Flow'!G24</f>
        <v>0</v>
      </c>
    </row>
    <row r="9" spans="1:7" x14ac:dyDescent="0.25">
      <c r="A9" s="69" t="s">
        <v>281</v>
      </c>
      <c r="B9" s="57">
        <f t="shared" ref="B9:G9" si="0">SUM(B5:B8)</f>
        <v>0</v>
      </c>
      <c r="C9" s="57">
        <f t="shared" si="0"/>
        <v>0</v>
      </c>
      <c r="D9" s="57">
        <f t="shared" si="0"/>
        <v>0</v>
      </c>
      <c r="E9" s="57">
        <f t="shared" si="0"/>
        <v>0</v>
      </c>
      <c r="F9" s="57">
        <f t="shared" si="0"/>
        <v>0</v>
      </c>
      <c r="G9" s="57">
        <f t="shared" si="0"/>
        <v>0</v>
      </c>
    </row>
    <row r="11" spans="1:7" x14ac:dyDescent="0.25">
      <c r="A11" s="46" t="s">
        <v>282</v>
      </c>
      <c r="B11" s="71"/>
      <c r="C11" s="71"/>
      <c r="D11" s="71"/>
      <c r="E11" s="71"/>
      <c r="F11" s="71"/>
      <c r="G11" s="71"/>
    </row>
    <row r="12" spans="1:7" x14ac:dyDescent="0.25">
      <c r="A12" s="50" t="s">
        <v>283</v>
      </c>
      <c r="B12" s="56">
        <f>Funding!C14+Funding!C15</f>
        <v>0</v>
      </c>
      <c r="C12" s="56">
        <f>Funding!C14+Funding!C15</f>
        <v>0</v>
      </c>
      <c r="D12" s="56">
        <f>Funding!C14+Funding!C15</f>
        <v>0</v>
      </c>
      <c r="E12" s="56">
        <f>Funding!C14+Funding!C15</f>
        <v>0</v>
      </c>
      <c r="F12" s="56">
        <f>Funding!C14+Funding!C15</f>
        <v>0</v>
      </c>
      <c r="G12" s="56">
        <f>Funding!C14+Funding!C15</f>
        <v>0</v>
      </c>
    </row>
    <row r="13" spans="1:7" x14ac:dyDescent="0.25">
      <c r="A13" s="50" t="s">
        <v>284</v>
      </c>
      <c r="B13" s="56">
        <f>'Annual P&amp;L'!B19</f>
        <v>0</v>
      </c>
      <c r="C13" s="56">
        <f>'Annual P&amp;L'!C19</f>
        <v>0</v>
      </c>
      <c r="D13" s="56">
        <f>'Annual P&amp;L'!D19</f>
        <v>0</v>
      </c>
      <c r="E13" s="56">
        <f>'Annual P&amp;L'!E19</f>
        <v>0</v>
      </c>
      <c r="F13" s="56">
        <f>'Annual P&amp;L'!F19</f>
        <v>0</v>
      </c>
      <c r="G13" s="56">
        <f>'Annual P&amp;L'!G19</f>
        <v>0</v>
      </c>
    </row>
    <row r="14" spans="1:7" x14ac:dyDescent="0.25">
      <c r="A14" s="69" t="s">
        <v>285</v>
      </c>
      <c r="B14" s="66">
        <f t="shared" ref="B14:G14" si="1">B12+B13</f>
        <v>0</v>
      </c>
      <c r="C14" s="66">
        <f t="shared" si="1"/>
        <v>0</v>
      </c>
      <c r="D14" s="66">
        <f t="shared" si="1"/>
        <v>0</v>
      </c>
      <c r="E14" s="66">
        <f t="shared" si="1"/>
        <v>0</v>
      </c>
      <c r="F14" s="66">
        <f t="shared" si="1"/>
        <v>0</v>
      </c>
      <c r="G14" s="66">
        <f t="shared" si="1"/>
        <v>0</v>
      </c>
    </row>
    <row r="15" spans="1:7" x14ac:dyDescent="0.25">
      <c r="A15" s="50" t="s">
        <v>286</v>
      </c>
      <c r="B15" s="56">
        <f>Funding!C16</f>
        <v>0</v>
      </c>
      <c r="C15" s="56">
        <f>'Debt Schedule'!F5</f>
        <v>0</v>
      </c>
      <c r="D15" s="56">
        <f>'Debt Schedule'!F6</f>
        <v>0</v>
      </c>
      <c r="E15" s="56">
        <f>'Debt Schedule'!F7</f>
        <v>0</v>
      </c>
      <c r="F15" s="56">
        <f>'Debt Schedule'!F8</f>
        <v>0</v>
      </c>
      <c r="G15" s="56">
        <f>'Debt Schedule'!F9</f>
        <v>0</v>
      </c>
    </row>
    <row r="16" spans="1:7" x14ac:dyDescent="0.25">
      <c r="A16" s="50" t="s">
        <v>287</v>
      </c>
      <c r="B16" s="56">
        <v>0</v>
      </c>
      <c r="C16" s="56">
        <f>'Working Capital'!C12</f>
        <v>0</v>
      </c>
      <c r="D16" s="56">
        <f>'Working Capital'!D12</f>
        <v>0</v>
      </c>
      <c r="E16" s="56">
        <f>'Working Capital'!E12</f>
        <v>0</v>
      </c>
      <c r="F16" s="56">
        <f>'Working Capital'!F12</f>
        <v>0</v>
      </c>
      <c r="G16" s="56">
        <f>'Working Capital'!G12</f>
        <v>0</v>
      </c>
    </row>
    <row r="17" spans="1:7" x14ac:dyDescent="0.25">
      <c r="A17" s="50" t="s">
        <v>288</v>
      </c>
      <c r="B17" s="56">
        <f>'Working Capital'!B8</f>
        <v>0</v>
      </c>
      <c r="C17" s="56">
        <f>'Working Capital'!C8</f>
        <v>0</v>
      </c>
      <c r="D17" s="56">
        <f>'Working Capital'!D8</f>
        <v>0</v>
      </c>
      <c r="E17" s="56">
        <f>'Working Capital'!E8</f>
        <v>0</v>
      </c>
      <c r="F17" s="56">
        <f>'Working Capital'!F8</f>
        <v>0</v>
      </c>
      <c r="G17" s="56">
        <f>'Working Capital'!G8</f>
        <v>0</v>
      </c>
    </row>
    <row r="18" spans="1:7" x14ac:dyDescent="0.25">
      <c r="A18" s="69" t="s">
        <v>289</v>
      </c>
      <c r="B18" s="57">
        <f t="shared" ref="B18:G18" si="2">B14+B15+B16+B17</f>
        <v>0</v>
      </c>
      <c r="C18" s="57">
        <f t="shared" si="2"/>
        <v>0</v>
      </c>
      <c r="D18" s="57">
        <f t="shared" si="2"/>
        <v>0</v>
      </c>
      <c r="E18" s="57">
        <f t="shared" si="2"/>
        <v>0</v>
      </c>
      <c r="F18" s="57">
        <f t="shared" si="2"/>
        <v>0</v>
      </c>
      <c r="G18" s="57">
        <f t="shared" si="2"/>
        <v>0</v>
      </c>
    </row>
    <row r="19" spans="1:7" x14ac:dyDescent="0.25">
      <c r="A19" s="50" t="s">
        <v>290</v>
      </c>
      <c r="B19" s="72">
        <f t="shared" ref="B19:G19" si="3">B9-B18</f>
        <v>0</v>
      </c>
      <c r="C19" s="72">
        <f t="shared" si="3"/>
        <v>0</v>
      </c>
      <c r="D19" s="72">
        <f t="shared" si="3"/>
        <v>0</v>
      </c>
      <c r="E19" s="72">
        <f t="shared" si="3"/>
        <v>0</v>
      </c>
      <c r="F19" s="72">
        <f t="shared" si="3"/>
        <v>0</v>
      </c>
      <c r="G19" s="72">
        <f t="shared" si="3"/>
        <v>0</v>
      </c>
    </row>
    <row r="20" spans="1:7" x14ac:dyDescent="0.25">
      <c r="A20" s="15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showGridLines="0" zoomScaleNormal="100" workbookViewId="0">
      <selection activeCell="B1" sqref="B1"/>
    </sheetView>
  </sheetViews>
  <sheetFormatPr defaultColWidth="8.7109375" defaultRowHeight="15" x14ac:dyDescent="0.25"/>
  <cols>
    <col min="1" max="1" width="36" customWidth="1"/>
    <col min="2" max="7" width="12" customWidth="1"/>
  </cols>
  <sheetData>
    <row r="1" spans="1:7" ht="18" x14ac:dyDescent="0.25">
      <c r="A1" s="21" t="s">
        <v>292</v>
      </c>
    </row>
    <row r="3" spans="1:7" x14ac:dyDescent="0.25">
      <c r="A3" s="25"/>
      <c r="B3" s="26" t="s">
        <v>258</v>
      </c>
      <c r="C3" s="26" t="s">
        <v>259</v>
      </c>
      <c r="D3" s="26" t="s">
        <v>260</v>
      </c>
      <c r="E3" s="26" t="s">
        <v>261</v>
      </c>
      <c r="F3" s="26" t="s">
        <v>262</v>
      </c>
      <c r="G3" s="26" t="s">
        <v>263</v>
      </c>
    </row>
    <row r="4" spans="1:7" x14ac:dyDescent="0.25">
      <c r="A4" s="46" t="s">
        <v>293</v>
      </c>
      <c r="B4" s="71"/>
      <c r="C4" s="71"/>
      <c r="D4" s="71"/>
      <c r="E4" s="71"/>
      <c r="F4" s="71"/>
      <c r="G4" s="71"/>
    </row>
    <row r="5" spans="1:7" x14ac:dyDescent="0.25">
      <c r="A5" s="50" t="s">
        <v>294</v>
      </c>
      <c r="B5" s="56">
        <v>0</v>
      </c>
      <c r="C5" s="56">
        <f>'Annual P&amp;L'!C17</f>
        <v>0</v>
      </c>
      <c r="D5" s="56">
        <f>'Annual P&amp;L'!D17</f>
        <v>0</v>
      </c>
      <c r="E5" s="56">
        <f>'Annual P&amp;L'!E17</f>
        <v>0</v>
      </c>
      <c r="F5" s="56">
        <f>'Annual P&amp;L'!F17</f>
        <v>0</v>
      </c>
      <c r="G5" s="56">
        <f>'Annual P&amp;L'!G17</f>
        <v>0</v>
      </c>
    </row>
    <row r="6" spans="1:7" x14ac:dyDescent="0.25">
      <c r="A6" s="50" t="s">
        <v>295</v>
      </c>
      <c r="B6" s="56">
        <v>0</v>
      </c>
      <c r="C6" s="56">
        <f>'Annual P&amp;L'!C12</f>
        <v>0</v>
      </c>
      <c r="D6" s="56">
        <f>'Annual P&amp;L'!D12</f>
        <v>0</v>
      </c>
      <c r="E6" s="56">
        <f>'Annual P&amp;L'!E12</f>
        <v>0</v>
      </c>
      <c r="F6" s="56">
        <f>'Annual P&amp;L'!F12</f>
        <v>0</v>
      </c>
      <c r="G6" s="56">
        <f>'Annual P&amp;L'!G12</f>
        <v>0</v>
      </c>
    </row>
    <row r="7" spans="1:7" x14ac:dyDescent="0.25">
      <c r="A7" s="50" t="s">
        <v>296</v>
      </c>
      <c r="B7" s="56">
        <v>0</v>
      </c>
      <c r="C7" s="56">
        <f>-('Working Capital'!C6-'Working Capital'!B6)</f>
        <v>0</v>
      </c>
      <c r="D7" s="56">
        <f>-('Working Capital'!D6-'Working Capital'!C6)</f>
        <v>0</v>
      </c>
      <c r="E7" s="56">
        <f>-('Working Capital'!E6-'Working Capital'!D6)</f>
        <v>0</v>
      </c>
      <c r="F7" s="56">
        <f>-('Working Capital'!F6-'Working Capital'!E6)</f>
        <v>0</v>
      </c>
      <c r="G7" s="56">
        <f>-('Working Capital'!G6-'Working Capital'!F6)</f>
        <v>0</v>
      </c>
    </row>
    <row r="8" spans="1:7" x14ac:dyDescent="0.25">
      <c r="A8" s="50" t="s">
        <v>297</v>
      </c>
      <c r="B8" s="56">
        <v>0</v>
      </c>
      <c r="C8" s="56">
        <f>-('Working Capital'!C7-'Working Capital'!B7)</f>
        <v>0</v>
      </c>
      <c r="D8" s="56">
        <f>-('Working Capital'!D7-'Working Capital'!C7)</f>
        <v>0</v>
      </c>
      <c r="E8" s="56">
        <f>-('Working Capital'!E7-'Working Capital'!D7)</f>
        <v>0</v>
      </c>
      <c r="F8" s="56">
        <f>-('Working Capital'!F7-'Working Capital'!E7)</f>
        <v>0</v>
      </c>
      <c r="G8" s="56">
        <f>-('Working Capital'!G7-'Working Capital'!F7)</f>
        <v>0</v>
      </c>
    </row>
    <row r="9" spans="1:7" x14ac:dyDescent="0.25">
      <c r="A9" s="50" t="s">
        <v>298</v>
      </c>
      <c r="B9" s="56">
        <v>0</v>
      </c>
      <c r="C9" s="56">
        <f>('Working Capital'!C8-'Working Capital'!B8)</f>
        <v>0</v>
      </c>
      <c r="D9" s="56">
        <f>('Working Capital'!D8-'Working Capital'!C8)</f>
        <v>0</v>
      </c>
      <c r="E9" s="56">
        <f>('Working Capital'!E8-'Working Capital'!D8)</f>
        <v>0</v>
      </c>
      <c r="F9" s="56">
        <f>('Working Capital'!F8-'Working Capital'!E8)</f>
        <v>0</v>
      </c>
      <c r="G9" s="56">
        <f>('Working Capital'!G8-'Working Capital'!F8)</f>
        <v>0</v>
      </c>
    </row>
    <row r="10" spans="1:7" x14ac:dyDescent="0.25">
      <c r="A10" s="69" t="s">
        <v>299</v>
      </c>
      <c r="B10" s="60">
        <f t="shared" ref="B10:G10" si="0">SUM(B5:B9)</f>
        <v>0</v>
      </c>
      <c r="C10" s="60">
        <f t="shared" si="0"/>
        <v>0</v>
      </c>
      <c r="D10" s="60">
        <f t="shared" si="0"/>
        <v>0</v>
      </c>
      <c r="E10" s="60">
        <f t="shared" si="0"/>
        <v>0</v>
      </c>
      <c r="F10" s="60">
        <f t="shared" si="0"/>
        <v>0</v>
      </c>
      <c r="G10" s="60">
        <f t="shared" si="0"/>
        <v>0</v>
      </c>
    </row>
    <row r="12" spans="1:7" x14ac:dyDescent="0.25">
      <c r="A12" s="46" t="s">
        <v>300</v>
      </c>
      <c r="B12" s="71"/>
      <c r="C12" s="71"/>
      <c r="D12" s="71"/>
      <c r="E12" s="71"/>
      <c r="F12" s="71"/>
      <c r="G12" s="71"/>
    </row>
    <row r="13" spans="1:7" x14ac:dyDescent="0.25">
      <c r="A13" s="50" t="s">
        <v>301</v>
      </c>
      <c r="B13" s="56">
        <f>-Funding!C20</f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</row>
    <row r="14" spans="1:7" x14ac:dyDescent="0.25">
      <c r="A14" s="69" t="s">
        <v>302</v>
      </c>
      <c r="B14" s="66">
        <f t="shared" ref="B14:G14" si="1">B13</f>
        <v>0</v>
      </c>
      <c r="C14" s="66">
        <f t="shared" si="1"/>
        <v>0</v>
      </c>
      <c r="D14" s="66">
        <f t="shared" si="1"/>
        <v>0</v>
      </c>
      <c r="E14" s="66">
        <f t="shared" si="1"/>
        <v>0</v>
      </c>
      <c r="F14" s="66">
        <f t="shared" si="1"/>
        <v>0</v>
      </c>
      <c r="G14" s="66">
        <f t="shared" si="1"/>
        <v>0</v>
      </c>
    </row>
    <row r="16" spans="1:7" x14ac:dyDescent="0.25">
      <c r="A16" s="46" t="s">
        <v>303</v>
      </c>
      <c r="B16" s="71"/>
      <c r="C16" s="71"/>
      <c r="D16" s="71"/>
      <c r="E16" s="71"/>
      <c r="F16" s="71"/>
      <c r="G16" s="71"/>
    </row>
    <row r="17" spans="1:7" x14ac:dyDescent="0.25">
      <c r="A17" s="50" t="s">
        <v>304</v>
      </c>
      <c r="B17" s="56">
        <f>Funding!C14+Funding!C15</f>
        <v>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</row>
    <row r="18" spans="1:7" x14ac:dyDescent="0.25">
      <c r="A18" s="50" t="s">
        <v>305</v>
      </c>
      <c r="B18" s="56">
        <f>Funding!C16</f>
        <v>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</row>
    <row r="19" spans="1:7" x14ac:dyDescent="0.25">
      <c r="A19" s="50" t="s">
        <v>306</v>
      </c>
      <c r="B19" s="56">
        <v>0</v>
      </c>
      <c r="C19" s="56">
        <f>-'Debt Schedule'!E5</f>
        <v>0</v>
      </c>
      <c r="D19" s="56">
        <f>-'Debt Schedule'!E6</f>
        <v>0</v>
      </c>
      <c r="E19" s="56">
        <f>-'Debt Schedule'!E7</f>
        <v>0</v>
      </c>
      <c r="F19" s="56">
        <f>-'Debt Schedule'!E8</f>
        <v>0</v>
      </c>
      <c r="G19" s="56">
        <f>-'Debt Schedule'!E9</f>
        <v>0</v>
      </c>
    </row>
    <row r="20" spans="1:7" x14ac:dyDescent="0.25">
      <c r="A20" s="50" t="s">
        <v>307</v>
      </c>
      <c r="B20" s="56">
        <v>0</v>
      </c>
      <c r="C20" s="56">
        <f>('Working Capital'!C12-'Working Capital'!B12)</f>
        <v>0</v>
      </c>
      <c r="D20" s="56">
        <f>('Working Capital'!D12-'Working Capital'!C12)</f>
        <v>0</v>
      </c>
      <c r="E20" s="56">
        <f>('Working Capital'!E12-'Working Capital'!D12)</f>
        <v>0</v>
      </c>
      <c r="F20" s="56">
        <f>('Working Capital'!F12-'Working Capital'!E12)</f>
        <v>0</v>
      </c>
      <c r="G20" s="56">
        <f>('Working Capital'!G12-'Working Capital'!F12)</f>
        <v>0</v>
      </c>
    </row>
    <row r="21" spans="1:7" x14ac:dyDescent="0.25">
      <c r="A21" s="69" t="s">
        <v>308</v>
      </c>
      <c r="B21" s="66">
        <f t="shared" ref="B21:G21" si="2">SUM(B17:B20)</f>
        <v>0</v>
      </c>
      <c r="C21" s="66">
        <f t="shared" si="2"/>
        <v>0</v>
      </c>
      <c r="D21" s="66">
        <f t="shared" si="2"/>
        <v>0</v>
      </c>
      <c r="E21" s="66">
        <f t="shared" si="2"/>
        <v>0</v>
      </c>
      <c r="F21" s="66">
        <f t="shared" si="2"/>
        <v>0</v>
      </c>
      <c r="G21" s="66">
        <f t="shared" si="2"/>
        <v>0</v>
      </c>
    </row>
    <row r="22" spans="1:7" x14ac:dyDescent="0.25">
      <c r="A22" s="69" t="s">
        <v>309</v>
      </c>
      <c r="B22" s="57">
        <f t="shared" ref="B22:G22" si="3">B10+B14+B21</f>
        <v>0</v>
      </c>
      <c r="C22" s="57">
        <f t="shared" si="3"/>
        <v>0</v>
      </c>
      <c r="D22" s="57">
        <f t="shared" si="3"/>
        <v>0</v>
      </c>
      <c r="E22" s="57">
        <f t="shared" si="3"/>
        <v>0</v>
      </c>
      <c r="F22" s="57">
        <f t="shared" si="3"/>
        <v>0</v>
      </c>
      <c r="G22" s="57">
        <f t="shared" si="3"/>
        <v>0</v>
      </c>
    </row>
    <row r="23" spans="1:7" x14ac:dyDescent="0.25">
      <c r="A23" s="50" t="s">
        <v>310</v>
      </c>
      <c r="B23" s="56">
        <v>0</v>
      </c>
      <c r="C23" s="56">
        <f>B24</f>
        <v>0</v>
      </c>
      <c r="D23" s="56">
        <f>C24</f>
        <v>0</v>
      </c>
      <c r="E23" s="56">
        <f>D24</f>
        <v>0</v>
      </c>
      <c r="F23" s="56">
        <f>E24</f>
        <v>0</v>
      </c>
      <c r="G23" s="56">
        <f>F24</f>
        <v>0</v>
      </c>
    </row>
    <row r="24" spans="1:7" x14ac:dyDescent="0.25">
      <c r="A24" s="69" t="s">
        <v>311</v>
      </c>
      <c r="B24" s="70">
        <f t="shared" ref="B24:G24" si="4">B23+B22</f>
        <v>0</v>
      </c>
      <c r="C24" s="70">
        <f t="shared" si="4"/>
        <v>0</v>
      </c>
      <c r="D24" s="70">
        <f t="shared" si="4"/>
        <v>0</v>
      </c>
      <c r="E24" s="70">
        <f t="shared" si="4"/>
        <v>0</v>
      </c>
      <c r="F24" s="70">
        <f t="shared" si="4"/>
        <v>0</v>
      </c>
      <c r="G24" s="70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showGridLines="0" zoomScaleNormal="100" workbookViewId="0">
      <selection activeCell="G5" sqref="G5"/>
    </sheetView>
  </sheetViews>
  <sheetFormatPr defaultColWidth="8.7109375" defaultRowHeight="15" x14ac:dyDescent="0.25"/>
  <cols>
    <col min="1" max="1" width="34" customWidth="1"/>
    <col min="2" max="2" width="11" customWidth="1"/>
    <col min="3" max="7" width="12" customWidth="1"/>
  </cols>
  <sheetData>
    <row r="1" spans="1:7" ht="18" x14ac:dyDescent="0.25">
      <c r="A1" s="21" t="s">
        <v>312</v>
      </c>
    </row>
    <row r="3" spans="1:7" x14ac:dyDescent="0.25">
      <c r="A3" s="25" t="s">
        <v>313</v>
      </c>
      <c r="B3" s="26" t="s">
        <v>258</v>
      </c>
      <c r="C3" s="26" t="s">
        <v>259</v>
      </c>
      <c r="D3" s="26" t="s">
        <v>260</v>
      </c>
      <c r="E3" s="26" t="s">
        <v>261</v>
      </c>
      <c r="F3" s="26" t="s">
        <v>262</v>
      </c>
      <c r="G3" s="26" t="s">
        <v>263</v>
      </c>
    </row>
    <row r="4" spans="1:7" x14ac:dyDescent="0.25">
      <c r="A4" s="50" t="s">
        <v>229</v>
      </c>
      <c r="B4" s="56">
        <v>0</v>
      </c>
      <c r="C4" s="56">
        <f>'Annual P&amp;L'!C4</f>
        <v>0</v>
      </c>
      <c r="D4" s="56">
        <f>'Annual P&amp;L'!D4</f>
        <v>0</v>
      </c>
      <c r="E4" s="56">
        <f>'Annual P&amp;L'!E4</f>
        <v>0</v>
      </c>
      <c r="F4" s="56">
        <f>'Annual P&amp;L'!F4</f>
        <v>0</v>
      </c>
      <c r="G4" s="56">
        <f>'Annual P&amp;L'!G4</f>
        <v>0</v>
      </c>
    </row>
    <row r="5" spans="1:7" x14ac:dyDescent="0.25">
      <c r="A5" s="50" t="s">
        <v>314</v>
      </c>
      <c r="B5" s="56">
        <v>0</v>
      </c>
      <c r="C5" s="56">
        <f>'Annual P&amp;L'!C6</f>
        <v>0</v>
      </c>
      <c r="D5" s="56">
        <f>'Annual P&amp;L'!D6</f>
        <v>0</v>
      </c>
      <c r="E5" s="56">
        <f>'Annual P&amp;L'!E6</f>
        <v>0</v>
      </c>
      <c r="F5" s="56">
        <f>'Annual P&amp;L'!F6</f>
        <v>0</v>
      </c>
      <c r="G5" s="56">
        <f>'Annual P&amp;L'!G6</f>
        <v>0</v>
      </c>
    </row>
    <row r="6" spans="1:7" x14ac:dyDescent="0.25">
      <c r="A6" s="50" t="s">
        <v>315</v>
      </c>
      <c r="B6" s="56">
        <f>IFERROR(B4*Assumptions!$C$55/365,0)</f>
        <v>0</v>
      </c>
      <c r="C6" s="56">
        <f>IFERROR(C4*Assumptions!$C$55/365,0)</f>
        <v>0</v>
      </c>
      <c r="D6" s="56">
        <f>IFERROR(D4*Assumptions!$C$55/365,0)</f>
        <v>0</v>
      </c>
      <c r="E6" s="56">
        <f>IFERROR(E4*Assumptions!$C$55/365,0)</f>
        <v>0</v>
      </c>
      <c r="F6" s="56">
        <f>IFERROR(F4*Assumptions!$C$55/365,0)</f>
        <v>0</v>
      </c>
      <c r="G6" s="56">
        <f>IFERROR(G4*Assumptions!$C$55/365,0)</f>
        <v>0</v>
      </c>
    </row>
    <row r="7" spans="1:7" x14ac:dyDescent="0.25">
      <c r="A7" s="50" t="s">
        <v>278</v>
      </c>
      <c r="B7" s="56">
        <f>IFERROR(B5*Assumptions!$C$56/365,0)</f>
        <v>0</v>
      </c>
      <c r="C7" s="56">
        <f>IFERROR(C5*Assumptions!$C$56/365,0)</f>
        <v>0</v>
      </c>
      <c r="D7" s="56">
        <f>IFERROR(D5*Assumptions!$C$56/365,0)</f>
        <v>0</v>
      </c>
      <c r="E7" s="56">
        <f>IFERROR(E5*Assumptions!$C$56/365,0)</f>
        <v>0</v>
      </c>
      <c r="F7" s="56">
        <f>IFERROR(F5*Assumptions!$C$56/365,0)</f>
        <v>0</v>
      </c>
      <c r="G7" s="56">
        <f>IFERROR(G5*Assumptions!$C$56/365,0)</f>
        <v>0</v>
      </c>
    </row>
    <row r="8" spans="1:7" x14ac:dyDescent="0.25">
      <c r="A8" s="50" t="s">
        <v>316</v>
      </c>
      <c r="B8" s="56">
        <f>IFERROR(B5*Assumptions!$C$57/365,0)</f>
        <v>0</v>
      </c>
      <c r="C8" s="56">
        <f>IFERROR(C5*Assumptions!$C$57/365,0)</f>
        <v>0</v>
      </c>
      <c r="D8" s="56">
        <f>IFERROR(D5*Assumptions!$C$57/365,0)</f>
        <v>0</v>
      </c>
      <c r="E8" s="56">
        <f>IFERROR(E5*Assumptions!$C$57/365,0)</f>
        <v>0</v>
      </c>
      <c r="F8" s="56">
        <f>IFERROR(F5*Assumptions!$C$57/365,0)</f>
        <v>0</v>
      </c>
      <c r="G8" s="56">
        <f>IFERROR(G5*Assumptions!$C$57/365,0)</f>
        <v>0</v>
      </c>
    </row>
    <row r="9" spans="1:7" x14ac:dyDescent="0.25">
      <c r="A9" s="69" t="s">
        <v>317</v>
      </c>
      <c r="B9" s="57">
        <f t="shared" ref="B9:G9" si="0">B6+B7-B8</f>
        <v>0</v>
      </c>
      <c r="C9" s="57">
        <f t="shared" si="0"/>
        <v>0</v>
      </c>
      <c r="D9" s="57">
        <f t="shared" si="0"/>
        <v>0</v>
      </c>
      <c r="E9" s="57">
        <f t="shared" si="0"/>
        <v>0</v>
      </c>
      <c r="F9" s="57">
        <f t="shared" si="0"/>
        <v>0</v>
      </c>
      <c r="G9" s="57">
        <f t="shared" si="0"/>
        <v>0</v>
      </c>
    </row>
    <row r="10" spans="1:7" x14ac:dyDescent="0.25">
      <c r="A10" s="50" t="s">
        <v>318</v>
      </c>
      <c r="B10" s="56">
        <v>0</v>
      </c>
      <c r="C10" s="56">
        <f>C9-B9</f>
        <v>0</v>
      </c>
      <c r="D10" s="56">
        <f>D9-C9</f>
        <v>0</v>
      </c>
      <c r="E10" s="56">
        <f>E9-D9</f>
        <v>0</v>
      </c>
      <c r="F10" s="56">
        <f>F9-E9</f>
        <v>0</v>
      </c>
      <c r="G10" s="56">
        <f>G9-F9</f>
        <v>0</v>
      </c>
    </row>
    <row r="11" spans="1:7" x14ac:dyDescent="0.25">
      <c r="A11" s="50" t="s">
        <v>319</v>
      </c>
      <c r="B11" s="56">
        <f t="shared" ref="B11:G11" si="1">B9</f>
        <v>0</v>
      </c>
      <c r="C11" s="56">
        <f t="shared" si="1"/>
        <v>0</v>
      </c>
      <c r="D11" s="56">
        <f t="shared" si="1"/>
        <v>0</v>
      </c>
      <c r="E11" s="56">
        <f t="shared" si="1"/>
        <v>0</v>
      </c>
      <c r="F11" s="56">
        <f t="shared" si="1"/>
        <v>0</v>
      </c>
      <c r="G11" s="56">
        <f t="shared" si="1"/>
        <v>0</v>
      </c>
    </row>
    <row r="12" spans="1:7" x14ac:dyDescent="0.25">
      <c r="A12" s="69" t="s">
        <v>320</v>
      </c>
      <c r="B12" s="60">
        <f>B11*Assumptions!$C$52</f>
        <v>0</v>
      </c>
      <c r="C12" s="60">
        <f>C11*Assumptions!$C$52</f>
        <v>0</v>
      </c>
      <c r="D12" s="60">
        <f>D11*Assumptions!$C$52</f>
        <v>0</v>
      </c>
      <c r="E12" s="60">
        <f>E11*Assumptions!$C$52</f>
        <v>0</v>
      </c>
      <c r="F12" s="60">
        <f>F11*Assumptions!$C$52</f>
        <v>0</v>
      </c>
      <c r="G12" s="60">
        <f>G11*Assumptions!$C$52</f>
        <v>0</v>
      </c>
    </row>
    <row r="13" spans="1:7" x14ac:dyDescent="0.25">
      <c r="A13" s="69" t="s">
        <v>321</v>
      </c>
      <c r="B13" s="60">
        <f>B12*Assumptions!$C$51</f>
        <v>0</v>
      </c>
      <c r="C13" s="60">
        <f>C12*Assumptions!$C$51</f>
        <v>0</v>
      </c>
      <c r="D13" s="60">
        <f>D12*Assumptions!$C$51</f>
        <v>0</v>
      </c>
      <c r="E13" s="60">
        <f>E12*Assumptions!$C$51</f>
        <v>0</v>
      </c>
      <c r="F13" s="60">
        <f>F12*Assumptions!$C$51</f>
        <v>0</v>
      </c>
      <c r="G13" s="60">
        <f>G12*Assumptions!$C$51</f>
        <v>0</v>
      </c>
    </row>
    <row r="15" spans="1:7" x14ac:dyDescent="0.25">
      <c r="A15" s="15" t="s">
        <v>322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11" customWidth="1"/>
    <col min="3" max="7" width="12" customWidth="1"/>
  </cols>
  <sheetData>
    <row r="1" spans="1:7" ht="18" x14ac:dyDescent="0.25">
      <c r="A1" s="21" t="s">
        <v>323</v>
      </c>
    </row>
    <row r="3" spans="1:7" x14ac:dyDescent="0.25">
      <c r="A3" s="32" t="s">
        <v>324</v>
      </c>
      <c r="B3" s="33"/>
      <c r="C3" s="33"/>
      <c r="D3" s="33"/>
      <c r="E3" s="33"/>
      <c r="F3" s="33"/>
      <c r="G3" s="33"/>
    </row>
    <row r="4" spans="1:7" x14ac:dyDescent="0.25">
      <c r="A4" s="25" t="s">
        <v>325</v>
      </c>
      <c r="C4" s="26" t="s">
        <v>326</v>
      </c>
      <c r="D4" s="26" t="s">
        <v>327</v>
      </c>
      <c r="E4" s="26" t="s">
        <v>328</v>
      </c>
    </row>
    <row r="5" spans="1:7" x14ac:dyDescent="0.25">
      <c r="A5" s="27" t="s">
        <v>329</v>
      </c>
      <c r="C5" s="73">
        <f>Funding!C4+Funding!C9</f>
        <v>0</v>
      </c>
      <c r="D5" s="23"/>
      <c r="E5" s="73">
        <f>IFERROR(C5/D5,0)</f>
        <v>0</v>
      </c>
    </row>
    <row r="6" spans="1:7" x14ac:dyDescent="0.25">
      <c r="A6" s="27" t="s">
        <v>330</v>
      </c>
      <c r="C6" s="73">
        <f>Funding!C5</f>
        <v>0</v>
      </c>
      <c r="D6" s="23"/>
      <c r="E6" s="73">
        <f>IFERROR(C6/D6,0)</f>
        <v>0</v>
      </c>
    </row>
    <row r="7" spans="1:7" x14ac:dyDescent="0.25">
      <c r="A7" s="27" t="s">
        <v>331</v>
      </c>
      <c r="C7" s="73">
        <f>Funding!C6</f>
        <v>0</v>
      </c>
      <c r="D7" s="23"/>
      <c r="E7" s="73">
        <f>IFERROR(C7/D7,0)</f>
        <v>0</v>
      </c>
    </row>
    <row r="8" spans="1:7" x14ac:dyDescent="0.25">
      <c r="A8" s="27" t="s">
        <v>332</v>
      </c>
      <c r="C8" s="73">
        <f>Funding!C7</f>
        <v>0</v>
      </c>
      <c r="D8" s="23"/>
      <c r="E8" s="73">
        <f>IFERROR(C8/D8,0)</f>
        <v>0</v>
      </c>
    </row>
    <row r="9" spans="1:7" x14ac:dyDescent="0.25">
      <c r="A9" s="27" t="s">
        <v>333</v>
      </c>
      <c r="C9" s="73">
        <f>Funding!C8</f>
        <v>0</v>
      </c>
      <c r="D9" s="23"/>
      <c r="E9" s="73">
        <f>IFERROR(C9/D9,0)</f>
        <v>0</v>
      </c>
    </row>
    <row r="10" spans="1:7" x14ac:dyDescent="0.25">
      <c r="A10" s="69" t="s">
        <v>334</v>
      </c>
      <c r="C10" s="74">
        <f>SUM(C5:C9)</f>
        <v>0</v>
      </c>
      <c r="E10" s="74">
        <f>SUM(E5:E9)</f>
        <v>0</v>
      </c>
    </row>
    <row r="11" spans="1:7" x14ac:dyDescent="0.25">
      <c r="A11" s="69" t="s">
        <v>335</v>
      </c>
      <c r="C11" s="75">
        <f>IFERROR(E10/12,0)</f>
        <v>0</v>
      </c>
    </row>
    <row r="13" spans="1:7" x14ac:dyDescent="0.25">
      <c r="A13" s="32" t="s">
        <v>336</v>
      </c>
      <c r="B13" s="33"/>
      <c r="C13" s="33"/>
      <c r="D13" s="33"/>
      <c r="E13" s="33"/>
      <c r="F13" s="33"/>
      <c r="G13" s="33"/>
    </row>
    <row r="14" spans="1:7" x14ac:dyDescent="0.25">
      <c r="A14" s="25"/>
      <c r="B14" s="26" t="s">
        <v>258</v>
      </c>
      <c r="C14" s="26" t="s">
        <v>259</v>
      </c>
      <c r="D14" s="26" t="s">
        <v>260</v>
      </c>
      <c r="E14" s="26" t="s">
        <v>261</v>
      </c>
      <c r="F14" s="26" t="s">
        <v>262</v>
      </c>
      <c r="G14" s="26" t="s">
        <v>263</v>
      </c>
    </row>
    <row r="15" spans="1:7" x14ac:dyDescent="0.25">
      <c r="A15" s="50" t="s">
        <v>337</v>
      </c>
      <c r="B15" s="56">
        <v>0</v>
      </c>
      <c r="C15" s="56">
        <f>B17</f>
        <v>0</v>
      </c>
      <c r="D15" s="56">
        <f>C17</f>
        <v>0</v>
      </c>
      <c r="E15" s="56">
        <f>D17</f>
        <v>0</v>
      </c>
      <c r="F15" s="56">
        <f>E17</f>
        <v>0</v>
      </c>
      <c r="G15" s="56">
        <f>F17</f>
        <v>0</v>
      </c>
    </row>
    <row r="16" spans="1:7" x14ac:dyDescent="0.25">
      <c r="A16" s="50" t="s">
        <v>338</v>
      </c>
      <c r="B16" s="56">
        <f>Funding!C20</f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</row>
    <row r="17" spans="1:7" x14ac:dyDescent="0.25">
      <c r="A17" s="69" t="s">
        <v>339</v>
      </c>
      <c r="B17" s="66">
        <f t="shared" ref="B17:G17" si="0">B15+B16</f>
        <v>0</v>
      </c>
      <c r="C17" s="66">
        <f t="shared" si="0"/>
        <v>0</v>
      </c>
      <c r="D17" s="66">
        <f t="shared" si="0"/>
        <v>0</v>
      </c>
      <c r="E17" s="66">
        <f t="shared" si="0"/>
        <v>0</v>
      </c>
      <c r="F17" s="66">
        <f t="shared" si="0"/>
        <v>0</v>
      </c>
      <c r="G17" s="66">
        <f t="shared" si="0"/>
        <v>0</v>
      </c>
    </row>
    <row r="18" spans="1:7" x14ac:dyDescent="0.25">
      <c r="A18" s="50" t="s">
        <v>340</v>
      </c>
      <c r="B18" s="56">
        <v>0</v>
      </c>
      <c r="C18" s="56">
        <f>'Annual P&amp;L'!C12</f>
        <v>0</v>
      </c>
      <c r="D18" s="56">
        <f>'Annual P&amp;L'!D12</f>
        <v>0</v>
      </c>
      <c r="E18" s="56">
        <f>'Annual P&amp;L'!E12</f>
        <v>0</v>
      </c>
      <c r="F18" s="56">
        <f>'Annual P&amp;L'!F12</f>
        <v>0</v>
      </c>
      <c r="G18" s="56">
        <f>'Annual P&amp;L'!G12</f>
        <v>0</v>
      </c>
    </row>
    <row r="19" spans="1:7" x14ac:dyDescent="0.25">
      <c r="A19" s="50" t="s">
        <v>341</v>
      </c>
      <c r="B19" s="56">
        <f>B18</f>
        <v>0</v>
      </c>
      <c r="C19" s="56">
        <f>B19+C18</f>
        <v>0</v>
      </c>
      <c r="D19" s="56">
        <f>C19+D18</f>
        <v>0</v>
      </c>
      <c r="E19" s="56">
        <f>D19+E18</f>
        <v>0</v>
      </c>
      <c r="F19" s="56">
        <f>E19+F18</f>
        <v>0</v>
      </c>
      <c r="G19" s="56">
        <f>F19+G18</f>
        <v>0</v>
      </c>
    </row>
    <row r="20" spans="1:7" x14ac:dyDescent="0.25">
      <c r="A20" s="69" t="s">
        <v>342</v>
      </c>
      <c r="B20" s="57">
        <f t="shared" ref="B20:G20" si="1">B17-B19</f>
        <v>0</v>
      </c>
      <c r="C20" s="57">
        <f t="shared" si="1"/>
        <v>0</v>
      </c>
      <c r="D20" s="57">
        <f t="shared" si="1"/>
        <v>0</v>
      </c>
      <c r="E20" s="57">
        <f t="shared" si="1"/>
        <v>0</v>
      </c>
      <c r="F20" s="57">
        <f t="shared" si="1"/>
        <v>0</v>
      </c>
      <c r="G20" s="57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2" customWidth="1"/>
    <col min="3" max="7" width="12" customWidth="1"/>
  </cols>
  <sheetData>
    <row r="1" spans="1:7" ht="18" x14ac:dyDescent="0.25">
      <c r="A1" s="21" t="s">
        <v>343</v>
      </c>
    </row>
    <row r="3" spans="1:7" x14ac:dyDescent="0.25">
      <c r="A3" s="32" t="s">
        <v>344</v>
      </c>
      <c r="B3" s="33"/>
      <c r="C3" s="33"/>
      <c r="D3" s="33"/>
      <c r="E3" s="33"/>
      <c r="F3" s="33"/>
      <c r="G3" s="33"/>
    </row>
    <row r="4" spans="1:7" x14ac:dyDescent="0.25">
      <c r="A4" s="25" t="s">
        <v>345</v>
      </c>
      <c r="C4" s="26" t="s">
        <v>346</v>
      </c>
      <c r="D4" s="26" t="s">
        <v>347</v>
      </c>
      <c r="E4" s="26" t="s">
        <v>348</v>
      </c>
      <c r="F4" s="26" t="s">
        <v>349</v>
      </c>
    </row>
    <row r="5" spans="1:7" x14ac:dyDescent="0.25">
      <c r="A5" s="27" t="s">
        <v>350</v>
      </c>
      <c r="C5" s="73">
        <f>Funding!C16</f>
        <v>0</v>
      </c>
      <c r="D5" s="73">
        <f>IFERROR((C5-E5/2)*Assumptions!$C$50,0)</f>
        <v>0</v>
      </c>
      <c r="E5" s="73">
        <v>0</v>
      </c>
      <c r="F5" s="73">
        <f t="shared" ref="F5:F11" si="0">C5-E5</f>
        <v>0</v>
      </c>
    </row>
    <row r="6" spans="1:7" x14ac:dyDescent="0.25">
      <c r="A6" s="27" t="s">
        <v>351</v>
      </c>
      <c r="C6" s="73">
        <f t="shared" ref="C6:C11" si="1">F5</f>
        <v>0</v>
      </c>
      <c r="D6" s="73">
        <f>IFERROR((C6-E6/2)*Assumptions!$C$50,0)</f>
        <v>0</v>
      </c>
      <c r="E6" s="73">
        <f>IFERROR(Funding!C16/6,0)</f>
        <v>0</v>
      </c>
      <c r="F6" s="73">
        <f t="shared" si="0"/>
        <v>0</v>
      </c>
    </row>
    <row r="7" spans="1:7" x14ac:dyDescent="0.25">
      <c r="A7" s="27" t="s">
        <v>352</v>
      </c>
      <c r="C7" s="73">
        <f t="shared" si="1"/>
        <v>0</v>
      </c>
      <c r="D7" s="73">
        <f>IFERROR((C7-E7/2)*Assumptions!$C$50,0)</f>
        <v>0</v>
      </c>
      <c r="E7" s="73">
        <f>IFERROR(Funding!C16/6,0)</f>
        <v>0</v>
      </c>
      <c r="F7" s="73">
        <f t="shared" si="0"/>
        <v>0</v>
      </c>
    </row>
    <row r="8" spans="1:7" x14ac:dyDescent="0.25">
      <c r="A8" s="27" t="s">
        <v>353</v>
      </c>
      <c r="C8" s="73">
        <f t="shared" si="1"/>
        <v>0</v>
      </c>
      <c r="D8" s="73">
        <f>IFERROR((C8-E8/2)*Assumptions!$C$50,0)</f>
        <v>0</v>
      </c>
      <c r="E8" s="73">
        <f>IFERROR(Funding!C16/6,0)</f>
        <v>0</v>
      </c>
      <c r="F8" s="73">
        <f t="shared" si="0"/>
        <v>0</v>
      </c>
    </row>
    <row r="9" spans="1:7" x14ac:dyDescent="0.25">
      <c r="A9" s="27" t="s">
        <v>354</v>
      </c>
      <c r="C9" s="73">
        <f t="shared" si="1"/>
        <v>0</v>
      </c>
      <c r="D9" s="73">
        <f>IFERROR((C9-E9/2)*Assumptions!$C$50,0)</f>
        <v>0</v>
      </c>
      <c r="E9" s="73">
        <f>IFERROR(Funding!C16/6,0)</f>
        <v>0</v>
      </c>
      <c r="F9" s="73">
        <f t="shared" si="0"/>
        <v>0</v>
      </c>
    </row>
    <row r="10" spans="1:7" x14ac:dyDescent="0.25">
      <c r="A10" s="27" t="s">
        <v>355</v>
      </c>
      <c r="C10" s="73">
        <f t="shared" si="1"/>
        <v>0</v>
      </c>
      <c r="D10" s="73">
        <f>IFERROR((C10-E10/2)*Assumptions!$C$50,0)</f>
        <v>0</v>
      </c>
      <c r="E10" s="73">
        <f>IFERROR(Funding!C16/6,0)</f>
        <v>0</v>
      </c>
      <c r="F10" s="73">
        <f t="shared" si="0"/>
        <v>0</v>
      </c>
    </row>
    <row r="11" spans="1:7" x14ac:dyDescent="0.25">
      <c r="A11" s="27" t="s">
        <v>356</v>
      </c>
      <c r="C11" s="73">
        <f t="shared" si="1"/>
        <v>0</v>
      </c>
      <c r="D11" s="73">
        <f>IFERROR((C11-E11/2)*Assumptions!$C$50,0)</f>
        <v>0</v>
      </c>
      <c r="E11" s="73">
        <f>IFERROR(Funding!C16/6,0)</f>
        <v>0</v>
      </c>
      <c r="F11" s="73">
        <f t="shared" si="0"/>
        <v>0</v>
      </c>
    </row>
    <row r="12" spans="1:7" x14ac:dyDescent="0.25">
      <c r="A12" s="15" t="s">
        <v>357</v>
      </c>
    </row>
    <row r="14" spans="1:7" x14ac:dyDescent="0.25">
      <c r="A14" s="32" t="s">
        <v>358</v>
      </c>
      <c r="B14" s="33"/>
      <c r="C14" s="33"/>
      <c r="D14" s="33"/>
      <c r="E14" s="33"/>
      <c r="F14" s="33"/>
      <c r="G14" s="33"/>
    </row>
    <row r="15" spans="1:7" x14ac:dyDescent="0.25">
      <c r="A15" s="25"/>
      <c r="C15" s="26" t="s">
        <v>259</v>
      </c>
      <c r="D15" s="26" t="s">
        <v>260</v>
      </c>
      <c r="E15" s="26" t="s">
        <v>261</v>
      </c>
      <c r="F15" s="26" t="s">
        <v>262</v>
      </c>
      <c r="G15" s="26" t="s">
        <v>263</v>
      </c>
    </row>
    <row r="16" spans="1:7" x14ac:dyDescent="0.25">
      <c r="A16" s="50" t="s">
        <v>359</v>
      </c>
      <c r="C16" s="58">
        <f>'Working Capital'!C11</f>
        <v>0</v>
      </c>
      <c r="D16" s="58">
        <f>'Working Capital'!D11</f>
        <v>0</v>
      </c>
      <c r="E16" s="58">
        <f>'Working Capital'!E11</f>
        <v>0</v>
      </c>
      <c r="F16" s="58">
        <f>'Working Capital'!F11</f>
        <v>0</v>
      </c>
      <c r="G16" s="58">
        <f>'Working Capital'!G11</f>
        <v>0</v>
      </c>
    </row>
    <row r="17" spans="1:7" x14ac:dyDescent="0.25">
      <c r="A17" s="50" t="s">
        <v>360</v>
      </c>
      <c r="C17" s="58">
        <f>'Working Capital'!C12</f>
        <v>0</v>
      </c>
      <c r="D17" s="58">
        <f>'Working Capital'!D12</f>
        <v>0</v>
      </c>
      <c r="E17" s="58">
        <f>'Working Capital'!E12</f>
        <v>0</v>
      </c>
      <c r="F17" s="58">
        <f>'Working Capital'!F12</f>
        <v>0</v>
      </c>
      <c r="G17" s="58">
        <f>'Working Capital'!G12</f>
        <v>0</v>
      </c>
    </row>
    <row r="18" spans="1:7" x14ac:dyDescent="0.25">
      <c r="A18" s="69" t="s">
        <v>321</v>
      </c>
      <c r="C18" s="60">
        <f>'Working Capital'!C13</f>
        <v>0</v>
      </c>
      <c r="D18" s="60">
        <f>'Working Capital'!D13</f>
        <v>0</v>
      </c>
      <c r="E18" s="60">
        <f>'Working Capital'!E13</f>
        <v>0</v>
      </c>
      <c r="F18" s="60">
        <f>'Working Capital'!F13</f>
        <v>0</v>
      </c>
      <c r="G18" s="60">
        <f>'Working Capital'!G13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showGridLines="0" zoomScaleNormal="100" workbookViewId="0"/>
  </sheetViews>
  <sheetFormatPr defaultColWidth="8.7109375" defaultRowHeight="15" x14ac:dyDescent="0.25"/>
  <cols>
    <col min="1" max="1" width="38" customWidth="1"/>
    <col min="2" max="2" width="2" customWidth="1"/>
    <col min="3" max="3" width="14" customWidth="1"/>
  </cols>
  <sheetData>
    <row r="1" spans="1:3" ht="18" x14ac:dyDescent="0.25">
      <c r="A1" s="21" t="s">
        <v>361</v>
      </c>
    </row>
    <row r="3" spans="1:3" x14ac:dyDescent="0.25">
      <c r="A3" s="32" t="s">
        <v>362</v>
      </c>
      <c r="B3" s="33"/>
      <c r="C3" s="33"/>
    </row>
    <row r="4" spans="1:3" x14ac:dyDescent="0.25">
      <c r="A4" s="27" t="s">
        <v>363</v>
      </c>
      <c r="C4" s="76"/>
    </row>
    <row r="5" spans="1:3" x14ac:dyDescent="0.25">
      <c r="A5" s="27" t="s">
        <v>330</v>
      </c>
      <c r="C5" s="76"/>
    </row>
    <row r="6" spans="1:3" x14ac:dyDescent="0.25">
      <c r="A6" s="27" t="s">
        <v>331</v>
      </c>
      <c r="C6" s="76"/>
    </row>
    <row r="7" spans="1:3" x14ac:dyDescent="0.25">
      <c r="A7" s="27" t="s">
        <v>332</v>
      </c>
      <c r="C7" s="76"/>
    </row>
    <row r="8" spans="1:3" x14ac:dyDescent="0.25">
      <c r="A8" s="27" t="s">
        <v>364</v>
      </c>
      <c r="C8" s="76"/>
    </row>
    <row r="9" spans="1:3" x14ac:dyDescent="0.25">
      <c r="A9" s="27" t="s">
        <v>365</v>
      </c>
      <c r="C9" s="76"/>
    </row>
    <row r="10" spans="1:3" x14ac:dyDescent="0.25">
      <c r="A10" s="27" t="s">
        <v>366</v>
      </c>
      <c r="C10" s="76"/>
    </row>
    <row r="11" spans="1:3" x14ac:dyDescent="0.25">
      <c r="A11" s="69" t="s">
        <v>367</v>
      </c>
      <c r="C11" s="77">
        <f>SUM(C4:C10)</f>
        <v>0</v>
      </c>
    </row>
    <row r="13" spans="1:3" x14ac:dyDescent="0.25">
      <c r="A13" s="32" t="s">
        <v>368</v>
      </c>
      <c r="B13" s="33"/>
      <c r="C13" s="33"/>
    </row>
    <row r="14" spans="1:3" x14ac:dyDescent="0.25">
      <c r="A14" s="27" t="s">
        <v>369</v>
      </c>
      <c r="C14" s="76"/>
    </row>
    <row r="15" spans="1:3" x14ac:dyDescent="0.25">
      <c r="A15" s="27" t="s">
        <v>370</v>
      </c>
      <c r="C15" s="76"/>
    </row>
    <row r="16" spans="1:3" x14ac:dyDescent="0.25">
      <c r="A16" s="27" t="s">
        <v>286</v>
      </c>
      <c r="C16" s="76"/>
    </row>
    <row r="17" spans="1:3" x14ac:dyDescent="0.25">
      <c r="A17" s="69" t="s">
        <v>371</v>
      </c>
      <c r="C17" s="77">
        <f>SUM(C14:C16)</f>
        <v>0</v>
      </c>
    </row>
    <row r="18" spans="1:3" x14ac:dyDescent="0.25">
      <c r="A18" s="45" t="s">
        <v>372</v>
      </c>
      <c r="C18" s="56">
        <f>C17-C11</f>
        <v>0</v>
      </c>
    </row>
    <row r="20" spans="1:3" x14ac:dyDescent="0.25">
      <c r="A20" s="69" t="s">
        <v>373</v>
      </c>
      <c r="C20" s="78">
        <f>SUM(C4:C9)</f>
        <v>0</v>
      </c>
    </row>
    <row r="22" spans="1:3" x14ac:dyDescent="0.25">
      <c r="A22" s="15" t="s">
        <v>374</v>
      </c>
    </row>
    <row r="23" spans="1:3" x14ac:dyDescent="0.25">
      <c r="A23" s="79">
        <f>IFERROR(CONCATENATE("D:E = ",TEXT(C16/(C14+C15),"0.00"),"x"),0)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2" customWidth="1"/>
    <col min="3" max="3" width="16" customWidth="1"/>
    <col min="4" max="6" width="14" customWidth="1"/>
    <col min="7" max="8" width="16" customWidth="1"/>
  </cols>
  <sheetData>
    <row r="1" spans="1:8" ht="18" x14ac:dyDescent="0.25">
      <c r="A1" s="21" t="s">
        <v>375</v>
      </c>
    </row>
    <row r="3" spans="1:8" x14ac:dyDescent="0.25">
      <c r="A3" s="32" t="s">
        <v>376</v>
      </c>
      <c r="B3" s="33"/>
      <c r="C3" s="33"/>
      <c r="D3" s="33"/>
      <c r="E3" s="33"/>
      <c r="F3" s="33"/>
      <c r="G3" s="33"/>
      <c r="H3" s="33"/>
    </row>
    <row r="4" spans="1:8" x14ac:dyDescent="0.25">
      <c r="A4" s="27" t="s">
        <v>377</v>
      </c>
      <c r="C4" s="80"/>
    </row>
    <row r="5" spans="1:8" x14ac:dyDescent="0.25">
      <c r="A5" s="27" t="s">
        <v>378</v>
      </c>
      <c r="C5" s="81"/>
    </row>
    <row r="6" spans="1:8" x14ac:dyDescent="0.25">
      <c r="A6" s="27" t="s">
        <v>379</v>
      </c>
      <c r="C6" s="76"/>
    </row>
    <row r="7" spans="1:8" x14ac:dyDescent="0.25">
      <c r="A7" s="27" t="s">
        <v>380</v>
      </c>
      <c r="C7" s="76"/>
    </row>
    <row r="8" spans="1:8" x14ac:dyDescent="0.25">
      <c r="A8" s="27" t="s">
        <v>381</v>
      </c>
      <c r="C8" s="82">
        <f>Funding!C15</f>
        <v>0</v>
      </c>
    </row>
    <row r="9" spans="1:8" x14ac:dyDescent="0.25">
      <c r="A9" s="27" t="s">
        <v>382</v>
      </c>
      <c r="C9" s="76"/>
    </row>
    <row r="10" spans="1:8" x14ac:dyDescent="0.25">
      <c r="A10" s="27" t="s">
        <v>383</v>
      </c>
      <c r="C10" s="76"/>
    </row>
    <row r="11" spans="1:8" x14ac:dyDescent="0.25">
      <c r="A11" s="27" t="s">
        <v>384</v>
      </c>
      <c r="C11" s="76"/>
    </row>
    <row r="12" spans="1:8" x14ac:dyDescent="0.25">
      <c r="A12" s="27" t="s">
        <v>385</v>
      </c>
      <c r="C12" s="76"/>
    </row>
    <row r="14" spans="1:8" x14ac:dyDescent="0.25">
      <c r="A14" s="32" t="s">
        <v>386</v>
      </c>
      <c r="B14" s="33"/>
      <c r="C14" s="33"/>
      <c r="D14" s="33"/>
      <c r="E14" s="33"/>
      <c r="F14" s="33"/>
      <c r="G14" s="33"/>
      <c r="H14" s="33"/>
    </row>
    <row r="15" spans="1:8" x14ac:dyDescent="0.25">
      <c r="A15" s="25" t="s">
        <v>387</v>
      </c>
      <c r="C15" s="26" t="s">
        <v>388</v>
      </c>
      <c r="D15" s="26" t="s">
        <v>389</v>
      </c>
      <c r="E15" s="26" t="s">
        <v>6</v>
      </c>
      <c r="F15" s="26" t="s">
        <v>390</v>
      </c>
      <c r="G15" s="26" t="s">
        <v>391</v>
      </c>
      <c r="H15" s="26" t="s">
        <v>392</v>
      </c>
    </row>
    <row r="16" spans="1:8" x14ac:dyDescent="0.25">
      <c r="A16" s="50" t="s">
        <v>393</v>
      </c>
      <c r="C16" s="83" t="s">
        <v>266</v>
      </c>
      <c r="D16" s="83" t="s">
        <v>266</v>
      </c>
      <c r="E16" s="83" t="s">
        <v>266</v>
      </c>
      <c r="F16" s="83" t="s">
        <v>266</v>
      </c>
      <c r="G16" s="84">
        <f>C4</f>
        <v>0</v>
      </c>
      <c r="H16" s="84">
        <f>G16</f>
        <v>0</v>
      </c>
    </row>
    <row r="17" spans="1:8" x14ac:dyDescent="0.25">
      <c r="A17" s="50" t="s">
        <v>394</v>
      </c>
      <c r="C17" s="52">
        <f>C6</f>
        <v>0</v>
      </c>
      <c r="D17" s="52">
        <f>C7</f>
        <v>0</v>
      </c>
      <c r="E17" s="52">
        <f>C17+D17</f>
        <v>0</v>
      </c>
      <c r="F17" s="85">
        <f>IFERROR(D17*100000/H16,0)</f>
        <v>0</v>
      </c>
      <c r="G17" s="84">
        <f>IFERROR(C17*100000/F17,0)</f>
        <v>0</v>
      </c>
      <c r="H17" s="84">
        <f>H16+G17</f>
        <v>0</v>
      </c>
    </row>
    <row r="18" spans="1:8" x14ac:dyDescent="0.25">
      <c r="A18" s="50" t="s">
        <v>395</v>
      </c>
      <c r="C18" s="52">
        <v>0</v>
      </c>
      <c r="D18" s="83" t="s">
        <v>266</v>
      </c>
      <c r="E18" s="83" t="s">
        <v>266</v>
      </c>
      <c r="F18" s="83" t="s">
        <v>266</v>
      </c>
      <c r="G18" s="84">
        <f>IFERROR(H17*C5/(1-C5),0)</f>
        <v>0</v>
      </c>
      <c r="H18" s="84">
        <f>H17+G18</f>
        <v>0</v>
      </c>
    </row>
    <row r="19" spans="1:8" x14ac:dyDescent="0.25">
      <c r="A19" s="69" t="s">
        <v>396</v>
      </c>
      <c r="C19" s="52">
        <f>C8</f>
        <v>0</v>
      </c>
      <c r="D19" s="52">
        <f>C9</f>
        <v>0</v>
      </c>
      <c r="E19" s="52">
        <f>C19+D19</f>
        <v>0</v>
      </c>
      <c r="F19" s="85">
        <f>IFERROR(D19*100000/H18,0)</f>
        <v>0</v>
      </c>
      <c r="G19" s="84">
        <f>IFERROR(C19*100000/F19,0)</f>
        <v>0</v>
      </c>
      <c r="H19" s="84">
        <f>H18+G19</f>
        <v>0</v>
      </c>
    </row>
    <row r="20" spans="1:8" x14ac:dyDescent="0.25">
      <c r="A20" s="50" t="s">
        <v>397</v>
      </c>
      <c r="C20" s="52">
        <f>C10</f>
        <v>0</v>
      </c>
      <c r="D20" s="52">
        <f>C11</f>
        <v>0</v>
      </c>
      <c r="E20" s="52">
        <f>C20+D20</f>
        <v>0</v>
      </c>
      <c r="F20" s="85">
        <f>IFERROR(D20*100000/H19,0)</f>
        <v>0</v>
      </c>
      <c r="G20" s="84">
        <f>IFERROR(C20*100000/F20,0)</f>
        <v>0</v>
      </c>
      <c r="H20" s="84">
        <f>H19+G20</f>
        <v>0</v>
      </c>
    </row>
    <row r="21" spans="1:8" x14ac:dyDescent="0.25">
      <c r="A21" s="69" t="s">
        <v>398</v>
      </c>
      <c r="G21" s="86">
        <f>SUM(G16:G20)</f>
        <v>0</v>
      </c>
      <c r="H21" s="86">
        <f>H20</f>
        <v>0</v>
      </c>
    </row>
    <row r="23" spans="1:8" x14ac:dyDescent="0.25">
      <c r="A23" s="32" t="s">
        <v>399</v>
      </c>
      <c r="B23" s="33"/>
      <c r="C23" s="33"/>
      <c r="D23" s="33"/>
      <c r="E23" s="33"/>
      <c r="F23" s="33"/>
      <c r="G23" s="33"/>
      <c r="H23" s="33"/>
    </row>
    <row r="24" spans="1:8" x14ac:dyDescent="0.25">
      <c r="A24" s="25" t="s">
        <v>400</v>
      </c>
      <c r="C24" s="26" t="s">
        <v>401</v>
      </c>
      <c r="D24" s="26" t="s">
        <v>402</v>
      </c>
      <c r="E24" s="26" t="s">
        <v>403</v>
      </c>
      <c r="F24" s="26" t="s">
        <v>404</v>
      </c>
    </row>
    <row r="25" spans="1:8" x14ac:dyDescent="0.25">
      <c r="A25" s="50" t="s">
        <v>393</v>
      </c>
      <c r="C25" s="84">
        <f>G16</f>
        <v>0</v>
      </c>
      <c r="D25" s="51">
        <f>IFERROR(C25/$H$19,0)</f>
        <v>0</v>
      </c>
      <c r="E25" s="51">
        <f>IFERROR(C25/$H$21,0)</f>
        <v>0</v>
      </c>
      <c r="F25" s="52">
        <f>Funding!C14</f>
        <v>0</v>
      </c>
    </row>
    <row r="26" spans="1:8" x14ac:dyDescent="0.25">
      <c r="A26" s="50" t="s">
        <v>394</v>
      </c>
      <c r="C26" s="84">
        <f>G17</f>
        <v>0</v>
      </c>
      <c r="D26" s="51">
        <f>IFERROR(C26/$H$19,0)</f>
        <v>0</v>
      </c>
      <c r="E26" s="51">
        <f>IFERROR(C26/$H$21,0)</f>
        <v>0</v>
      </c>
      <c r="F26" s="52">
        <f>C6</f>
        <v>0</v>
      </c>
    </row>
    <row r="27" spans="1:8" x14ac:dyDescent="0.25">
      <c r="A27" s="50" t="s">
        <v>395</v>
      </c>
      <c r="C27" s="84">
        <f>G18</f>
        <v>0</v>
      </c>
      <c r="D27" s="51">
        <f>IFERROR(C27/$H$19,0)</f>
        <v>0</v>
      </c>
      <c r="E27" s="51">
        <f>IFERROR(C27/$H$21,0)</f>
        <v>0</v>
      </c>
      <c r="F27" s="52">
        <v>0</v>
      </c>
    </row>
    <row r="28" spans="1:8" x14ac:dyDescent="0.25">
      <c r="A28" s="69" t="s">
        <v>396</v>
      </c>
      <c r="C28" s="84">
        <f>G19</f>
        <v>0</v>
      </c>
      <c r="D28" s="51">
        <f>IFERROR(C28/$H$19,0)</f>
        <v>0</v>
      </c>
      <c r="E28" s="87">
        <f>IFERROR(C28/$H$21,0)</f>
        <v>0</v>
      </c>
      <c r="F28" s="52">
        <f>C8</f>
        <v>0</v>
      </c>
    </row>
    <row r="29" spans="1:8" x14ac:dyDescent="0.25">
      <c r="A29" s="50" t="s">
        <v>397</v>
      </c>
      <c r="C29" s="84">
        <f>G20</f>
        <v>0</v>
      </c>
      <c r="D29" s="51" t="s">
        <v>266</v>
      </c>
      <c r="E29" s="51">
        <f>IFERROR(C29/$H$21,0)</f>
        <v>0</v>
      </c>
      <c r="F29" s="52">
        <f>C10</f>
        <v>0</v>
      </c>
    </row>
    <row r="30" spans="1:8" x14ac:dyDescent="0.25">
      <c r="A30" s="69" t="s">
        <v>334</v>
      </c>
      <c r="C30" s="86">
        <f>SUM(C25:C29)</f>
        <v>0</v>
      </c>
      <c r="E30" s="88">
        <f>SUM(E25:E29)</f>
        <v>0</v>
      </c>
      <c r="F30" s="54">
        <f>SUM(F25:F29)</f>
        <v>0</v>
      </c>
    </row>
    <row r="32" spans="1:8" x14ac:dyDescent="0.25">
      <c r="A32" s="15" t="s">
        <v>405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0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2" customWidth="1"/>
    <col min="3" max="7" width="13" customWidth="1"/>
  </cols>
  <sheetData>
    <row r="1" spans="1:7" ht="18" x14ac:dyDescent="0.25">
      <c r="A1" s="21" t="s">
        <v>406</v>
      </c>
    </row>
    <row r="3" spans="1:7" x14ac:dyDescent="0.25">
      <c r="A3" s="32" t="s">
        <v>407</v>
      </c>
      <c r="B3" s="33"/>
      <c r="C3" s="33"/>
      <c r="D3" s="33"/>
      <c r="E3" s="33"/>
      <c r="F3" s="33"/>
      <c r="G3" s="33"/>
    </row>
    <row r="4" spans="1:7" x14ac:dyDescent="0.25">
      <c r="A4" s="27" t="s">
        <v>408</v>
      </c>
      <c r="C4" s="28"/>
      <c r="E4" s="89" t="s">
        <v>409</v>
      </c>
    </row>
    <row r="5" spans="1:7" x14ac:dyDescent="0.25">
      <c r="A5" s="27" t="s">
        <v>410</v>
      </c>
      <c r="C5" s="28"/>
      <c r="E5" s="45" t="s">
        <v>411</v>
      </c>
    </row>
    <row r="6" spans="1:7" x14ac:dyDescent="0.25">
      <c r="A6" s="27" t="s">
        <v>412</v>
      </c>
      <c r="C6" s="41"/>
      <c r="E6" s="45" t="s">
        <v>413</v>
      </c>
    </row>
    <row r="7" spans="1:7" x14ac:dyDescent="0.25">
      <c r="A7" s="90" t="s">
        <v>414</v>
      </c>
      <c r="C7" s="91">
        <f>C4+C6*C5</f>
        <v>0</v>
      </c>
      <c r="E7" s="45" t="s">
        <v>415</v>
      </c>
    </row>
    <row r="8" spans="1:7" x14ac:dyDescent="0.25">
      <c r="A8" s="27" t="s">
        <v>416</v>
      </c>
      <c r="C8" s="92">
        <f>Assumptions!$C$50</f>
        <v>0</v>
      </c>
      <c r="E8" s="45" t="s">
        <v>417</v>
      </c>
    </row>
    <row r="9" spans="1:7" x14ac:dyDescent="0.25">
      <c r="A9" s="27" t="s">
        <v>418</v>
      </c>
      <c r="C9" s="93">
        <f>Assumptions!$C$53</f>
        <v>0</v>
      </c>
      <c r="E9" s="45" t="s">
        <v>419</v>
      </c>
    </row>
    <row r="10" spans="1:7" x14ac:dyDescent="0.25">
      <c r="A10" s="90" t="s">
        <v>420</v>
      </c>
      <c r="C10" s="91">
        <f>C8*(1-C9)</f>
        <v>0</v>
      </c>
      <c r="E10" s="45" t="s">
        <v>421</v>
      </c>
    </row>
    <row r="11" spans="1:7" x14ac:dyDescent="0.25">
      <c r="A11" s="27" t="s">
        <v>422</v>
      </c>
      <c r="C11" s="28"/>
      <c r="E11" s="45" t="s">
        <v>423</v>
      </c>
    </row>
    <row r="12" spans="1:7" x14ac:dyDescent="0.25">
      <c r="A12" s="27" t="s">
        <v>424</v>
      </c>
      <c r="C12" s="91">
        <f>1-C11</f>
        <v>1</v>
      </c>
    </row>
    <row r="13" spans="1:7" x14ac:dyDescent="0.25">
      <c r="A13" s="90" t="s">
        <v>11</v>
      </c>
      <c r="C13" s="94">
        <f>C11*C7+C12*C10</f>
        <v>0</v>
      </c>
      <c r="E13" s="45" t="s">
        <v>425</v>
      </c>
    </row>
    <row r="15" spans="1:7" x14ac:dyDescent="0.25">
      <c r="A15" s="32" t="s">
        <v>426</v>
      </c>
      <c r="B15" s="33"/>
      <c r="C15" s="33"/>
      <c r="D15" s="33"/>
      <c r="E15" s="33"/>
      <c r="F15" s="33"/>
      <c r="G15" s="33"/>
    </row>
    <row r="16" spans="1:7" x14ac:dyDescent="0.25">
      <c r="A16" s="25" t="s">
        <v>257</v>
      </c>
      <c r="C16" s="26" t="s">
        <v>259</v>
      </c>
      <c r="D16" s="26" t="s">
        <v>260</v>
      </c>
      <c r="E16" s="26" t="s">
        <v>261</v>
      </c>
      <c r="F16" s="26" t="s">
        <v>262</v>
      </c>
      <c r="G16" s="26" t="s">
        <v>263</v>
      </c>
    </row>
    <row r="17" spans="1:7" x14ac:dyDescent="0.25">
      <c r="A17" s="50" t="s">
        <v>427</v>
      </c>
      <c r="C17" s="52">
        <v>1</v>
      </c>
      <c r="D17" s="52">
        <v>2</v>
      </c>
      <c r="E17" s="52">
        <v>3</v>
      </c>
      <c r="F17" s="52">
        <v>4</v>
      </c>
      <c r="G17" s="52">
        <v>5</v>
      </c>
    </row>
    <row r="18" spans="1:7" x14ac:dyDescent="0.25">
      <c r="A18" s="50" t="s">
        <v>245</v>
      </c>
      <c r="C18" s="56">
        <f>'Annual P&amp;L'!C13</f>
        <v>0</v>
      </c>
      <c r="D18" s="56">
        <f>'Annual P&amp;L'!D13</f>
        <v>0</v>
      </c>
      <c r="E18" s="56">
        <f>'Annual P&amp;L'!E13</f>
        <v>0</v>
      </c>
      <c r="F18" s="56">
        <f>'Annual P&amp;L'!F13</f>
        <v>0</v>
      </c>
      <c r="G18" s="56">
        <f>'Annual P&amp;L'!G13</f>
        <v>0</v>
      </c>
    </row>
    <row r="19" spans="1:7" x14ac:dyDescent="0.25">
      <c r="A19" s="50" t="s">
        <v>428</v>
      </c>
      <c r="C19" s="56">
        <f>-C18*Assumptions!$C$53</f>
        <v>0</v>
      </c>
      <c r="D19" s="56">
        <f>-D18*Assumptions!$C$53</f>
        <v>0</v>
      </c>
      <c r="E19" s="56">
        <f>-E18*Assumptions!$C$53</f>
        <v>0</v>
      </c>
      <c r="F19" s="56">
        <f>-F18*Assumptions!$C$53</f>
        <v>0</v>
      </c>
      <c r="G19" s="56">
        <f>-G18*Assumptions!$C$53</f>
        <v>0</v>
      </c>
    </row>
    <row r="20" spans="1:7" x14ac:dyDescent="0.25">
      <c r="A20" s="69" t="s">
        <v>429</v>
      </c>
      <c r="C20" s="66">
        <f>C18+C19</f>
        <v>0</v>
      </c>
      <c r="D20" s="66">
        <f>D18+D19</f>
        <v>0</v>
      </c>
      <c r="E20" s="66">
        <f>E18+E19</f>
        <v>0</v>
      </c>
      <c r="F20" s="66">
        <f>F18+F19</f>
        <v>0</v>
      </c>
      <c r="G20" s="66">
        <f>G18+G19</f>
        <v>0</v>
      </c>
    </row>
    <row r="21" spans="1:7" x14ac:dyDescent="0.25">
      <c r="A21" s="50" t="s">
        <v>430</v>
      </c>
      <c r="C21" s="56">
        <f>'Annual P&amp;L'!C12</f>
        <v>0</v>
      </c>
      <c r="D21" s="56">
        <f>'Annual P&amp;L'!D12</f>
        <v>0</v>
      </c>
      <c r="E21" s="56">
        <f>'Annual P&amp;L'!E12</f>
        <v>0</v>
      </c>
      <c r="F21" s="56">
        <f>'Annual P&amp;L'!F12</f>
        <v>0</v>
      </c>
      <c r="G21" s="56">
        <f>'Annual P&amp;L'!G12</f>
        <v>0</v>
      </c>
    </row>
    <row r="22" spans="1:7" x14ac:dyDescent="0.25">
      <c r="A22" s="50" t="s">
        <v>431</v>
      </c>
      <c r="C22" s="56">
        <f>-'Cash Flow'!C13*0</f>
        <v>0</v>
      </c>
      <c r="D22" s="56">
        <f>-'Cash Flow'!D13*0</f>
        <v>0</v>
      </c>
      <c r="E22" s="56">
        <f>-'Cash Flow'!E13*0</f>
        <v>0</v>
      </c>
      <c r="F22" s="56">
        <f>-'Cash Flow'!F13*0</f>
        <v>0</v>
      </c>
      <c r="G22" s="56">
        <f>-'Cash Flow'!G13*0</f>
        <v>0</v>
      </c>
    </row>
    <row r="23" spans="1:7" x14ac:dyDescent="0.25">
      <c r="A23" s="50" t="s">
        <v>432</v>
      </c>
      <c r="C23" s="56">
        <f>-'Working Capital'!C10</f>
        <v>0</v>
      </c>
      <c r="D23" s="56">
        <f>-'Working Capital'!D10</f>
        <v>0</v>
      </c>
      <c r="E23" s="56">
        <f>-'Working Capital'!E10</f>
        <v>0</v>
      </c>
      <c r="F23" s="56">
        <f>-'Working Capital'!F10</f>
        <v>0</v>
      </c>
      <c r="G23" s="56">
        <f>-'Working Capital'!G10</f>
        <v>0</v>
      </c>
    </row>
    <row r="24" spans="1:7" x14ac:dyDescent="0.25">
      <c r="A24" s="69" t="s">
        <v>433</v>
      </c>
      <c r="C24" s="60">
        <f>C20+C21+C22+C23</f>
        <v>0</v>
      </c>
      <c r="D24" s="60">
        <f>D20+D21+D22+D23</f>
        <v>0</v>
      </c>
      <c r="E24" s="60">
        <f>E20+E21+E22+E23</f>
        <v>0</v>
      </c>
      <c r="F24" s="60">
        <f>F20+F21+F22+F23</f>
        <v>0</v>
      </c>
      <c r="G24" s="60">
        <f>G20+G21+G22+G23</f>
        <v>0</v>
      </c>
    </row>
    <row r="25" spans="1:7" x14ac:dyDescent="0.25">
      <c r="A25" s="50" t="s">
        <v>434</v>
      </c>
      <c r="C25" s="95">
        <f>IFERROR(1/(1+'DCF Valuation'!$C$13)^C17,0)</f>
        <v>1</v>
      </c>
      <c r="D25" s="95">
        <f>IFERROR(1/(1+'DCF Valuation'!$C$13)^D17,0)</f>
        <v>1</v>
      </c>
      <c r="E25" s="95">
        <f>IFERROR(1/(1+'DCF Valuation'!$C$13)^E17,0)</f>
        <v>1</v>
      </c>
      <c r="F25" s="95">
        <f>IFERROR(1/(1+'DCF Valuation'!$C$13)^F17,0)</f>
        <v>1</v>
      </c>
      <c r="G25" s="95">
        <f>IFERROR(1/(1+'DCF Valuation'!$C$13)^G17,0)</f>
        <v>1</v>
      </c>
    </row>
    <row r="26" spans="1:7" x14ac:dyDescent="0.25">
      <c r="A26" s="69" t="s">
        <v>435</v>
      </c>
      <c r="C26" s="57">
        <f>C24*C25</f>
        <v>0</v>
      </c>
      <c r="D26" s="57">
        <f>D24*D25</f>
        <v>0</v>
      </c>
      <c r="E26" s="57">
        <f>E24*E25</f>
        <v>0</v>
      </c>
      <c r="F26" s="57">
        <f>F24*F25</f>
        <v>0</v>
      </c>
      <c r="G26" s="57">
        <f>G24*G25</f>
        <v>0</v>
      </c>
    </row>
    <row r="28" spans="1:7" x14ac:dyDescent="0.25">
      <c r="A28" s="32" t="s">
        <v>436</v>
      </c>
      <c r="B28" s="33"/>
      <c r="C28" s="33"/>
      <c r="D28" s="33"/>
      <c r="E28" s="33"/>
      <c r="F28" s="33"/>
      <c r="G28" s="33"/>
    </row>
    <row r="29" spans="1:7" x14ac:dyDescent="0.25">
      <c r="A29" s="69" t="s">
        <v>437</v>
      </c>
      <c r="C29" s="96">
        <f>SUM(C26:G26)</f>
        <v>0</v>
      </c>
    </row>
    <row r="30" spans="1:7" x14ac:dyDescent="0.25">
      <c r="A30" s="50" t="s">
        <v>438</v>
      </c>
      <c r="C30" s="97"/>
    </row>
    <row r="31" spans="1:7" x14ac:dyDescent="0.25">
      <c r="A31" s="50" t="s">
        <v>439</v>
      </c>
      <c r="C31" s="52">
        <f>IFERROR(G24*(1+C30)/('DCF Valuation'!$C$13-C30),0)</f>
        <v>0</v>
      </c>
    </row>
    <row r="32" spans="1:7" x14ac:dyDescent="0.25">
      <c r="A32" s="50" t="s">
        <v>440</v>
      </c>
      <c r="C32" s="52">
        <f>IFERROR(C31/(1+'DCF Valuation'!$C$13)^5,0)</f>
        <v>0</v>
      </c>
    </row>
    <row r="33" spans="1:3" x14ac:dyDescent="0.25">
      <c r="A33" s="69" t="s">
        <v>441</v>
      </c>
      <c r="C33" s="98">
        <f>C29+C32</f>
        <v>0</v>
      </c>
    </row>
    <row r="34" spans="1:3" x14ac:dyDescent="0.25">
      <c r="A34" s="45" t="s">
        <v>442</v>
      </c>
      <c r="C34" s="52">
        <f>'Annual P&amp;L'!G10*'Scenario Manager'!$G$12</f>
        <v>0</v>
      </c>
    </row>
    <row r="35" spans="1:3" x14ac:dyDescent="0.25">
      <c r="A35" s="50" t="s">
        <v>443</v>
      </c>
      <c r="C35" s="52">
        <f>-(Funding!C16-'Cash Flow'!B24)</f>
        <v>0</v>
      </c>
    </row>
    <row r="36" spans="1:3" x14ac:dyDescent="0.25">
      <c r="A36" s="69" t="s">
        <v>444</v>
      </c>
      <c r="C36" s="99">
        <f>C33+C35</f>
        <v>0</v>
      </c>
    </row>
    <row r="37" spans="1:3" x14ac:dyDescent="0.25">
      <c r="A37" s="45" t="s">
        <v>445</v>
      </c>
      <c r="C37" s="52">
        <f>'Cap Table'!$E$19</f>
        <v>0</v>
      </c>
    </row>
    <row r="38" spans="1:3" x14ac:dyDescent="0.25">
      <c r="A38" s="50" t="s">
        <v>446</v>
      </c>
      <c r="C38" s="51">
        <f>IFERROR(C36/C37-1,0)</f>
        <v>0</v>
      </c>
    </row>
    <row r="40" spans="1:3" x14ac:dyDescent="0.25">
      <c r="A40" s="15" t="s">
        <v>447</v>
      </c>
    </row>
  </sheetData>
  <hyperlinks>
    <hyperlink ref="E4" r:id="rId1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3"/>
  <sheetViews>
    <sheetView showGridLines="0" topLeftCell="A30" zoomScaleNormal="100" workbookViewId="0">
      <selection activeCell="C24" sqref="C24"/>
    </sheetView>
  </sheetViews>
  <sheetFormatPr defaultColWidth="8.7109375" defaultRowHeight="15" x14ac:dyDescent="0.25"/>
  <cols>
    <col min="1" max="1" width="36" customWidth="1"/>
    <col min="2" max="2" width="2" customWidth="1"/>
    <col min="3" max="3" width="14" customWidth="1"/>
    <col min="4" max="8" width="13" customWidth="1"/>
  </cols>
  <sheetData>
    <row r="1" spans="1:8" ht="18" x14ac:dyDescent="0.25">
      <c r="A1" s="21" t="s">
        <v>448</v>
      </c>
    </row>
    <row r="3" spans="1:8" x14ac:dyDescent="0.25">
      <c r="A3" s="32" t="s">
        <v>449</v>
      </c>
      <c r="B3" s="33"/>
      <c r="C3" s="33"/>
      <c r="D3" s="33"/>
      <c r="E3" s="33"/>
      <c r="F3" s="33"/>
      <c r="G3" s="33"/>
      <c r="H3" s="33"/>
    </row>
    <row r="4" spans="1:8" x14ac:dyDescent="0.25">
      <c r="A4" s="50" t="s">
        <v>450</v>
      </c>
      <c r="C4" s="100">
        <f>'Annual P&amp;L'!G10</f>
        <v>0</v>
      </c>
    </row>
    <row r="5" spans="1:8" x14ac:dyDescent="0.25">
      <c r="A5" s="50" t="s">
        <v>102</v>
      </c>
      <c r="C5" s="101">
        <f>'Scenario Manager'!$G$12</f>
        <v>0</v>
      </c>
    </row>
    <row r="6" spans="1:8" x14ac:dyDescent="0.25">
      <c r="A6" s="69" t="s">
        <v>451</v>
      </c>
      <c r="C6" s="96">
        <f>C4*C5</f>
        <v>0</v>
      </c>
    </row>
    <row r="7" spans="1:8" x14ac:dyDescent="0.25">
      <c r="A7" s="50" t="s">
        <v>452</v>
      </c>
      <c r="C7" s="100">
        <f>-'Debt Schedule'!F9</f>
        <v>0</v>
      </c>
    </row>
    <row r="8" spans="1:8" x14ac:dyDescent="0.25">
      <c r="A8" s="50" t="s">
        <v>453</v>
      </c>
      <c r="C8" s="100">
        <f>-'Working Capital'!G12</f>
        <v>0</v>
      </c>
    </row>
    <row r="9" spans="1:8" x14ac:dyDescent="0.25">
      <c r="A9" s="50" t="s">
        <v>454</v>
      </c>
      <c r="C9" s="100">
        <f>'Cash Flow'!G24</f>
        <v>0</v>
      </c>
    </row>
    <row r="10" spans="1:8" x14ac:dyDescent="0.25">
      <c r="A10" s="69" t="s">
        <v>455</v>
      </c>
      <c r="C10" s="99">
        <f>C6+C7+C8+C9</f>
        <v>0</v>
      </c>
    </row>
    <row r="12" spans="1:8" x14ac:dyDescent="0.25">
      <c r="A12" s="32" t="s">
        <v>456</v>
      </c>
      <c r="B12" s="33"/>
      <c r="C12" s="33"/>
      <c r="D12" s="33"/>
      <c r="E12" s="33"/>
      <c r="F12" s="33"/>
      <c r="G12" s="33"/>
      <c r="H12" s="33"/>
    </row>
    <row r="13" spans="1:8" x14ac:dyDescent="0.25">
      <c r="A13" s="50" t="s">
        <v>457</v>
      </c>
      <c r="C13" s="30"/>
      <c r="D13" s="30"/>
    </row>
    <row r="15" spans="1:8" x14ac:dyDescent="0.25">
      <c r="A15" s="25" t="s">
        <v>400</v>
      </c>
      <c r="C15" s="26" t="s">
        <v>401</v>
      </c>
      <c r="D15" s="26" t="s">
        <v>458</v>
      </c>
      <c r="E15" s="26" t="s">
        <v>459</v>
      </c>
      <c r="F15" s="26" t="s">
        <v>460</v>
      </c>
      <c r="G15" s="26" t="s">
        <v>461</v>
      </c>
      <c r="H15" s="26" t="s">
        <v>462</v>
      </c>
    </row>
    <row r="16" spans="1:8" x14ac:dyDescent="0.25">
      <c r="A16" s="50" t="s">
        <v>393</v>
      </c>
      <c r="C16" s="84">
        <f>'Cap Table'!$C$25</f>
        <v>0</v>
      </c>
      <c r="D16" s="52">
        <f>Funding!C14</f>
        <v>0</v>
      </c>
      <c r="E16" s="52">
        <v>0</v>
      </c>
      <c r="F16" s="52">
        <f>IFERROR(C16/'Cap Table'!$H$21*$C$10,0)</f>
        <v>0</v>
      </c>
      <c r="G16" s="102">
        <v>1</v>
      </c>
      <c r="H16" s="52">
        <f>C16*$E$21</f>
        <v>0</v>
      </c>
    </row>
    <row r="17" spans="1:8" x14ac:dyDescent="0.25">
      <c r="A17" s="50" t="s">
        <v>394</v>
      </c>
      <c r="C17" s="84">
        <f>'Cap Table'!$C$26</f>
        <v>0</v>
      </c>
      <c r="D17" s="52">
        <f>'Cap Table'!$F$26</f>
        <v>0</v>
      </c>
      <c r="E17" s="52">
        <v>0</v>
      </c>
      <c r="F17" s="52">
        <f>IFERROR(C17/'Cap Table'!$H$21*$C$10,0)</f>
        <v>0</v>
      </c>
      <c r="G17" s="102">
        <v>1</v>
      </c>
      <c r="H17" s="52">
        <f>C17*$E$21</f>
        <v>0</v>
      </c>
    </row>
    <row r="18" spans="1:8" x14ac:dyDescent="0.25">
      <c r="A18" s="50" t="s">
        <v>395</v>
      </c>
      <c r="C18" s="84">
        <f>'Cap Table'!$C$27</f>
        <v>0</v>
      </c>
      <c r="D18" s="52">
        <v>0</v>
      </c>
      <c r="E18" s="52">
        <v>0</v>
      </c>
      <c r="F18" s="52">
        <f>IFERROR(C18/'Cap Table'!$H$21*$C$10,0)</f>
        <v>0</v>
      </c>
      <c r="G18" s="102">
        <v>1</v>
      </c>
      <c r="H18" s="52">
        <f>C18*$E$21</f>
        <v>0</v>
      </c>
    </row>
    <row r="19" spans="1:8" x14ac:dyDescent="0.25">
      <c r="A19" s="69" t="s">
        <v>396</v>
      </c>
      <c r="C19" s="84">
        <f>'Cap Table'!$C$28</f>
        <v>0</v>
      </c>
      <c r="D19" s="52">
        <f>'Cap Table'!$F$28</f>
        <v>0</v>
      </c>
      <c r="E19" s="52">
        <f>$C$13*D19</f>
        <v>0</v>
      </c>
      <c r="F19" s="52">
        <f>IFERROR(C19/'Cap Table'!$H$21*$C$10,0)</f>
        <v>0</v>
      </c>
      <c r="G19" s="102">
        <f>IF(F19&gt;E19,1,0)</f>
        <v>0</v>
      </c>
      <c r="H19" s="98">
        <f>IF(G19=1,C19*$E$21,E19)</f>
        <v>0</v>
      </c>
    </row>
    <row r="20" spans="1:8" x14ac:dyDescent="0.25">
      <c r="A20" s="69" t="s">
        <v>397</v>
      </c>
      <c r="C20" s="84">
        <f>'Cap Table'!$C$29</f>
        <v>0</v>
      </c>
      <c r="D20" s="52">
        <f>'Cap Table'!$F$29</f>
        <v>0</v>
      </c>
      <c r="E20" s="52">
        <f>$D$13*D20</f>
        <v>0</v>
      </c>
      <c r="F20" s="52">
        <f>IFERROR(C20/'Cap Table'!$H$21*$C$10,0)</f>
        <v>0</v>
      </c>
      <c r="G20" s="102">
        <f>IF(F20&gt;E20,1,0)</f>
        <v>0</v>
      </c>
      <c r="H20" s="98">
        <f>IF(G20=1,C20*$E$21,E20)</f>
        <v>0</v>
      </c>
    </row>
    <row r="21" spans="1:8" x14ac:dyDescent="0.25">
      <c r="A21" s="45" t="s">
        <v>463</v>
      </c>
      <c r="C21" s="103">
        <f>$C$10-((1-G19)*E19+(1-G20)*E20)</f>
        <v>0</v>
      </c>
      <c r="D21">
        <f>('Cap Table'!$C$25+'Cap Table'!$C$26+'Cap Table'!$C$27)+G19*'Cap Table'!$C$28+G20*'Cap Table'!$C$29</f>
        <v>0</v>
      </c>
      <c r="E21">
        <f>IFERROR(MAX(0,C21)/D21,0)</f>
        <v>0</v>
      </c>
    </row>
    <row r="22" spans="1:8" x14ac:dyDescent="0.25">
      <c r="A22" s="45" t="s">
        <v>464</v>
      </c>
      <c r="C22">
        <f>'Cap Table'!$C$25+'Cap Table'!$C$26+'Cap Table'!$C$27</f>
        <v>0</v>
      </c>
      <c r="H22" s="104">
        <f>SUM(H16:H20)-C10</f>
        <v>0</v>
      </c>
    </row>
    <row r="23" spans="1:8" x14ac:dyDescent="0.25">
      <c r="C23" t="s">
        <v>465</v>
      </c>
    </row>
    <row r="24" spans="1:8" x14ac:dyDescent="0.25">
      <c r="A24" s="32" t="s">
        <v>466</v>
      </c>
      <c r="B24" s="33"/>
      <c r="C24" s="33" t="s">
        <v>467</v>
      </c>
      <c r="D24" s="33"/>
      <c r="E24" s="33"/>
      <c r="F24" s="33"/>
      <c r="G24" s="33"/>
      <c r="H24" s="33"/>
    </row>
    <row r="25" spans="1:8" x14ac:dyDescent="0.25">
      <c r="A25" s="25" t="s">
        <v>468</v>
      </c>
      <c r="C25" s="26" t="s">
        <v>458</v>
      </c>
      <c r="D25" s="26" t="s">
        <v>462</v>
      </c>
      <c r="E25" s="26" t="s">
        <v>469</v>
      </c>
      <c r="F25" s="26" t="s">
        <v>470</v>
      </c>
    </row>
    <row r="26" spans="1:8" x14ac:dyDescent="0.25">
      <c r="A26" s="69" t="s">
        <v>396</v>
      </c>
      <c r="C26" s="52">
        <f>D19</f>
        <v>0</v>
      </c>
      <c r="D26" s="52">
        <f>H19</f>
        <v>0</v>
      </c>
      <c r="E26" s="105">
        <f>IFERROR(IF(C26=0,0,D26/C26),0)</f>
        <v>0</v>
      </c>
      <c r="F26" s="106">
        <f>IFERROR((D26/C26)^(1/(5))-1,-1)</f>
        <v>-1</v>
      </c>
    </row>
    <row r="27" spans="1:8" x14ac:dyDescent="0.25">
      <c r="A27" s="50" t="s">
        <v>397</v>
      </c>
      <c r="C27" s="52">
        <f>D20</f>
        <v>0</v>
      </c>
      <c r="D27" s="52">
        <f>H20</f>
        <v>0</v>
      </c>
      <c r="E27" s="107">
        <f>IFERROR(IF(C27=0,0,D27/C27),0)</f>
        <v>0</v>
      </c>
      <c r="F27" s="108">
        <f>IFERROR((D27/C27)^(1/((5-'Cap Table'!$C$12+1)))-1,-1)</f>
        <v>-1</v>
      </c>
    </row>
    <row r="28" spans="1:8" x14ac:dyDescent="0.25">
      <c r="A28" s="50" t="s">
        <v>394</v>
      </c>
      <c r="C28" s="52">
        <f>D17</f>
        <v>0</v>
      </c>
      <c r="D28" s="52">
        <f>H17</f>
        <v>0</v>
      </c>
      <c r="E28" s="107">
        <f>IFERROR(IF(C28=0,0,D28/C28),0)</f>
        <v>0</v>
      </c>
      <c r="F28" s="108">
        <f>IFERROR((D28/C28)^(1/(6))-1,-1)</f>
        <v>-1</v>
      </c>
    </row>
    <row r="30" spans="1:8" x14ac:dyDescent="0.25">
      <c r="A30" s="32" t="s">
        <v>471</v>
      </c>
      <c r="B30" s="33"/>
      <c r="C30" s="33"/>
      <c r="D30" s="33"/>
      <c r="E30" s="33"/>
      <c r="F30" s="33"/>
      <c r="G30" s="33"/>
      <c r="H30" s="33"/>
    </row>
    <row r="31" spans="1:8" x14ac:dyDescent="0.25">
      <c r="A31" s="45" t="s">
        <v>472</v>
      </c>
      <c r="D31" s="109"/>
      <c r="E31" s="109"/>
      <c r="F31" s="109"/>
      <c r="G31" s="109"/>
    </row>
    <row r="32" spans="1:8" x14ac:dyDescent="0.25">
      <c r="C32" s="69" t="s">
        <v>473</v>
      </c>
      <c r="D32" s="110">
        <f>IFERROR((('Cap Table'!$E$28*(('Annual P&amp;L'!G10*0.85)*5-('Debt Schedule'!F9+'Working Capital'!G12-'Cash Flow'!G24)))/'Cap Table'!$F$28)^(1/5)-1,-1)</f>
        <v>-1</v>
      </c>
      <c r="E32" s="110">
        <f>IFERROR((('Cap Table'!$E$28*(('Annual P&amp;L'!G10*0.85)*6-('Debt Schedule'!F9+'Working Capital'!G12-'Cash Flow'!G24)))/'Cap Table'!$F$28)^(1/5)-1,-1)</f>
        <v>-1</v>
      </c>
      <c r="F32" s="110">
        <f>IFERROR((('Cap Table'!$E$28*(('Annual P&amp;L'!G10*0.85)*7-('Debt Schedule'!F9+'Working Capital'!G12-'Cash Flow'!G24)))/'Cap Table'!$F$28)^(1/5)-1,-1)</f>
        <v>-1</v>
      </c>
      <c r="G32" s="110">
        <f>IFERROR((('Cap Table'!$E$28*(('Annual P&amp;L'!G10*0.85)*8-('Debt Schedule'!F9+'Working Capital'!G12-'Cash Flow'!G24)))/'Cap Table'!$F$28)^(1/5)-1,-1)</f>
        <v>-1</v>
      </c>
    </row>
    <row r="33" spans="1:8" x14ac:dyDescent="0.25">
      <c r="C33" s="69" t="s">
        <v>93</v>
      </c>
      <c r="D33" s="111">
        <f>IFERROR((('Cap Table'!$E$28*(('Annual P&amp;L'!G10*1)*5-('Debt Schedule'!F9+'Working Capital'!G12-'Cash Flow'!G24)))/'Cap Table'!$F$28)^(1/5)-1,-1)</f>
        <v>-1</v>
      </c>
      <c r="E33" s="111">
        <f>IFERROR((('Cap Table'!$E$28*(('Annual P&amp;L'!G10*1)*6-('Debt Schedule'!F9+'Working Capital'!G12-'Cash Flow'!G24)))/'Cap Table'!$F$28)^(1/5)-1,-1)</f>
        <v>-1</v>
      </c>
      <c r="F33" s="111">
        <f>IFERROR((('Cap Table'!$E$28*(('Annual P&amp;L'!G10*1)*7-('Debt Schedule'!F9+'Working Capital'!G12-'Cash Flow'!G24)))/'Cap Table'!$F$28)^(1/5)-1,-1)</f>
        <v>-1</v>
      </c>
      <c r="G33" s="111">
        <f>IFERROR((('Cap Table'!$E$28*(('Annual P&amp;L'!G10*1)*8-('Debt Schedule'!F9+'Working Capital'!G12-'Cash Flow'!G24)))/'Cap Table'!$F$28)^(1/5)-1,-1)</f>
        <v>-1</v>
      </c>
    </row>
    <row r="34" spans="1:8" x14ac:dyDescent="0.25">
      <c r="C34" s="69" t="s">
        <v>474</v>
      </c>
      <c r="D34" s="110">
        <f>IFERROR((('Cap Table'!$E$28*(('Annual P&amp;L'!G10*1.15)*5-('Debt Schedule'!F9+'Working Capital'!G12-'Cash Flow'!G24)))/'Cap Table'!$F$28)^(1/5)-1,-1)</f>
        <v>-1</v>
      </c>
      <c r="E34" s="110">
        <f>IFERROR((('Cap Table'!$E$28*(('Annual P&amp;L'!G10*1.15)*6-('Debt Schedule'!F9+'Working Capital'!G12-'Cash Flow'!G24)))/'Cap Table'!$F$28)^(1/5)-1,-1)</f>
        <v>-1</v>
      </c>
      <c r="F34" s="110">
        <f>IFERROR((('Cap Table'!$E$28*(('Annual P&amp;L'!G10*1.15)*7-('Debt Schedule'!F9+'Working Capital'!G12-'Cash Flow'!G24)))/'Cap Table'!$F$28)^(1/5)-1,-1)</f>
        <v>-1</v>
      </c>
      <c r="G34" s="110">
        <f>IFERROR((('Cap Table'!$E$28*(('Annual P&amp;L'!G10*1.15)*8-('Debt Schedule'!F9+'Working Capital'!G12-'Cash Flow'!G24)))/'Cap Table'!$F$28)^(1/5)-1,-1)</f>
        <v>-1</v>
      </c>
    </row>
    <row r="37" spans="1:8" x14ac:dyDescent="0.25">
      <c r="A37" s="32" t="s">
        <v>475</v>
      </c>
      <c r="B37" s="33"/>
      <c r="C37" s="33"/>
      <c r="D37" s="33"/>
      <c r="E37" s="33"/>
      <c r="F37" s="33"/>
      <c r="G37" s="33"/>
      <c r="H37" s="33"/>
    </row>
    <row r="38" spans="1:8" x14ac:dyDescent="0.25">
      <c r="A38" s="69" t="s">
        <v>476</v>
      </c>
      <c r="C38" s="112">
        <f>IFERROR('Annual P&amp;L'!G17/'Balance Sheet'!G14,0)</f>
        <v>0</v>
      </c>
    </row>
    <row r="39" spans="1:8" x14ac:dyDescent="0.25">
      <c r="A39" s="69" t="s">
        <v>477</v>
      </c>
      <c r="C39" s="112">
        <f>IFERROR('Annual P&amp;L'!G13/('Balance Sheet'!G14+'Balance Sheet'!G15+'Balance Sheet'!G16),0)</f>
        <v>0</v>
      </c>
    </row>
    <row r="40" spans="1:8" x14ac:dyDescent="0.25">
      <c r="A40" s="69" t="s">
        <v>478</v>
      </c>
      <c r="C40" s="113">
        <f>IFERROR((Funding!C14+Funding!C15)/(('Annual P&amp;L'!F17+'Annual P&amp;L'!F12+'Annual P&amp;L'!G17+'Annual P&amp;L'!G12)/2),0)</f>
        <v>0</v>
      </c>
    </row>
    <row r="41" spans="1:8" x14ac:dyDescent="0.25">
      <c r="A41" s="69" t="s">
        <v>479</v>
      </c>
      <c r="C41" s="108">
        <f>IFERROR(('Annual P&amp;L'!G4/'Annual P&amp;L'!C4)^(1/4)-1,0)</f>
        <v>0</v>
      </c>
    </row>
    <row r="43" spans="1:8" x14ac:dyDescent="0.25">
      <c r="A43" s="15" t="s">
        <v>480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Instructions</vt:lpstr>
      <vt:lpstr>Scenario Manager</vt:lpstr>
      <vt:lpstr>Assumptions</vt:lpstr>
      <vt:lpstr>Monthly Model</vt:lpstr>
      <vt:lpstr>Annual P&amp;L</vt:lpstr>
      <vt:lpstr>Balance Sheet</vt:lpstr>
      <vt:lpstr>Cash Flow</vt:lpstr>
      <vt:lpstr>Working Capital</vt:lpstr>
      <vt:lpstr>Fixed Assets</vt:lpstr>
      <vt:lpstr>Debt Schedule</vt:lpstr>
      <vt:lpstr>Funding</vt:lpstr>
      <vt:lpstr>Cap Table</vt:lpstr>
      <vt:lpstr>DCF Valuation</vt:lpstr>
      <vt:lpstr>Returns &amp;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Isha Songara</cp:lastModifiedBy>
  <cp:revision>1</cp:revision>
  <dcterms:created xsi:type="dcterms:W3CDTF">2026-07-08T12:08:17Z</dcterms:created>
  <dcterms:modified xsi:type="dcterms:W3CDTF">2026-07-09T05:16:43Z</dcterms:modified>
  <dc:language>en-US</dc:language>
</cp:coreProperties>
</file>