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Form_V_MPBF" sheetId="10" state="visible" r:id="rId10"/>
    <sheet xmlns:r="http://schemas.openxmlformats.org/officeDocument/2006/relationships" name="WC &amp; CC-OD Limit" sheetId="11" state="visible" r:id="rId11"/>
    <sheet xmlns:r="http://schemas.openxmlformats.org/officeDocument/2006/relationships" name="Form_VI_FundFlow" sheetId="12" state="visible" r:id="rId12"/>
    <sheet xmlns:r="http://schemas.openxmlformats.org/officeDocument/2006/relationships" name="Repayment" sheetId="13" state="visible" r:id="rId13"/>
    <sheet xmlns:r="http://schemas.openxmlformats.org/officeDocument/2006/relationships" name="Existing Loan" sheetId="14" state="visible" r:id="rId14"/>
    <sheet xmlns:r="http://schemas.openxmlformats.org/officeDocument/2006/relationships" name="DSCR" sheetId="15" state="visible" r:id="rId15"/>
    <sheet xmlns:r="http://schemas.openxmlformats.org/officeDocument/2006/relationships" name="Ratios" sheetId="16" state="visible" r:id="rId16"/>
    <sheet xmlns:r="http://schemas.openxmlformats.org/officeDocument/2006/relationships" name="Conclusion" sheetId="17" state="visible" r:id="rId17"/>
    <sheet xmlns:r="http://schemas.openxmlformats.org/officeDocument/2006/relationships" name="Dashboard" sheetId="18" state="visible" r:id="rId18"/>
  </sheets>
  <definedNames>
    <definedName name="INDUSTRY_MAP">Assumptions!$S$5:$AB$40</definedName>
    <definedName name="_xlnm.Print_Area" localSheetId="16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1"/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4"/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1"/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Form_V_MPBF</t>
        </is>
      </c>
      <c r="C21" s="88" t="inlineStr">
        <is>
          <t>Form V — Maximum permissible bank finance (Tandon)</t>
        </is>
      </c>
    </row>
    <row r="22" ht="15" customHeight="1" s="82">
      <c r="B22" s="90" t="inlineStr">
        <is>
          <t>WC &amp; CC-OD Limit</t>
        </is>
      </c>
      <c r="C22" s="88" t="inlineStr">
        <is>
          <t>Working capital assessment and the term-loan / WC borrowing split</t>
        </is>
      </c>
    </row>
    <row r="23" ht="15" customHeight="1" s="82">
      <c r="B23" s="90" t="inlineStr">
        <is>
          <t>Form_VI_FundFlow</t>
        </is>
      </c>
      <c r="C23" s="88" t="inlineStr">
        <is>
          <t>Form VI — Fund-flow statement</t>
        </is>
      </c>
    </row>
    <row r="24" ht="15" customHeight="1" s="82">
      <c r="B24" s="90" t="inlineStr">
        <is>
          <t>Repayment</t>
        </is>
      </c>
      <c r="C24" s="88" t="inlineStr">
        <is>
          <t>Term-loan repayment schedule, annual and month by month</t>
        </is>
      </c>
    </row>
    <row r="25" ht="15" customHeight="1" s="82">
      <c r="B25" s="90" t="inlineStr">
        <is>
          <t>Existing Loan</t>
        </is>
      </c>
      <c r="C25" s="88" t="inlineStr"/>
    </row>
    <row r="26" ht="15" customHeight="1" s="82">
      <c r="B26" s="90" t="inlineStr">
        <is>
          <t>DSCR</t>
        </is>
      </c>
      <c r="C26" s="88" t="inlineStr">
        <is>
          <t>Debt-service coverage year by year</t>
        </is>
      </c>
    </row>
    <row r="27">
      <c r="B27" s="90" t="inlineStr">
        <is>
          <t>Ratios</t>
        </is>
      </c>
      <c r="C27" s="88" t="inlineStr">
        <is>
          <t>Key ratios — liquidity, leverage, profitability, coverage</t>
        </is>
      </c>
    </row>
    <row r="28" ht="15" customHeight="1" s="82">
      <c r="B28" s="88" t="inlineStr">
        <is>
          <t>The verdict the figures support</t>
        </is>
      </c>
      <c r="C28" s="132" t="n"/>
    </row>
    <row r="29">
      <c r="B29" s="90" t="inlineStr">
        <is>
          <t>Dashboard</t>
        </is>
      </c>
      <c r="C29" s="88" t="inlineStr">
        <is>
          <t>Charts: revenue, EBITDA, PAT, DSCR</t>
        </is>
      </c>
    </row>
    <row r="30">
      <c r="B30" s="90" t="n"/>
      <c r="C30" s="88" t="n"/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'Fleet Operations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Trips / consignments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Revenue per trip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Operating cost of services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Warehousing / Storage</t>
        </is>
      </c>
      <c r="C66" s="257" t="n">
        <v>0</v>
      </c>
      <c r="D66" s="257" t="n">
        <v>0</v>
      </c>
    </row>
    <row r="67">
      <c r="B67" s="188" t="inlineStr">
        <is>
          <t>Value-added logistics</t>
        </is>
      </c>
      <c r="C67" s="257" t="n">
        <v>0</v>
      </c>
      <c r="D67" s="257" t="n">
        <v>0</v>
      </c>
    </row>
    <row r="68">
      <c r="B68" s="188" t="inlineStr">
        <is>
          <t>Express / Priority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6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6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6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6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Trips / consignments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Trips / consignments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Revenue per trip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Trips / consignments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Warehousing / Storage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Warehousing / Storage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Warehousing / Storage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Value-added logistics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Value-added logistics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Value-added logistics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Express / Priority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Express / Priority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Express / Priority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Operating cost of services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Trips / consignments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Warehousing / Storage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Value-added logistics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Express / Priority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MAX(0,Form_IV_CA_CL!C14*(1-Assumptions!$C$55)-Form_IV_CA_CL!C18)</f>
        <v/>
      </c>
      <c r="D10" s="143">
        <f>MAX(0,Form_IV_CA_CL!D14*(1-Assumptions!$C$55)-Form_IV_CA_CL!D18)</f>
        <v/>
      </c>
      <c r="E10" s="143">
        <f>MAX(0,Form_IV_CA_CL!E14*(1-Assumptions!$C$55)-Form_IV_CA_CL!E18)</f>
        <v/>
      </c>
      <c r="F10" s="143">
        <f>MAX(0,Form_IV_CA_CL!F14*(1-Assumptions!$C$55)-Form_IV_CA_CL!F18)</f>
        <v/>
      </c>
      <c r="G10" s="143">
        <f>MAX(0,Form_IV_CA_CL!G14*(1-Assumptions!$C$55)-Form_IV_CA_CL!G18)</f>
        <v/>
      </c>
    </row>
    <row r="11" ht="15" customHeight="1" s="82">
      <c r="B11" s="137" t="inlineStr">
        <is>
          <t>Recommended MPBF  (Method II)</t>
        </is>
      </c>
      <c r="C11" s="139">
        <f>C10</f>
        <v/>
      </c>
      <c r="D11" s="139">
        <f>D10</f>
        <v/>
      </c>
      <c r="E11" s="139">
        <f>E10</f>
        <v/>
      </c>
      <c r="F11" s="139">
        <f>F10</f>
        <v/>
      </c>
      <c r="G11" s="139">
        <f>G10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4" t="inlineStr">
        <is>
          <t>WORKING CAPITAL &amp; LOAN STRUCTURE  —  MPBF (Tandon) and the borrowing split</t>
        </is>
      </c>
    </row>
    <row r="2">
      <c r="A2" s="305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7">
        <f>Assumptions!$C$73</f>
        <v/>
      </c>
      <c r="D4" s="308" t="n"/>
    </row>
    <row r="5">
      <c r="B5" s="266" t="inlineStr">
        <is>
          <t>Interest rate (% p.a.)</t>
        </is>
      </c>
      <c r="C5" s="309">
        <f>Assumptions!$C$74</f>
        <v/>
      </c>
      <c r="D5" s="308" t="n"/>
    </row>
    <row r="6">
      <c r="B6" s="266" t="inlineStr">
        <is>
          <t>Remaining tenure (months) / annual principal</t>
        </is>
      </c>
      <c r="C6" s="307">
        <f>Assumptions!$C$75</f>
        <v/>
      </c>
      <c r="D6" s="307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IF(AVERAGE(DSCR!C14:G14)&gt;=1.5,"STRONG — comfortably serviceable (avg DSCR &gt;= 1.50)",IF(AVERAGE(DSCR!C14:G14)&gt;=1.2,"BANKABLE — meets the 1.20 minimum DSCR","BELOW NORM — average DSCR under the 1.20 bank floor"))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2026-08-04T09:15:41Z</dcterms:modified>
  <cp:revision>1</cp:revision>
</cp:coreProperties>
</file>