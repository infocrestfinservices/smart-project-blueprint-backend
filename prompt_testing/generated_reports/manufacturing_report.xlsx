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mart-project-blueprint\backend\prompt_testing\generated_reports\"/>
    </mc:Choice>
  </mc:AlternateContent>
  <xr:revisionPtr revIDLastSave="0" documentId="13_ncr:1_{C0CD12C4-5296-4E94-B1B5-84BE26982EB4}" xr6:coauthVersionLast="47" xr6:coauthVersionMax="47" xr10:uidLastSave="{00000000-0000-0000-0000-000000000000}"/>
  <bookViews>
    <workbookView xWindow="0" yWindow="0" windowWidth="10245" windowHeight="10920" tabRatio="500" firstSheet="11" activeTab="12" xr2:uid="{00000000-000D-0000-FFFF-FFFF00000000}"/>
  </bookViews>
  <sheets>
    <sheet name="Cover" sheetId="1" r:id="rId1"/>
    <sheet name="Assumptions" sheetId="2" r:id="rId2"/>
    <sheet name="Production" sheetId="3" r:id="rId3"/>
    <sheet name="Sales" sheetId="4" r:id="rId4"/>
    <sheet name="Expenses" sheetId="5" r:id="rId5"/>
    <sheet name="Profit" sheetId="6" r:id="rId6"/>
    <sheet name="Annual_Summary" sheetId="7" r:id="rId7"/>
    <sheet name="Form_II_Operating" sheetId="8" r:id="rId8"/>
    <sheet name="Form_III_BalanceSheet" sheetId="9" r:id="rId9"/>
    <sheet name="Form_IV_CA_CL" sheetId="10" r:id="rId10"/>
    <sheet name="Form_V_MPBF" sheetId="11" r:id="rId11"/>
    <sheet name="Form_VI_FundFlow" sheetId="12" r:id="rId12"/>
    <sheet name="Repayment" sheetId="13" r:id="rId13"/>
    <sheet name="DSCR" sheetId="14" r:id="rId14"/>
    <sheet name="Sheet1" sheetId="16" r:id="rId15"/>
    <sheet name="Ratios" sheetId="15" r:id="rId1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3" l="1"/>
  <c r="C7" i="13" s="1"/>
  <c r="G8" i="12"/>
  <c r="F8" i="12"/>
  <c r="E8" i="12"/>
  <c r="D8" i="12"/>
  <c r="C8" i="12"/>
  <c r="G7" i="12"/>
  <c r="F7" i="12"/>
  <c r="E7" i="12"/>
  <c r="D7" i="12"/>
  <c r="C7" i="12"/>
  <c r="G17" i="10"/>
  <c r="F17" i="10"/>
  <c r="E17" i="10"/>
  <c r="D17" i="10"/>
  <c r="C17" i="10"/>
  <c r="G13" i="10"/>
  <c r="F13" i="10"/>
  <c r="E13" i="10"/>
  <c r="D13" i="10"/>
  <c r="C13" i="10"/>
  <c r="G15" i="9"/>
  <c r="F15" i="9"/>
  <c r="F13" i="12" s="1"/>
  <c r="E15" i="9"/>
  <c r="D15" i="9"/>
  <c r="D13" i="12" s="1"/>
  <c r="C15" i="9"/>
  <c r="C13" i="12" s="1"/>
  <c r="G12" i="9"/>
  <c r="F12" i="9"/>
  <c r="E12" i="9"/>
  <c r="D12" i="9"/>
  <c r="C12" i="9"/>
  <c r="G6" i="9"/>
  <c r="F6" i="9"/>
  <c r="E6" i="9"/>
  <c r="D6" i="9"/>
  <c r="C6" i="9"/>
  <c r="B11" i="8"/>
  <c r="B8" i="8"/>
  <c r="B7" i="8"/>
  <c r="B14" i="7"/>
  <c r="B11" i="7"/>
  <c r="B10" i="7"/>
  <c r="G7" i="7"/>
  <c r="F7" i="7"/>
  <c r="E7" i="7"/>
  <c r="D7" i="7"/>
  <c r="C7" i="7"/>
  <c r="B6" i="7"/>
  <c r="A10" i="6"/>
  <c r="A7" i="6"/>
  <c r="A6" i="6"/>
  <c r="BM13" i="5"/>
  <c r="BM15" i="6" s="1"/>
  <c r="BL13" i="5"/>
  <c r="BL15" i="6" s="1"/>
  <c r="BK13" i="5"/>
  <c r="BK15" i="6" s="1"/>
  <c r="BJ13" i="5"/>
  <c r="BJ15" i="6" s="1"/>
  <c r="BI13" i="5"/>
  <c r="BI15" i="6" s="1"/>
  <c r="BH13" i="5"/>
  <c r="BH15" i="6" s="1"/>
  <c r="BG13" i="5"/>
  <c r="BG15" i="6" s="1"/>
  <c r="BF13" i="5"/>
  <c r="BF15" i="6" s="1"/>
  <c r="BE13" i="5"/>
  <c r="BE15" i="6" s="1"/>
  <c r="BD13" i="5"/>
  <c r="BD15" i="6" s="1"/>
  <c r="BC13" i="5"/>
  <c r="BC15" i="6" s="1"/>
  <c r="BB13" i="5"/>
  <c r="BB15" i="6" s="1"/>
  <c r="BN15" i="6" s="1"/>
  <c r="AZ13" i="5"/>
  <c r="AZ15" i="6" s="1"/>
  <c r="AY13" i="5"/>
  <c r="AY15" i="6" s="1"/>
  <c r="AX13" i="5"/>
  <c r="AX15" i="6" s="1"/>
  <c r="AW13" i="5"/>
  <c r="AW15" i="6" s="1"/>
  <c r="AV13" i="5"/>
  <c r="AV15" i="6" s="1"/>
  <c r="AU13" i="5"/>
  <c r="AU15" i="6" s="1"/>
  <c r="AT13" i="5"/>
  <c r="AT15" i="6" s="1"/>
  <c r="AS13" i="5"/>
  <c r="AS15" i="6" s="1"/>
  <c r="AR13" i="5"/>
  <c r="AR15" i="6" s="1"/>
  <c r="AQ13" i="5"/>
  <c r="AQ15" i="6" s="1"/>
  <c r="AP13" i="5"/>
  <c r="AP15" i="6" s="1"/>
  <c r="AO13" i="5"/>
  <c r="AO15" i="6" s="1"/>
  <c r="AM13" i="5"/>
  <c r="AM15" i="6" s="1"/>
  <c r="AL13" i="5"/>
  <c r="AL15" i="6" s="1"/>
  <c r="AK13" i="5"/>
  <c r="AK15" i="6" s="1"/>
  <c r="AJ13" i="5"/>
  <c r="AJ15" i="6" s="1"/>
  <c r="AI13" i="5"/>
  <c r="AI15" i="6" s="1"/>
  <c r="AH13" i="5"/>
  <c r="AH15" i="6" s="1"/>
  <c r="AG13" i="5"/>
  <c r="AG15" i="6" s="1"/>
  <c r="AF13" i="5"/>
  <c r="AF15" i="6" s="1"/>
  <c r="AE13" i="5"/>
  <c r="AE15" i="6" s="1"/>
  <c r="AD13" i="5"/>
  <c r="AD15" i="6" s="1"/>
  <c r="AC13" i="5"/>
  <c r="AC15" i="6" s="1"/>
  <c r="AB13" i="5"/>
  <c r="AB15" i="6" s="1"/>
  <c r="AN15" i="6" s="1"/>
  <c r="Z13" i="5"/>
  <c r="Z15" i="6" s="1"/>
  <c r="Y13" i="5"/>
  <c r="Y15" i="6" s="1"/>
  <c r="X13" i="5"/>
  <c r="X15" i="6" s="1"/>
  <c r="W13" i="5"/>
  <c r="W15" i="6" s="1"/>
  <c r="V13" i="5"/>
  <c r="V15" i="6" s="1"/>
  <c r="U13" i="5"/>
  <c r="U15" i="6" s="1"/>
  <c r="T13" i="5"/>
  <c r="T15" i="6" s="1"/>
  <c r="S13" i="5"/>
  <c r="S15" i="6" s="1"/>
  <c r="R13" i="5"/>
  <c r="R15" i="6" s="1"/>
  <c r="Q13" i="5"/>
  <c r="Q15" i="6" s="1"/>
  <c r="P13" i="5"/>
  <c r="P15" i="6" s="1"/>
  <c r="O13" i="5"/>
  <c r="O15" i="6" s="1"/>
  <c r="M13" i="5"/>
  <c r="M15" i="6" s="1"/>
  <c r="L13" i="5"/>
  <c r="L15" i="6" s="1"/>
  <c r="K13" i="5"/>
  <c r="K15" i="6" s="1"/>
  <c r="J13" i="5"/>
  <c r="J15" i="6" s="1"/>
  <c r="I13" i="5"/>
  <c r="I15" i="6" s="1"/>
  <c r="H13" i="5"/>
  <c r="H15" i="6" s="1"/>
  <c r="G13" i="5"/>
  <c r="G15" i="6" s="1"/>
  <c r="F13" i="5"/>
  <c r="F15" i="6" s="1"/>
  <c r="E13" i="5"/>
  <c r="E15" i="6" s="1"/>
  <c r="D13" i="5"/>
  <c r="D15" i="6" s="1"/>
  <c r="C13" i="5"/>
  <c r="C15" i="6" s="1"/>
  <c r="B13" i="5"/>
  <c r="B15" i="6" s="1"/>
  <c r="N15" i="6" s="1"/>
  <c r="BM11" i="5"/>
  <c r="BM12" i="6" s="1"/>
  <c r="BL11" i="5"/>
  <c r="BL12" i="6" s="1"/>
  <c r="BK11" i="5"/>
  <c r="BK12" i="6" s="1"/>
  <c r="BJ11" i="5"/>
  <c r="BJ12" i="6" s="1"/>
  <c r="BI11" i="5"/>
  <c r="BI12" i="6" s="1"/>
  <c r="BH11" i="5"/>
  <c r="BH12" i="6" s="1"/>
  <c r="BG11" i="5"/>
  <c r="BG12" i="6" s="1"/>
  <c r="BF11" i="5"/>
  <c r="BF12" i="6" s="1"/>
  <c r="BE11" i="5"/>
  <c r="BE12" i="6" s="1"/>
  <c r="BD11" i="5"/>
  <c r="BD12" i="6" s="1"/>
  <c r="BC11" i="5"/>
  <c r="BC12" i="6" s="1"/>
  <c r="BB11" i="5"/>
  <c r="BB12" i="6" s="1"/>
  <c r="AZ11" i="5"/>
  <c r="AZ12" i="6" s="1"/>
  <c r="AY11" i="5"/>
  <c r="AY12" i="6" s="1"/>
  <c r="AX11" i="5"/>
  <c r="AX12" i="6" s="1"/>
  <c r="AW11" i="5"/>
  <c r="AW12" i="6" s="1"/>
  <c r="AV11" i="5"/>
  <c r="AV12" i="6" s="1"/>
  <c r="AU11" i="5"/>
  <c r="AU12" i="6" s="1"/>
  <c r="AT11" i="5"/>
  <c r="AT12" i="6" s="1"/>
  <c r="AS11" i="5"/>
  <c r="AS12" i="6" s="1"/>
  <c r="AR11" i="5"/>
  <c r="AR12" i="6" s="1"/>
  <c r="AQ11" i="5"/>
  <c r="AQ12" i="6" s="1"/>
  <c r="AP11" i="5"/>
  <c r="AP12" i="6" s="1"/>
  <c r="AO11" i="5"/>
  <c r="AO12" i="6" s="1"/>
  <c r="BA12" i="6" s="1"/>
  <c r="AM11" i="5"/>
  <c r="AM12" i="6" s="1"/>
  <c r="AL11" i="5"/>
  <c r="AL12" i="6" s="1"/>
  <c r="AK11" i="5"/>
  <c r="AK12" i="6" s="1"/>
  <c r="AJ11" i="5"/>
  <c r="AJ12" i="6" s="1"/>
  <c r="AI11" i="5"/>
  <c r="AI12" i="6" s="1"/>
  <c r="AH11" i="5"/>
  <c r="AH12" i="6" s="1"/>
  <c r="AG11" i="5"/>
  <c r="AG12" i="6" s="1"/>
  <c r="AF11" i="5"/>
  <c r="AF12" i="6" s="1"/>
  <c r="AE11" i="5"/>
  <c r="AE12" i="6" s="1"/>
  <c r="AD11" i="5"/>
  <c r="AD12" i="6" s="1"/>
  <c r="AC11" i="5"/>
  <c r="AC12" i="6" s="1"/>
  <c r="AB11" i="5"/>
  <c r="AB12" i="6" s="1"/>
  <c r="Z11" i="5"/>
  <c r="Z12" i="6" s="1"/>
  <c r="Y11" i="5"/>
  <c r="Y12" i="6" s="1"/>
  <c r="X11" i="5"/>
  <c r="X12" i="6" s="1"/>
  <c r="W11" i="5"/>
  <c r="W12" i="6" s="1"/>
  <c r="V11" i="5"/>
  <c r="V12" i="6" s="1"/>
  <c r="U11" i="5"/>
  <c r="U12" i="6" s="1"/>
  <c r="T11" i="5"/>
  <c r="T12" i="6" s="1"/>
  <c r="S11" i="5"/>
  <c r="S12" i="6" s="1"/>
  <c r="R11" i="5"/>
  <c r="R12" i="6" s="1"/>
  <c r="Q11" i="5"/>
  <c r="Q12" i="6" s="1"/>
  <c r="P11" i="5"/>
  <c r="P12" i="6" s="1"/>
  <c r="O11" i="5"/>
  <c r="O12" i="6" s="1"/>
  <c r="AA12" i="6" s="1"/>
  <c r="M11" i="5"/>
  <c r="M12" i="6" s="1"/>
  <c r="L11" i="5"/>
  <c r="L12" i="6" s="1"/>
  <c r="K11" i="5"/>
  <c r="K12" i="6" s="1"/>
  <c r="J11" i="5"/>
  <c r="J12" i="6" s="1"/>
  <c r="I11" i="5"/>
  <c r="I12" i="6" s="1"/>
  <c r="H11" i="5"/>
  <c r="H12" i="6" s="1"/>
  <c r="G11" i="5"/>
  <c r="G12" i="6" s="1"/>
  <c r="F11" i="5"/>
  <c r="F12" i="6" s="1"/>
  <c r="E11" i="5"/>
  <c r="E12" i="6" s="1"/>
  <c r="D11" i="5"/>
  <c r="D12" i="6" s="1"/>
  <c r="C11" i="5"/>
  <c r="C12" i="6" s="1"/>
  <c r="B11" i="5"/>
  <c r="B12" i="6" s="1"/>
  <c r="BM10" i="5"/>
  <c r="BM11" i="6" s="1"/>
  <c r="BL10" i="5"/>
  <c r="BL11" i="6" s="1"/>
  <c r="BK10" i="5"/>
  <c r="BK11" i="6" s="1"/>
  <c r="BJ10" i="5"/>
  <c r="BJ11" i="6" s="1"/>
  <c r="BI10" i="5"/>
  <c r="BI11" i="6" s="1"/>
  <c r="BH10" i="5"/>
  <c r="BH11" i="6" s="1"/>
  <c r="BG10" i="5"/>
  <c r="BG11" i="6" s="1"/>
  <c r="BF10" i="5"/>
  <c r="BF11" i="6" s="1"/>
  <c r="BE10" i="5"/>
  <c r="BE11" i="6" s="1"/>
  <c r="BD10" i="5"/>
  <c r="BD11" i="6" s="1"/>
  <c r="BC10" i="5"/>
  <c r="BC11" i="6" s="1"/>
  <c r="BB10" i="5"/>
  <c r="BB11" i="6" s="1"/>
  <c r="BN11" i="6" s="1"/>
  <c r="AZ10" i="5"/>
  <c r="AZ11" i="6" s="1"/>
  <c r="AY10" i="5"/>
  <c r="AY11" i="6" s="1"/>
  <c r="AX10" i="5"/>
  <c r="AX11" i="6" s="1"/>
  <c r="AW10" i="5"/>
  <c r="AW11" i="6" s="1"/>
  <c r="AV10" i="5"/>
  <c r="AV11" i="6" s="1"/>
  <c r="AU10" i="5"/>
  <c r="AU11" i="6" s="1"/>
  <c r="AT10" i="5"/>
  <c r="AT11" i="6" s="1"/>
  <c r="AS10" i="5"/>
  <c r="AS11" i="6" s="1"/>
  <c r="AR10" i="5"/>
  <c r="AR11" i="6" s="1"/>
  <c r="AQ10" i="5"/>
  <c r="AQ11" i="6" s="1"/>
  <c r="AP10" i="5"/>
  <c r="AP11" i="6" s="1"/>
  <c r="AO10" i="5"/>
  <c r="AO11" i="6" s="1"/>
  <c r="AM10" i="5"/>
  <c r="AM11" i="6" s="1"/>
  <c r="AL10" i="5"/>
  <c r="AL11" i="6" s="1"/>
  <c r="AK10" i="5"/>
  <c r="AK11" i="6" s="1"/>
  <c r="AJ10" i="5"/>
  <c r="AJ11" i="6" s="1"/>
  <c r="AI10" i="5"/>
  <c r="AI11" i="6" s="1"/>
  <c r="AH10" i="5"/>
  <c r="AH11" i="6" s="1"/>
  <c r="AG10" i="5"/>
  <c r="AG11" i="6" s="1"/>
  <c r="AF10" i="5"/>
  <c r="AF11" i="6" s="1"/>
  <c r="AE10" i="5"/>
  <c r="AE11" i="6" s="1"/>
  <c r="AD10" i="5"/>
  <c r="AD11" i="6" s="1"/>
  <c r="AC10" i="5"/>
  <c r="AC11" i="6" s="1"/>
  <c r="AB10" i="5"/>
  <c r="AB11" i="6" s="1"/>
  <c r="AN11" i="6" s="1"/>
  <c r="Z10" i="5"/>
  <c r="Z11" i="6" s="1"/>
  <c r="Y10" i="5"/>
  <c r="Y11" i="6" s="1"/>
  <c r="X10" i="5"/>
  <c r="X11" i="6" s="1"/>
  <c r="W10" i="5"/>
  <c r="W11" i="6" s="1"/>
  <c r="V10" i="5"/>
  <c r="V11" i="6" s="1"/>
  <c r="U10" i="5"/>
  <c r="U11" i="6" s="1"/>
  <c r="T10" i="5"/>
  <c r="T11" i="6" s="1"/>
  <c r="S10" i="5"/>
  <c r="S11" i="6" s="1"/>
  <c r="R10" i="5"/>
  <c r="R11" i="6" s="1"/>
  <c r="Q10" i="5"/>
  <c r="Q11" i="6" s="1"/>
  <c r="P10" i="5"/>
  <c r="P11" i="6" s="1"/>
  <c r="O10" i="5"/>
  <c r="O11" i="6" s="1"/>
  <c r="M10" i="5"/>
  <c r="M11" i="6" s="1"/>
  <c r="L10" i="5"/>
  <c r="L11" i="6" s="1"/>
  <c r="K10" i="5"/>
  <c r="K11" i="6" s="1"/>
  <c r="J10" i="5"/>
  <c r="J11" i="6" s="1"/>
  <c r="I10" i="5"/>
  <c r="I11" i="6" s="1"/>
  <c r="H10" i="5"/>
  <c r="H11" i="6" s="1"/>
  <c r="G10" i="5"/>
  <c r="G11" i="6" s="1"/>
  <c r="F10" i="5"/>
  <c r="F11" i="6" s="1"/>
  <c r="E10" i="5"/>
  <c r="E11" i="6" s="1"/>
  <c r="D10" i="5"/>
  <c r="D11" i="6" s="1"/>
  <c r="C10" i="5"/>
  <c r="C11" i="6" s="1"/>
  <c r="B10" i="5"/>
  <c r="B11" i="6" s="1"/>
  <c r="N11" i="6" s="1"/>
  <c r="BM9" i="5"/>
  <c r="BM10" i="6" s="1"/>
  <c r="BL9" i="5"/>
  <c r="BL10" i="6" s="1"/>
  <c r="BK9" i="5"/>
  <c r="BK10" i="6" s="1"/>
  <c r="BJ9" i="5"/>
  <c r="BJ10" i="6" s="1"/>
  <c r="BI9" i="5"/>
  <c r="BI10" i="6" s="1"/>
  <c r="BH9" i="5"/>
  <c r="BH10" i="6" s="1"/>
  <c r="BG9" i="5"/>
  <c r="BG10" i="6" s="1"/>
  <c r="BF9" i="5"/>
  <c r="BF10" i="6" s="1"/>
  <c r="BE9" i="5"/>
  <c r="BE10" i="6" s="1"/>
  <c r="BD9" i="5"/>
  <c r="BD10" i="6" s="1"/>
  <c r="BC9" i="5"/>
  <c r="BC10" i="6" s="1"/>
  <c r="BB9" i="5"/>
  <c r="BB10" i="6" s="1"/>
  <c r="AZ9" i="5"/>
  <c r="AZ10" i="6" s="1"/>
  <c r="AY9" i="5"/>
  <c r="AY10" i="6" s="1"/>
  <c r="AX9" i="5"/>
  <c r="AX10" i="6" s="1"/>
  <c r="AW9" i="5"/>
  <c r="AW10" i="6" s="1"/>
  <c r="AV9" i="5"/>
  <c r="AV10" i="6" s="1"/>
  <c r="AU9" i="5"/>
  <c r="AU10" i="6" s="1"/>
  <c r="AT9" i="5"/>
  <c r="AT10" i="6" s="1"/>
  <c r="AS9" i="5"/>
  <c r="AS10" i="6" s="1"/>
  <c r="AR9" i="5"/>
  <c r="AR10" i="6" s="1"/>
  <c r="AQ9" i="5"/>
  <c r="AQ10" i="6" s="1"/>
  <c r="AP9" i="5"/>
  <c r="AP10" i="6" s="1"/>
  <c r="AO9" i="5"/>
  <c r="AO10" i="6" s="1"/>
  <c r="BA10" i="6" s="1"/>
  <c r="AM9" i="5"/>
  <c r="AM10" i="6" s="1"/>
  <c r="AL9" i="5"/>
  <c r="AL10" i="6" s="1"/>
  <c r="AK9" i="5"/>
  <c r="AK10" i="6" s="1"/>
  <c r="AJ9" i="5"/>
  <c r="AJ10" i="6" s="1"/>
  <c r="AI9" i="5"/>
  <c r="AI10" i="6" s="1"/>
  <c r="AH9" i="5"/>
  <c r="AH10" i="6" s="1"/>
  <c r="AG9" i="5"/>
  <c r="AG10" i="6" s="1"/>
  <c r="AF9" i="5"/>
  <c r="AF10" i="6" s="1"/>
  <c r="AE9" i="5"/>
  <c r="AE10" i="6" s="1"/>
  <c r="AD9" i="5"/>
  <c r="AD10" i="6" s="1"/>
  <c r="AC9" i="5"/>
  <c r="AC10" i="6" s="1"/>
  <c r="AB9" i="5"/>
  <c r="AB10" i="6" s="1"/>
  <c r="Z9" i="5"/>
  <c r="Z10" i="6" s="1"/>
  <c r="Y9" i="5"/>
  <c r="Y10" i="6" s="1"/>
  <c r="X9" i="5"/>
  <c r="X10" i="6" s="1"/>
  <c r="W9" i="5"/>
  <c r="W10" i="6" s="1"/>
  <c r="V9" i="5"/>
  <c r="V10" i="6" s="1"/>
  <c r="U9" i="5"/>
  <c r="U10" i="6" s="1"/>
  <c r="T9" i="5"/>
  <c r="T10" i="6" s="1"/>
  <c r="S9" i="5"/>
  <c r="S10" i="6" s="1"/>
  <c r="R9" i="5"/>
  <c r="R10" i="6" s="1"/>
  <c r="Q9" i="5"/>
  <c r="Q10" i="6" s="1"/>
  <c r="P9" i="5"/>
  <c r="P10" i="6" s="1"/>
  <c r="O9" i="5"/>
  <c r="O10" i="6" s="1"/>
  <c r="AA10" i="6" s="1"/>
  <c r="M9" i="5"/>
  <c r="M10" i="6" s="1"/>
  <c r="L9" i="5"/>
  <c r="L10" i="6" s="1"/>
  <c r="K9" i="5"/>
  <c r="K10" i="6" s="1"/>
  <c r="J9" i="5"/>
  <c r="J10" i="6" s="1"/>
  <c r="I9" i="5"/>
  <c r="I10" i="6" s="1"/>
  <c r="H9" i="5"/>
  <c r="H10" i="6" s="1"/>
  <c r="G9" i="5"/>
  <c r="G10" i="6" s="1"/>
  <c r="F9" i="5"/>
  <c r="F10" i="6" s="1"/>
  <c r="E9" i="5"/>
  <c r="E10" i="6" s="1"/>
  <c r="D9" i="5"/>
  <c r="D10" i="6" s="1"/>
  <c r="C9" i="5"/>
  <c r="C10" i="6" s="1"/>
  <c r="B9" i="5"/>
  <c r="B10" i="6" s="1"/>
  <c r="A9" i="5"/>
  <c r="BM7" i="5"/>
  <c r="BM8" i="6" s="1"/>
  <c r="BL7" i="5"/>
  <c r="BL8" i="6" s="1"/>
  <c r="BK7" i="5"/>
  <c r="BK8" i="6" s="1"/>
  <c r="BJ7" i="5"/>
  <c r="BJ8" i="6" s="1"/>
  <c r="BI7" i="5"/>
  <c r="BI8" i="6" s="1"/>
  <c r="BH7" i="5"/>
  <c r="BH8" i="6" s="1"/>
  <c r="BG7" i="5"/>
  <c r="BG8" i="6" s="1"/>
  <c r="BF7" i="5"/>
  <c r="BF8" i="6" s="1"/>
  <c r="BE7" i="5"/>
  <c r="BE8" i="6" s="1"/>
  <c r="BD7" i="5"/>
  <c r="BD8" i="6" s="1"/>
  <c r="BC7" i="5"/>
  <c r="BC8" i="6" s="1"/>
  <c r="BB7" i="5"/>
  <c r="BB8" i="6" s="1"/>
  <c r="BN8" i="6" s="1"/>
  <c r="AZ7" i="5"/>
  <c r="AZ8" i="6" s="1"/>
  <c r="AY7" i="5"/>
  <c r="AY8" i="6" s="1"/>
  <c r="AX7" i="5"/>
  <c r="AX8" i="6" s="1"/>
  <c r="AW7" i="5"/>
  <c r="AW8" i="6" s="1"/>
  <c r="AV7" i="5"/>
  <c r="AV8" i="6" s="1"/>
  <c r="AU7" i="5"/>
  <c r="AU8" i="6" s="1"/>
  <c r="AT7" i="5"/>
  <c r="AT8" i="6" s="1"/>
  <c r="AS7" i="5"/>
  <c r="AS8" i="6" s="1"/>
  <c r="AR7" i="5"/>
  <c r="AR8" i="6" s="1"/>
  <c r="AQ7" i="5"/>
  <c r="AQ8" i="6" s="1"/>
  <c r="AP7" i="5"/>
  <c r="AP8" i="6" s="1"/>
  <c r="AO7" i="5"/>
  <c r="AO8" i="6" s="1"/>
  <c r="AM7" i="5"/>
  <c r="AM8" i="6" s="1"/>
  <c r="AL7" i="5"/>
  <c r="AL8" i="6" s="1"/>
  <c r="AK7" i="5"/>
  <c r="AK8" i="6" s="1"/>
  <c r="AJ7" i="5"/>
  <c r="AJ8" i="6" s="1"/>
  <c r="AI7" i="5"/>
  <c r="AI8" i="6" s="1"/>
  <c r="AH7" i="5"/>
  <c r="AH8" i="6" s="1"/>
  <c r="AG7" i="5"/>
  <c r="AG8" i="6" s="1"/>
  <c r="AF7" i="5"/>
  <c r="AF8" i="6" s="1"/>
  <c r="AE7" i="5"/>
  <c r="AE8" i="6" s="1"/>
  <c r="AD7" i="5"/>
  <c r="AD8" i="6" s="1"/>
  <c r="AC7" i="5"/>
  <c r="AC8" i="6" s="1"/>
  <c r="AB7" i="5"/>
  <c r="AB8" i="6" s="1"/>
  <c r="AN8" i="6" s="1"/>
  <c r="Z7" i="5"/>
  <c r="Z8" i="6" s="1"/>
  <c r="Y7" i="5"/>
  <c r="Y8" i="6" s="1"/>
  <c r="X7" i="5"/>
  <c r="X8" i="6" s="1"/>
  <c r="W7" i="5"/>
  <c r="W8" i="6" s="1"/>
  <c r="V7" i="5"/>
  <c r="V8" i="6" s="1"/>
  <c r="U7" i="5"/>
  <c r="U8" i="6" s="1"/>
  <c r="T7" i="5"/>
  <c r="T8" i="6" s="1"/>
  <c r="S7" i="5"/>
  <c r="S8" i="6" s="1"/>
  <c r="R7" i="5"/>
  <c r="R8" i="6" s="1"/>
  <c r="Q7" i="5"/>
  <c r="Q8" i="6" s="1"/>
  <c r="P7" i="5"/>
  <c r="P8" i="6" s="1"/>
  <c r="O7" i="5"/>
  <c r="O8" i="6" s="1"/>
  <c r="M7" i="5"/>
  <c r="M8" i="6" s="1"/>
  <c r="L7" i="5"/>
  <c r="L8" i="6" s="1"/>
  <c r="K7" i="5"/>
  <c r="K8" i="6" s="1"/>
  <c r="J7" i="5"/>
  <c r="J8" i="6" s="1"/>
  <c r="I7" i="5"/>
  <c r="I8" i="6" s="1"/>
  <c r="H7" i="5"/>
  <c r="H8" i="6" s="1"/>
  <c r="G7" i="5"/>
  <c r="G8" i="6" s="1"/>
  <c r="F7" i="5"/>
  <c r="F8" i="6" s="1"/>
  <c r="E7" i="5"/>
  <c r="E8" i="6" s="1"/>
  <c r="D7" i="5"/>
  <c r="D8" i="6" s="1"/>
  <c r="C7" i="5"/>
  <c r="C8" i="6" s="1"/>
  <c r="B7" i="5"/>
  <c r="B8" i="6" s="1"/>
  <c r="N8" i="6" s="1"/>
  <c r="A6" i="5"/>
  <c r="A5" i="5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M6" i="3"/>
  <c r="BM5" i="4" s="1"/>
  <c r="BM7" i="4" s="1"/>
  <c r="BL6" i="3"/>
  <c r="BK6" i="3"/>
  <c r="BK5" i="4" s="1"/>
  <c r="BK7" i="4" s="1"/>
  <c r="BJ6" i="3"/>
  <c r="BI6" i="3"/>
  <c r="BI5" i="4" s="1"/>
  <c r="BI7" i="4" s="1"/>
  <c r="BH6" i="3"/>
  <c r="BG6" i="3"/>
  <c r="BG5" i="4" s="1"/>
  <c r="BG7" i="4" s="1"/>
  <c r="BF6" i="3"/>
  <c r="BE6" i="3"/>
  <c r="BE5" i="4" s="1"/>
  <c r="BE7" i="4" s="1"/>
  <c r="BD6" i="3"/>
  <c r="BC6" i="3"/>
  <c r="BC5" i="4" s="1"/>
  <c r="BC7" i="4" s="1"/>
  <c r="BB6" i="3"/>
  <c r="AZ6" i="3"/>
  <c r="AY6" i="3"/>
  <c r="AY5" i="4" s="1"/>
  <c r="AY7" i="4" s="1"/>
  <c r="AX6" i="3"/>
  <c r="AW6" i="3"/>
  <c r="AW5" i="4" s="1"/>
  <c r="AW7" i="4" s="1"/>
  <c r="AV6" i="3"/>
  <c r="AU6" i="3"/>
  <c r="AU5" i="4" s="1"/>
  <c r="AU7" i="4" s="1"/>
  <c r="AT6" i="3"/>
  <c r="AS6" i="3"/>
  <c r="AS5" i="4" s="1"/>
  <c r="AS7" i="4" s="1"/>
  <c r="AR6" i="3"/>
  <c r="AQ6" i="3"/>
  <c r="AQ5" i="4" s="1"/>
  <c r="AQ7" i="4" s="1"/>
  <c r="AP6" i="3"/>
  <c r="AO6" i="3"/>
  <c r="AO5" i="4" s="1"/>
  <c r="AM6" i="3"/>
  <c r="AM5" i="4" s="1"/>
  <c r="AM7" i="4" s="1"/>
  <c r="AL6" i="3"/>
  <c r="AK6" i="3"/>
  <c r="AK5" i="4" s="1"/>
  <c r="AK7" i="4" s="1"/>
  <c r="AJ6" i="3"/>
  <c r="AI6" i="3"/>
  <c r="AI5" i="4" s="1"/>
  <c r="AI7" i="4" s="1"/>
  <c r="AH6" i="3"/>
  <c r="AG6" i="3"/>
  <c r="AG5" i="4" s="1"/>
  <c r="AG7" i="4" s="1"/>
  <c r="AF6" i="3"/>
  <c r="AE6" i="3"/>
  <c r="AE5" i="4" s="1"/>
  <c r="AE7" i="4" s="1"/>
  <c r="AD6" i="3"/>
  <c r="AC6" i="3"/>
  <c r="AC5" i="4" s="1"/>
  <c r="AC7" i="4" s="1"/>
  <c r="AB6" i="3"/>
  <c r="Z6" i="3"/>
  <c r="Y6" i="3"/>
  <c r="Y5" i="4" s="1"/>
  <c r="Y7" i="4" s="1"/>
  <c r="X6" i="3"/>
  <c r="W6" i="3"/>
  <c r="W5" i="4" s="1"/>
  <c r="W7" i="4" s="1"/>
  <c r="V6" i="3"/>
  <c r="U6" i="3"/>
  <c r="U5" i="5" s="1"/>
  <c r="T6" i="3"/>
  <c r="S6" i="3"/>
  <c r="S5" i="5" s="1"/>
  <c r="R6" i="3"/>
  <c r="Q6" i="3"/>
  <c r="Q5" i="5" s="1"/>
  <c r="P6" i="3"/>
  <c r="O6" i="3"/>
  <c r="O5" i="5" s="1"/>
  <c r="M6" i="3"/>
  <c r="M5" i="5" s="1"/>
  <c r="L6" i="3"/>
  <c r="K6" i="3"/>
  <c r="K5" i="5" s="1"/>
  <c r="J6" i="3"/>
  <c r="I6" i="3"/>
  <c r="I5" i="5" s="1"/>
  <c r="H6" i="3"/>
  <c r="G6" i="3"/>
  <c r="G5" i="5" s="1"/>
  <c r="F6" i="3"/>
  <c r="E6" i="3"/>
  <c r="E5" i="5" s="1"/>
  <c r="D6" i="3"/>
  <c r="C6" i="3"/>
  <c r="C5" i="5" s="1"/>
  <c r="B6" i="3"/>
  <c r="A6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27" i="2"/>
  <c r="B25" i="2"/>
  <c r="B16" i="2"/>
  <c r="C9" i="1"/>
  <c r="C8" i="1"/>
  <c r="C7" i="1"/>
  <c r="C6" i="1"/>
  <c r="C5" i="1"/>
  <c r="C6" i="6" l="1"/>
  <c r="E6" i="6"/>
  <c r="G6" i="6"/>
  <c r="I6" i="6"/>
  <c r="K6" i="6"/>
  <c r="M6" i="6"/>
  <c r="AC12" i="5"/>
  <c r="AC13" i="6" s="1"/>
  <c r="AC5" i="6"/>
  <c r="AE12" i="5"/>
  <c r="AE13" i="6" s="1"/>
  <c r="AE5" i="6"/>
  <c r="AG12" i="5"/>
  <c r="AG13" i="6" s="1"/>
  <c r="AG5" i="6"/>
  <c r="AI12" i="5"/>
  <c r="AI13" i="6" s="1"/>
  <c r="AI5" i="6"/>
  <c r="AK12" i="5"/>
  <c r="AK13" i="6" s="1"/>
  <c r="AK5" i="6"/>
  <c r="AM12" i="5"/>
  <c r="AM13" i="6" s="1"/>
  <c r="AM5" i="6"/>
  <c r="BC12" i="5"/>
  <c r="BC13" i="6" s="1"/>
  <c r="BC5" i="6"/>
  <c r="BE12" i="5"/>
  <c r="BE13" i="6" s="1"/>
  <c r="BE5" i="6"/>
  <c r="BG12" i="5"/>
  <c r="BG13" i="6" s="1"/>
  <c r="BG5" i="6"/>
  <c r="BI12" i="5"/>
  <c r="BI13" i="6" s="1"/>
  <c r="BI5" i="6"/>
  <c r="BK12" i="5"/>
  <c r="BK13" i="6" s="1"/>
  <c r="BK5" i="6"/>
  <c r="BM12" i="5"/>
  <c r="BM13" i="6" s="1"/>
  <c r="BM5" i="6"/>
  <c r="O6" i="6"/>
  <c r="Q6" i="6"/>
  <c r="S6" i="6"/>
  <c r="U6" i="6"/>
  <c r="W12" i="5"/>
  <c r="W13" i="6" s="1"/>
  <c r="W5" i="6"/>
  <c r="Y12" i="5"/>
  <c r="Y13" i="6" s="1"/>
  <c r="Y5" i="6"/>
  <c r="AO7" i="4"/>
  <c r="AQ12" i="5"/>
  <c r="AQ13" i="6" s="1"/>
  <c r="AQ5" i="6"/>
  <c r="AS12" i="5"/>
  <c r="AS13" i="6" s="1"/>
  <c r="AS5" i="6"/>
  <c r="AU12" i="5"/>
  <c r="AU13" i="6" s="1"/>
  <c r="AU5" i="6"/>
  <c r="AW12" i="5"/>
  <c r="AW13" i="6" s="1"/>
  <c r="AW5" i="6"/>
  <c r="AY12" i="5"/>
  <c r="AY13" i="6" s="1"/>
  <c r="AY5" i="6"/>
  <c r="B8" i="5"/>
  <c r="B6" i="5"/>
  <c r="D8" i="5"/>
  <c r="D9" i="6" s="1"/>
  <c r="D6" i="5"/>
  <c r="D7" i="6" s="1"/>
  <c r="F8" i="5"/>
  <c r="F9" i="6" s="1"/>
  <c r="F6" i="5"/>
  <c r="F7" i="6" s="1"/>
  <c r="H8" i="5"/>
  <c r="H9" i="6" s="1"/>
  <c r="H6" i="5"/>
  <c r="H7" i="6" s="1"/>
  <c r="J8" i="5"/>
  <c r="J9" i="6" s="1"/>
  <c r="J6" i="5"/>
  <c r="J7" i="6" s="1"/>
  <c r="L8" i="5"/>
  <c r="L9" i="6" s="1"/>
  <c r="L6" i="5"/>
  <c r="L7" i="6" s="1"/>
  <c r="N6" i="3"/>
  <c r="C6" i="7" s="1"/>
  <c r="P8" i="5"/>
  <c r="P9" i="6" s="1"/>
  <c r="P6" i="5"/>
  <c r="P7" i="6" s="1"/>
  <c r="R8" i="5"/>
  <c r="R9" i="6" s="1"/>
  <c r="R6" i="5"/>
  <c r="R7" i="6" s="1"/>
  <c r="T8" i="5"/>
  <c r="T9" i="6" s="1"/>
  <c r="T6" i="5"/>
  <c r="T7" i="6" s="1"/>
  <c r="V8" i="5"/>
  <c r="V9" i="6" s="1"/>
  <c r="V6" i="5"/>
  <c r="V7" i="6" s="1"/>
  <c r="X8" i="5"/>
  <c r="X9" i="6" s="1"/>
  <c r="X6" i="5"/>
  <c r="X7" i="6" s="1"/>
  <c r="Z8" i="5"/>
  <c r="Z9" i="6" s="1"/>
  <c r="Z6" i="5"/>
  <c r="Z7" i="6" s="1"/>
  <c r="AB8" i="5"/>
  <c r="AB6" i="5"/>
  <c r="AD8" i="5"/>
  <c r="AD9" i="6" s="1"/>
  <c r="AD6" i="5"/>
  <c r="AD7" i="6" s="1"/>
  <c r="AF8" i="5"/>
  <c r="AF9" i="6" s="1"/>
  <c r="AF6" i="5"/>
  <c r="AF7" i="6" s="1"/>
  <c r="AH8" i="5"/>
  <c r="AH9" i="6" s="1"/>
  <c r="AH6" i="5"/>
  <c r="AH7" i="6" s="1"/>
  <c r="AJ8" i="5"/>
  <c r="AJ9" i="6" s="1"/>
  <c r="AJ6" i="5"/>
  <c r="AJ7" i="6" s="1"/>
  <c r="AL8" i="5"/>
  <c r="AL9" i="6" s="1"/>
  <c r="AL6" i="5"/>
  <c r="AL7" i="6" s="1"/>
  <c r="AN6" i="3"/>
  <c r="E6" i="7" s="1"/>
  <c r="AP8" i="5"/>
  <c r="AP9" i="6" s="1"/>
  <c r="AP6" i="5"/>
  <c r="AP7" i="6" s="1"/>
  <c r="AR8" i="5"/>
  <c r="AR9" i="6" s="1"/>
  <c r="AR6" i="5"/>
  <c r="AR7" i="6" s="1"/>
  <c r="AT8" i="5"/>
  <c r="AT9" i="6" s="1"/>
  <c r="AT6" i="5"/>
  <c r="AT7" i="6" s="1"/>
  <c r="AT5" i="5"/>
  <c r="AV8" i="5"/>
  <c r="AV9" i="6" s="1"/>
  <c r="AV6" i="5"/>
  <c r="AV7" i="6" s="1"/>
  <c r="AV5" i="5"/>
  <c r="AX8" i="5"/>
  <c r="AX9" i="6" s="1"/>
  <c r="AX6" i="5"/>
  <c r="AX7" i="6" s="1"/>
  <c r="AX5" i="5"/>
  <c r="AZ8" i="5"/>
  <c r="AZ9" i="6" s="1"/>
  <c r="AZ6" i="5"/>
  <c r="AZ7" i="6" s="1"/>
  <c r="AZ5" i="5"/>
  <c r="BB8" i="5"/>
  <c r="BB6" i="5"/>
  <c r="BB5" i="5"/>
  <c r="BD8" i="5"/>
  <c r="BD9" i="6" s="1"/>
  <c r="BD6" i="5"/>
  <c r="BD7" i="6" s="1"/>
  <c r="BD5" i="5"/>
  <c r="BF8" i="5"/>
  <c r="BF9" i="6" s="1"/>
  <c r="BF6" i="5"/>
  <c r="BF7" i="6" s="1"/>
  <c r="BF5" i="5"/>
  <c r="BH8" i="5"/>
  <c r="BH9" i="6" s="1"/>
  <c r="BH6" i="5"/>
  <c r="BH7" i="6" s="1"/>
  <c r="BH5" i="5"/>
  <c r="BJ8" i="5"/>
  <c r="BJ9" i="6" s="1"/>
  <c r="BJ6" i="5"/>
  <c r="BJ7" i="6" s="1"/>
  <c r="BJ5" i="5"/>
  <c r="BL8" i="5"/>
  <c r="BL9" i="6" s="1"/>
  <c r="BL6" i="5"/>
  <c r="BL7" i="6" s="1"/>
  <c r="BL5" i="5"/>
  <c r="BN6" i="3"/>
  <c r="G6" i="7" s="1"/>
  <c r="C5" i="4"/>
  <c r="C7" i="4" s="1"/>
  <c r="E5" i="4"/>
  <c r="E7" i="4" s="1"/>
  <c r="G5" i="4"/>
  <c r="G7" i="4" s="1"/>
  <c r="I5" i="4"/>
  <c r="I7" i="4" s="1"/>
  <c r="K5" i="4"/>
  <c r="K7" i="4" s="1"/>
  <c r="M5" i="4"/>
  <c r="M7" i="4" s="1"/>
  <c r="O5" i="4"/>
  <c r="Q5" i="4"/>
  <c r="Q7" i="4" s="1"/>
  <c r="S5" i="4"/>
  <c r="S7" i="4" s="1"/>
  <c r="U5" i="4"/>
  <c r="U7" i="4" s="1"/>
  <c r="X5" i="5"/>
  <c r="AB5" i="5"/>
  <c r="AF5" i="5"/>
  <c r="AJ5" i="5"/>
  <c r="AR5" i="5"/>
  <c r="C8" i="5"/>
  <c r="C9" i="6" s="1"/>
  <c r="C6" i="5"/>
  <c r="C7" i="6" s="1"/>
  <c r="E8" i="5"/>
  <c r="E9" i="6" s="1"/>
  <c r="E6" i="5"/>
  <c r="E7" i="6" s="1"/>
  <c r="G8" i="5"/>
  <c r="G9" i="6" s="1"/>
  <c r="G6" i="5"/>
  <c r="G7" i="6" s="1"/>
  <c r="I8" i="5"/>
  <c r="I9" i="6" s="1"/>
  <c r="I6" i="5"/>
  <c r="I7" i="6" s="1"/>
  <c r="K8" i="5"/>
  <c r="K9" i="6" s="1"/>
  <c r="K6" i="5"/>
  <c r="K7" i="6" s="1"/>
  <c r="M8" i="5"/>
  <c r="M9" i="6" s="1"/>
  <c r="M6" i="5"/>
  <c r="M7" i="6" s="1"/>
  <c r="O8" i="5"/>
  <c r="O6" i="5"/>
  <c r="Q8" i="5"/>
  <c r="Q9" i="6" s="1"/>
  <c r="Q6" i="5"/>
  <c r="Q7" i="6" s="1"/>
  <c r="S8" i="5"/>
  <c r="S9" i="6" s="1"/>
  <c r="S6" i="5"/>
  <c r="S7" i="6" s="1"/>
  <c r="U8" i="5"/>
  <c r="U9" i="6" s="1"/>
  <c r="U6" i="5"/>
  <c r="U7" i="6" s="1"/>
  <c r="W8" i="5"/>
  <c r="W9" i="6" s="1"/>
  <c r="W6" i="5"/>
  <c r="W7" i="6" s="1"/>
  <c r="W5" i="5"/>
  <c r="Y8" i="5"/>
  <c r="Y9" i="6" s="1"/>
  <c r="Y6" i="5"/>
  <c r="Y7" i="6" s="1"/>
  <c r="Y5" i="5"/>
  <c r="AA6" i="3"/>
  <c r="D6" i="7" s="1"/>
  <c r="AC8" i="5"/>
  <c r="AC9" i="6" s="1"/>
  <c r="AC6" i="5"/>
  <c r="AC7" i="6" s="1"/>
  <c r="AC5" i="5"/>
  <c r="AE8" i="5"/>
  <c r="AE9" i="6" s="1"/>
  <c r="AE6" i="5"/>
  <c r="AE7" i="6" s="1"/>
  <c r="AE5" i="5"/>
  <c r="AG8" i="5"/>
  <c r="AG9" i="6" s="1"/>
  <c r="AG6" i="5"/>
  <c r="AG7" i="6" s="1"/>
  <c r="AG5" i="5"/>
  <c r="AI8" i="5"/>
  <c r="AI9" i="6" s="1"/>
  <c r="AI6" i="5"/>
  <c r="AI7" i="6" s="1"/>
  <c r="AI5" i="5"/>
  <c r="AK8" i="5"/>
  <c r="AK9" i="6" s="1"/>
  <c r="AK6" i="5"/>
  <c r="AK7" i="6" s="1"/>
  <c r="AK5" i="5"/>
  <c r="AM8" i="5"/>
  <c r="AM9" i="6" s="1"/>
  <c r="AM6" i="5"/>
  <c r="AM7" i="6" s="1"/>
  <c r="AM5" i="5"/>
  <c r="AO8" i="5"/>
  <c r="AO6" i="5"/>
  <c r="AO5" i="5"/>
  <c r="AQ8" i="5"/>
  <c r="AQ9" i="6" s="1"/>
  <c r="AQ6" i="5"/>
  <c r="AQ7" i="6" s="1"/>
  <c r="AQ5" i="5"/>
  <c r="AS8" i="5"/>
  <c r="AS9" i="6" s="1"/>
  <c r="AS6" i="5"/>
  <c r="AS7" i="6" s="1"/>
  <c r="AS5" i="5"/>
  <c r="AU8" i="5"/>
  <c r="AU9" i="6" s="1"/>
  <c r="AU6" i="5"/>
  <c r="AU7" i="6" s="1"/>
  <c r="AU5" i="5"/>
  <c r="AW8" i="5"/>
  <c r="AW9" i="6" s="1"/>
  <c r="AW6" i="5"/>
  <c r="AW7" i="6" s="1"/>
  <c r="AW5" i="5"/>
  <c r="AY8" i="5"/>
  <c r="AY9" i="6" s="1"/>
  <c r="AY6" i="5"/>
  <c r="AY7" i="6" s="1"/>
  <c r="AY5" i="5"/>
  <c r="BA6" i="3"/>
  <c r="F6" i="7" s="1"/>
  <c r="BC8" i="5"/>
  <c r="BC9" i="6" s="1"/>
  <c r="BC6" i="5"/>
  <c r="BC7" i="6" s="1"/>
  <c r="BC5" i="5"/>
  <c r="BE8" i="5"/>
  <c r="BE9" i="6" s="1"/>
  <c r="BE6" i="5"/>
  <c r="BE7" i="6" s="1"/>
  <c r="BE5" i="5"/>
  <c r="BG8" i="5"/>
  <c r="BG9" i="6" s="1"/>
  <c r="BG6" i="5"/>
  <c r="BG7" i="6" s="1"/>
  <c r="BG5" i="5"/>
  <c r="BI8" i="5"/>
  <c r="BI9" i="6" s="1"/>
  <c r="BI6" i="5"/>
  <c r="BI7" i="6" s="1"/>
  <c r="BI5" i="5"/>
  <c r="BK8" i="5"/>
  <c r="BK9" i="6" s="1"/>
  <c r="BK6" i="5"/>
  <c r="BK7" i="6" s="1"/>
  <c r="BK5" i="5"/>
  <c r="BM8" i="5"/>
  <c r="BM9" i="6" s="1"/>
  <c r="BM6" i="5"/>
  <c r="BM7" i="6" s="1"/>
  <c r="BM5" i="5"/>
  <c r="B5" i="4"/>
  <c r="D5" i="4"/>
  <c r="D7" i="4" s="1"/>
  <c r="F5" i="4"/>
  <c r="F7" i="4" s="1"/>
  <c r="H5" i="4"/>
  <c r="H7" i="4" s="1"/>
  <c r="J5" i="4"/>
  <c r="J7" i="4" s="1"/>
  <c r="L5" i="4"/>
  <c r="L7" i="4" s="1"/>
  <c r="P5" i="4"/>
  <c r="P7" i="4" s="1"/>
  <c r="R5" i="4"/>
  <c r="R7" i="4" s="1"/>
  <c r="T5" i="4"/>
  <c r="T7" i="4" s="1"/>
  <c r="V5" i="4"/>
  <c r="V7" i="4" s="1"/>
  <c r="X5" i="4"/>
  <c r="X7" i="4" s="1"/>
  <c r="Z5" i="4"/>
  <c r="Z7" i="4" s="1"/>
  <c r="AB5" i="4"/>
  <c r="AD5" i="4"/>
  <c r="AD7" i="4" s="1"/>
  <c r="AF5" i="4"/>
  <c r="AF7" i="4" s="1"/>
  <c r="AH5" i="4"/>
  <c r="AH7" i="4" s="1"/>
  <c r="AJ5" i="4"/>
  <c r="AJ7" i="4" s="1"/>
  <c r="AL5" i="4"/>
  <c r="AL7" i="4" s="1"/>
  <c r="AP5" i="4"/>
  <c r="AP7" i="4" s="1"/>
  <c r="AR5" i="4"/>
  <c r="AR7" i="4" s="1"/>
  <c r="AT5" i="4"/>
  <c r="AT7" i="4" s="1"/>
  <c r="AV5" i="4"/>
  <c r="AV7" i="4" s="1"/>
  <c r="AX5" i="4"/>
  <c r="AX7" i="4" s="1"/>
  <c r="AZ5" i="4"/>
  <c r="AZ7" i="4" s="1"/>
  <c r="BB5" i="4"/>
  <c r="BD5" i="4"/>
  <c r="BD7" i="4" s="1"/>
  <c r="BF5" i="4"/>
  <c r="BF7" i="4" s="1"/>
  <c r="BH5" i="4"/>
  <c r="BH7" i="4" s="1"/>
  <c r="BJ5" i="4"/>
  <c r="BJ7" i="4" s="1"/>
  <c r="BL5" i="4"/>
  <c r="BL7" i="4" s="1"/>
  <c r="B5" i="5"/>
  <c r="D5" i="5"/>
  <c r="F5" i="5"/>
  <c r="H5" i="5"/>
  <c r="J5" i="5"/>
  <c r="L5" i="5"/>
  <c r="P5" i="5"/>
  <c r="R5" i="5"/>
  <c r="T5" i="5"/>
  <c r="V5" i="5"/>
  <c r="Z5" i="5"/>
  <c r="AD5" i="5"/>
  <c r="AH5" i="5"/>
  <c r="AL5" i="5"/>
  <c r="AP5" i="5"/>
  <c r="N7" i="5"/>
  <c r="C12" i="7" s="1"/>
  <c r="AN7" i="5"/>
  <c r="E12" i="7" s="1"/>
  <c r="BN7" i="5"/>
  <c r="G12" i="7" s="1"/>
  <c r="AA9" i="5"/>
  <c r="D14" i="7" s="1"/>
  <c r="D11" i="8" s="1"/>
  <c r="BA9" i="5"/>
  <c r="F14" i="7" s="1"/>
  <c r="F11" i="8" s="1"/>
  <c r="N10" i="5"/>
  <c r="C15" i="7" s="1"/>
  <c r="C12" i="8" s="1"/>
  <c r="AN10" i="5"/>
  <c r="E15" i="7" s="1"/>
  <c r="E12" i="8" s="1"/>
  <c r="BN10" i="5"/>
  <c r="G15" i="7" s="1"/>
  <c r="G12" i="8" s="1"/>
  <c r="AA11" i="5"/>
  <c r="D16" i="7" s="1"/>
  <c r="D16" i="8" s="1"/>
  <c r="BA11" i="5"/>
  <c r="F16" i="7" s="1"/>
  <c r="F16" i="8" s="1"/>
  <c r="AA15" i="6"/>
  <c r="AA13" i="5"/>
  <c r="D18" i="7" s="1"/>
  <c r="BA15" i="6"/>
  <c r="BA13" i="5"/>
  <c r="F18" i="7" s="1"/>
  <c r="AA8" i="6"/>
  <c r="AA7" i="5"/>
  <c r="D12" i="7" s="1"/>
  <c r="BA8" i="6"/>
  <c r="BA7" i="5"/>
  <c r="F12" i="7" s="1"/>
  <c r="N10" i="6"/>
  <c r="N9" i="5"/>
  <c r="C14" i="7" s="1"/>
  <c r="C11" i="8" s="1"/>
  <c r="AN10" i="6"/>
  <c r="AN9" i="5"/>
  <c r="E14" i="7" s="1"/>
  <c r="E11" i="8" s="1"/>
  <c r="BN10" i="6"/>
  <c r="BN9" i="5"/>
  <c r="G14" i="7" s="1"/>
  <c r="G11" i="8" s="1"/>
  <c r="AA11" i="6"/>
  <c r="AA10" i="5"/>
  <c r="D15" i="7" s="1"/>
  <c r="D12" i="8" s="1"/>
  <c r="BA11" i="6"/>
  <c r="BA10" i="5"/>
  <c r="F15" i="7" s="1"/>
  <c r="F12" i="8" s="1"/>
  <c r="N12" i="6"/>
  <c r="N11" i="5"/>
  <c r="C16" i="7" s="1"/>
  <c r="C16" i="8" s="1"/>
  <c r="AN12" i="6"/>
  <c r="AN11" i="5"/>
  <c r="E16" i="7" s="1"/>
  <c r="E16" i="8" s="1"/>
  <c r="BN12" i="6"/>
  <c r="BN11" i="5"/>
  <c r="G16" i="7" s="1"/>
  <c r="G16" i="8" s="1"/>
  <c r="N13" i="5"/>
  <c r="C18" i="7" s="1"/>
  <c r="AN13" i="5"/>
  <c r="E18" i="7" s="1"/>
  <c r="BN13" i="5"/>
  <c r="G18" i="7" s="1"/>
  <c r="E13" i="12"/>
  <c r="G13" i="12"/>
  <c r="C11" i="14"/>
  <c r="C14" i="12"/>
  <c r="C6" i="13"/>
  <c r="C8" i="13"/>
  <c r="D5" i="13" l="1"/>
  <c r="C9" i="9"/>
  <c r="E7" i="14"/>
  <c r="E13" i="8"/>
  <c r="F9" i="8"/>
  <c r="D9" i="8"/>
  <c r="F7" i="14"/>
  <c r="F13" i="8"/>
  <c r="D7" i="14"/>
  <c r="D13" i="8"/>
  <c r="E9" i="8"/>
  <c r="AP6" i="6"/>
  <c r="AH6" i="6"/>
  <c r="Z6" i="6"/>
  <c r="T6" i="6"/>
  <c r="P6" i="6"/>
  <c r="J6" i="6"/>
  <c r="F6" i="6"/>
  <c r="B6" i="6"/>
  <c r="N5" i="5"/>
  <c r="C10" i="7" s="1"/>
  <c r="BJ5" i="6"/>
  <c r="BJ12" i="5"/>
  <c r="BJ13" i="6" s="1"/>
  <c r="BF5" i="6"/>
  <c r="BF12" i="5"/>
  <c r="BF13" i="6" s="1"/>
  <c r="BB7" i="4"/>
  <c r="BN5" i="4"/>
  <c r="AX5" i="6"/>
  <c r="AX12" i="5"/>
  <c r="AX13" i="6" s="1"/>
  <c r="AT5" i="6"/>
  <c r="AT12" i="5"/>
  <c r="AT13" i="6" s="1"/>
  <c r="AP5" i="6"/>
  <c r="AP12" i="5"/>
  <c r="AP13" i="6" s="1"/>
  <c r="AJ5" i="6"/>
  <c r="AJ12" i="5"/>
  <c r="AJ13" i="6" s="1"/>
  <c r="AF5" i="6"/>
  <c r="AF12" i="5"/>
  <c r="AF13" i="6" s="1"/>
  <c r="AB7" i="4"/>
  <c r="AN5" i="4"/>
  <c r="X5" i="6"/>
  <c r="X12" i="5"/>
  <c r="X13" i="6" s="1"/>
  <c r="T5" i="6"/>
  <c r="T12" i="5"/>
  <c r="T13" i="6" s="1"/>
  <c r="P5" i="6"/>
  <c r="P12" i="5"/>
  <c r="P13" i="6" s="1"/>
  <c r="J5" i="6"/>
  <c r="J12" i="5"/>
  <c r="J13" i="6" s="1"/>
  <c r="F5" i="6"/>
  <c r="F12" i="5"/>
  <c r="F13" i="6" s="1"/>
  <c r="B7" i="4"/>
  <c r="N5" i="4"/>
  <c r="BK6" i="6"/>
  <c r="BG6" i="6"/>
  <c r="BC6" i="6"/>
  <c r="AY6" i="6"/>
  <c r="AU6" i="6"/>
  <c r="AQ6" i="6"/>
  <c r="AO7" i="6"/>
  <c r="BA7" i="6" s="1"/>
  <c r="BA6" i="5"/>
  <c r="F11" i="7" s="1"/>
  <c r="F8" i="8" s="1"/>
  <c r="AM6" i="6"/>
  <c r="AI6" i="6"/>
  <c r="AE6" i="6"/>
  <c r="W6" i="6"/>
  <c r="O9" i="6"/>
  <c r="AA9" i="6" s="1"/>
  <c r="AA8" i="5"/>
  <c r="D13" i="7" s="1"/>
  <c r="D10" i="8" s="1"/>
  <c r="AJ6" i="6"/>
  <c r="AB6" i="6"/>
  <c r="AN5" i="5"/>
  <c r="E10" i="7" s="1"/>
  <c r="U12" i="5"/>
  <c r="U13" i="6" s="1"/>
  <c r="U5" i="6"/>
  <c r="Q12" i="5"/>
  <c r="Q13" i="6" s="1"/>
  <c r="Q5" i="6"/>
  <c r="M12" i="5"/>
  <c r="M13" i="6" s="1"/>
  <c r="M5" i="6"/>
  <c r="I12" i="5"/>
  <c r="I13" i="6" s="1"/>
  <c r="I5" i="6"/>
  <c r="E12" i="5"/>
  <c r="E13" i="6" s="1"/>
  <c r="E5" i="6"/>
  <c r="BJ6" i="6"/>
  <c r="BF6" i="6"/>
  <c r="BB6" i="6"/>
  <c r="BN5" i="5"/>
  <c r="G10" i="7" s="1"/>
  <c r="BB9" i="6"/>
  <c r="BN9" i="6" s="1"/>
  <c r="BN8" i="5"/>
  <c r="G13" i="7" s="1"/>
  <c r="G10" i="8" s="1"/>
  <c r="AX6" i="6"/>
  <c r="AT6" i="6"/>
  <c r="AB7" i="6"/>
  <c r="AN7" i="6" s="1"/>
  <c r="AN6" i="5"/>
  <c r="E11" i="7" s="1"/>
  <c r="E8" i="8" s="1"/>
  <c r="B9" i="6"/>
  <c r="N9" i="6" s="1"/>
  <c r="N8" i="5"/>
  <c r="C13" i="7" s="1"/>
  <c r="C10" i="8" s="1"/>
  <c r="AO12" i="5"/>
  <c r="AO5" i="6"/>
  <c r="BA7" i="4"/>
  <c r="F8" i="7" s="1"/>
  <c r="BK14" i="6"/>
  <c r="BK16" i="6" s="1"/>
  <c r="BG14" i="6"/>
  <c r="BG16" i="6" s="1"/>
  <c r="BC14" i="6"/>
  <c r="BC16" i="6" s="1"/>
  <c r="AM14" i="6"/>
  <c r="AM16" i="6" s="1"/>
  <c r="AI14" i="6"/>
  <c r="AI16" i="6" s="1"/>
  <c r="AE14" i="6"/>
  <c r="AE16" i="6" s="1"/>
  <c r="C8" i="14"/>
  <c r="C12" i="14"/>
  <c r="C13" i="14" s="1"/>
  <c r="M14" i="5"/>
  <c r="M17" i="6" s="1"/>
  <c r="K14" i="5"/>
  <c r="K17" i="6" s="1"/>
  <c r="I14" i="5"/>
  <c r="I17" i="6" s="1"/>
  <c r="G14" i="5"/>
  <c r="G17" i="6" s="1"/>
  <c r="E14" i="5"/>
  <c r="E17" i="6" s="1"/>
  <c r="C14" i="5"/>
  <c r="C17" i="6" s="1"/>
  <c r="L14" i="5"/>
  <c r="L17" i="6" s="1"/>
  <c r="J14" i="5"/>
  <c r="J17" i="6" s="1"/>
  <c r="H14" i="5"/>
  <c r="H17" i="6" s="1"/>
  <c r="F14" i="5"/>
  <c r="F17" i="6" s="1"/>
  <c r="D14" i="5"/>
  <c r="D17" i="6" s="1"/>
  <c r="B14" i="5"/>
  <c r="G7" i="14"/>
  <c r="G13" i="8"/>
  <c r="C7" i="14"/>
  <c r="C16" i="9"/>
  <c r="C13" i="8"/>
  <c r="G9" i="8"/>
  <c r="C9" i="8"/>
  <c r="AL6" i="6"/>
  <c r="AD6" i="6"/>
  <c r="V6" i="6"/>
  <c r="R6" i="6"/>
  <c r="AA6" i="6" s="1"/>
  <c r="L6" i="6"/>
  <c r="H6" i="6"/>
  <c r="D6" i="6"/>
  <c r="BL5" i="6"/>
  <c r="BL12" i="5"/>
  <c r="BL13" i="6" s="1"/>
  <c r="BH5" i="6"/>
  <c r="BH12" i="5"/>
  <c r="BH13" i="6" s="1"/>
  <c r="BD5" i="6"/>
  <c r="BD12" i="5"/>
  <c r="BD13" i="6" s="1"/>
  <c r="AZ5" i="6"/>
  <c r="AZ12" i="5"/>
  <c r="AZ13" i="6" s="1"/>
  <c r="AV5" i="6"/>
  <c r="AV12" i="5"/>
  <c r="AV13" i="6" s="1"/>
  <c r="AR5" i="6"/>
  <c r="AR12" i="5"/>
  <c r="AR13" i="6" s="1"/>
  <c r="AL5" i="6"/>
  <c r="AL14" i="6" s="1"/>
  <c r="AL16" i="6" s="1"/>
  <c r="AL12" i="5"/>
  <c r="AL13" i="6" s="1"/>
  <c r="AH5" i="6"/>
  <c r="AH14" i="6" s="1"/>
  <c r="AH16" i="6" s="1"/>
  <c r="AH12" i="5"/>
  <c r="AH13" i="6" s="1"/>
  <c r="AD5" i="6"/>
  <c r="AD14" i="6" s="1"/>
  <c r="AD16" i="6" s="1"/>
  <c r="AD12" i="5"/>
  <c r="AD13" i="6" s="1"/>
  <c r="Z5" i="6"/>
  <c r="Z14" i="6" s="1"/>
  <c r="Z16" i="6" s="1"/>
  <c r="Z12" i="5"/>
  <c r="Z13" i="6" s="1"/>
  <c r="V5" i="6"/>
  <c r="V14" i="6" s="1"/>
  <c r="V16" i="6" s="1"/>
  <c r="V12" i="5"/>
  <c r="V13" i="6" s="1"/>
  <c r="R5" i="6"/>
  <c r="R14" i="6" s="1"/>
  <c r="R16" i="6" s="1"/>
  <c r="R12" i="5"/>
  <c r="R13" i="6" s="1"/>
  <c r="L5" i="6"/>
  <c r="L14" i="6" s="1"/>
  <c r="L16" i="6" s="1"/>
  <c r="L12" i="5"/>
  <c r="L13" i="6" s="1"/>
  <c r="H5" i="6"/>
  <c r="H14" i="6" s="1"/>
  <c r="H16" i="6" s="1"/>
  <c r="H12" i="5"/>
  <c r="H13" i="6" s="1"/>
  <c r="D5" i="6"/>
  <c r="D14" i="6" s="1"/>
  <c r="D16" i="6" s="1"/>
  <c r="D12" i="5"/>
  <c r="D13" i="6" s="1"/>
  <c r="BM6" i="6"/>
  <c r="BM14" i="6" s="1"/>
  <c r="BM16" i="6" s="1"/>
  <c r="BI6" i="6"/>
  <c r="BI14" i="6" s="1"/>
  <c r="BI16" i="6" s="1"/>
  <c r="BE6" i="6"/>
  <c r="BE14" i="6" s="1"/>
  <c r="BE16" i="6" s="1"/>
  <c r="AW6" i="6"/>
  <c r="AS6" i="6"/>
  <c r="AO6" i="6"/>
  <c r="BA5" i="5"/>
  <c r="F10" i="7" s="1"/>
  <c r="AO9" i="6"/>
  <c r="BA9" i="6" s="1"/>
  <c r="BA8" i="5"/>
  <c r="F13" i="7" s="1"/>
  <c r="F10" i="8" s="1"/>
  <c r="AK6" i="6"/>
  <c r="AK14" i="6" s="1"/>
  <c r="AK16" i="6" s="1"/>
  <c r="AG6" i="6"/>
  <c r="AG14" i="6" s="1"/>
  <c r="AG16" i="6" s="1"/>
  <c r="AC6" i="6"/>
  <c r="AC14" i="6" s="1"/>
  <c r="AC16" i="6" s="1"/>
  <c r="Y6" i="6"/>
  <c r="Y14" i="6" s="1"/>
  <c r="Y16" i="6" s="1"/>
  <c r="O7" i="6"/>
  <c r="AA7" i="6" s="1"/>
  <c r="AA6" i="5"/>
  <c r="D11" i="7" s="1"/>
  <c r="D8" i="8" s="1"/>
  <c r="AR6" i="6"/>
  <c r="AF6" i="6"/>
  <c r="X6" i="6"/>
  <c r="S12" i="5"/>
  <c r="S13" i="6" s="1"/>
  <c r="S5" i="6"/>
  <c r="S14" i="6" s="1"/>
  <c r="S16" i="6" s="1"/>
  <c r="O7" i="4"/>
  <c r="AA5" i="4"/>
  <c r="K12" i="5"/>
  <c r="K13" i="6" s="1"/>
  <c r="K5" i="6"/>
  <c r="K14" i="6" s="1"/>
  <c r="K16" i="6" s="1"/>
  <c r="G12" i="5"/>
  <c r="G13" i="6" s="1"/>
  <c r="G5" i="6"/>
  <c r="G14" i="6" s="1"/>
  <c r="G16" i="6" s="1"/>
  <c r="C12" i="5"/>
  <c r="C13" i="6" s="1"/>
  <c r="C5" i="6"/>
  <c r="C14" i="6" s="1"/>
  <c r="C16" i="6" s="1"/>
  <c r="BL6" i="6"/>
  <c r="BH6" i="6"/>
  <c r="BD6" i="6"/>
  <c r="BB7" i="6"/>
  <c r="BN7" i="6" s="1"/>
  <c r="BN6" i="5"/>
  <c r="G11" i="7" s="1"/>
  <c r="G8" i="8" s="1"/>
  <c r="AZ6" i="6"/>
  <c r="AV6" i="6"/>
  <c r="AB9" i="6"/>
  <c r="AN9" i="6" s="1"/>
  <c r="AN8" i="5"/>
  <c r="E13" i="7" s="1"/>
  <c r="E10" i="8" s="1"/>
  <c r="B7" i="6"/>
  <c r="N7" i="6" s="1"/>
  <c r="N6" i="5"/>
  <c r="C11" i="7" s="1"/>
  <c r="C8" i="8" s="1"/>
  <c r="AY14" i="6"/>
  <c r="AY16" i="6" s="1"/>
  <c r="AW14" i="6"/>
  <c r="AW16" i="6" s="1"/>
  <c r="AU14" i="6"/>
  <c r="AU16" i="6" s="1"/>
  <c r="AS14" i="6"/>
  <c r="AS16" i="6" s="1"/>
  <c r="AQ14" i="6"/>
  <c r="AQ16" i="6" s="1"/>
  <c r="BA5" i="4"/>
  <c r="W14" i="6"/>
  <c r="W16" i="6" s="1"/>
  <c r="AA5" i="5"/>
  <c r="D10" i="7" s="1"/>
  <c r="D7" i="10" l="1"/>
  <c r="D7" i="8"/>
  <c r="D6" i="10"/>
  <c r="D11" i="10" s="1"/>
  <c r="D14" i="8"/>
  <c r="O12" i="5"/>
  <c r="O5" i="6"/>
  <c r="AA7" i="4"/>
  <c r="D8" i="7" s="1"/>
  <c r="BA6" i="6"/>
  <c r="B17" i="6"/>
  <c r="N17" i="6" s="1"/>
  <c r="N14" i="5"/>
  <c r="C19" i="7" s="1"/>
  <c r="F5" i="8"/>
  <c r="F8" i="10"/>
  <c r="F12" i="10" s="1"/>
  <c r="F19" i="9" s="1"/>
  <c r="AO13" i="6"/>
  <c r="BA13" i="6" s="1"/>
  <c r="BA12" i="5"/>
  <c r="F17" i="7" s="1"/>
  <c r="F17" i="8" s="1"/>
  <c r="G6" i="10"/>
  <c r="G11" i="10" s="1"/>
  <c r="G14" i="8"/>
  <c r="G7" i="10"/>
  <c r="G7" i="8"/>
  <c r="E14" i="6"/>
  <c r="E16" i="6" s="1"/>
  <c r="I14" i="6"/>
  <c r="I16" i="6" s="1"/>
  <c r="M14" i="6"/>
  <c r="M16" i="6" s="1"/>
  <c r="Q14" i="6"/>
  <c r="Q16" i="6" s="1"/>
  <c r="U14" i="6"/>
  <c r="U16" i="6" s="1"/>
  <c r="E6" i="10"/>
  <c r="E11" i="10" s="1"/>
  <c r="E14" i="8"/>
  <c r="E7" i="10"/>
  <c r="E7" i="8"/>
  <c r="AN6" i="6"/>
  <c r="B5" i="6"/>
  <c r="B12" i="5"/>
  <c r="N7" i="4"/>
  <c r="C8" i="7" s="1"/>
  <c r="F14" i="6"/>
  <c r="F16" i="6" s="1"/>
  <c r="J14" i="6"/>
  <c r="J16" i="6" s="1"/>
  <c r="P14" i="6"/>
  <c r="P16" i="6" s="1"/>
  <c r="T14" i="6"/>
  <c r="T16" i="6" s="1"/>
  <c r="X14" i="6"/>
  <c r="X16" i="6" s="1"/>
  <c r="AB5" i="6"/>
  <c r="AB12" i="5"/>
  <c r="AN7" i="4"/>
  <c r="E8" i="7" s="1"/>
  <c r="AF14" i="6"/>
  <c r="AF16" i="6" s="1"/>
  <c r="AJ14" i="6"/>
  <c r="AJ16" i="6" s="1"/>
  <c r="AP14" i="6"/>
  <c r="AP16" i="6" s="1"/>
  <c r="AT14" i="6"/>
  <c r="AT16" i="6" s="1"/>
  <c r="AX14" i="6"/>
  <c r="AX16" i="6" s="1"/>
  <c r="BB5" i="6"/>
  <c r="BB12" i="5"/>
  <c r="BN7" i="4"/>
  <c r="G8" i="7" s="1"/>
  <c r="BF14" i="6"/>
  <c r="BF16" i="6" s="1"/>
  <c r="BJ14" i="6"/>
  <c r="BJ16" i="6" s="1"/>
  <c r="D6" i="13"/>
  <c r="D7" i="13"/>
  <c r="F7" i="10"/>
  <c r="F7" i="8"/>
  <c r="F6" i="10"/>
  <c r="F11" i="10" s="1"/>
  <c r="F14" i="8"/>
  <c r="F15" i="8" s="1"/>
  <c r="F18" i="8" s="1"/>
  <c r="AR14" i="6"/>
  <c r="AR16" i="6" s="1"/>
  <c r="AV14" i="6"/>
  <c r="AV16" i="6" s="1"/>
  <c r="AZ14" i="6"/>
  <c r="AZ16" i="6" s="1"/>
  <c r="BD14" i="6"/>
  <c r="BD16" i="6" s="1"/>
  <c r="BH14" i="6"/>
  <c r="BH16" i="6" s="1"/>
  <c r="BL14" i="6"/>
  <c r="BL16" i="6" s="1"/>
  <c r="D16" i="9"/>
  <c r="C17" i="9"/>
  <c r="AO14" i="6"/>
  <c r="BA5" i="6"/>
  <c r="BN6" i="6"/>
  <c r="C6" i="10"/>
  <c r="C11" i="10" s="1"/>
  <c r="C14" i="8"/>
  <c r="C7" i="10"/>
  <c r="C7" i="8"/>
  <c r="N6" i="6"/>
  <c r="AO16" i="6" l="1"/>
  <c r="BA14" i="6"/>
  <c r="F22" i="7" s="1"/>
  <c r="F10" i="15" s="1"/>
  <c r="C16" i="10"/>
  <c r="C10" i="10"/>
  <c r="E16" i="9"/>
  <c r="D17" i="9"/>
  <c r="D11" i="14"/>
  <c r="D14" i="12"/>
  <c r="D8" i="13"/>
  <c r="G8" i="10"/>
  <c r="G12" i="10" s="1"/>
  <c r="G19" i="9" s="1"/>
  <c r="G15" i="8"/>
  <c r="G5" i="8"/>
  <c r="BN5" i="6"/>
  <c r="E8" i="10"/>
  <c r="E12" i="10" s="1"/>
  <c r="E19" i="9" s="1"/>
  <c r="E15" i="8"/>
  <c r="E5" i="8"/>
  <c r="AN5" i="6"/>
  <c r="C8" i="10"/>
  <c r="C12" i="10" s="1"/>
  <c r="C19" i="9" s="1"/>
  <c r="C15" i="8"/>
  <c r="C5" i="8"/>
  <c r="N5" i="6"/>
  <c r="G16" i="10"/>
  <c r="G10" i="10"/>
  <c r="C19" i="8"/>
  <c r="D15" i="8"/>
  <c r="D5" i="8"/>
  <c r="D8" i="10"/>
  <c r="D12" i="10" s="1"/>
  <c r="D19" i="9" s="1"/>
  <c r="O13" i="6"/>
  <c r="AA13" i="6" s="1"/>
  <c r="AA12" i="5"/>
  <c r="D17" i="7" s="1"/>
  <c r="D17" i="8" s="1"/>
  <c r="F16" i="10"/>
  <c r="F10" i="10"/>
  <c r="D12" i="14"/>
  <c r="D8" i="14"/>
  <c r="Y14" i="5"/>
  <c r="W14" i="5"/>
  <c r="U14" i="5"/>
  <c r="S14" i="5"/>
  <c r="Q14" i="5"/>
  <c r="O14" i="5"/>
  <c r="Z14" i="5"/>
  <c r="X14" i="5"/>
  <c r="V14" i="5"/>
  <c r="T14" i="5"/>
  <c r="R14" i="5"/>
  <c r="P14" i="5"/>
  <c r="BB13" i="6"/>
  <c r="BN13" i="6" s="1"/>
  <c r="BN12" i="5"/>
  <c r="G17" i="7" s="1"/>
  <c r="G17" i="8" s="1"/>
  <c r="AB13" i="6"/>
  <c r="AN13" i="6" s="1"/>
  <c r="AN12" i="5"/>
  <c r="E17" i="7" s="1"/>
  <c r="E17" i="8" s="1"/>
  <c r="B13" i="6"/>
  <c r="N13" i="6" s="1"/>
  <c r="N12" i="5"/>
  <c r="C17" i="7" s="1"/>
  <c r="C17" i="8" s="1"/>
  <c r="E16" i="10"/>
  <c r="E10" i="10"/>
  <c r="O14" i="6"/>
  <c r="AA5" i="6"/>
  <c r="D16" i="10"/>
  <c r="D10" i="10"/>
  <c r="O16" i="6" l="1"/>
  <c r="AA14" i="6"/>
  <c r="D22" i="7" s="1"/>
  <c r="D10" i="15" s="1"/>
  <c r="D14" i="10"/>
  <c r="D18" i="9"/>
  <c r="E14" i="10"/>
  <c r="E18" i="9"/>
  <c r="P17" i="6"/>
  <c r="T17" i="6"/>
  <c r="X17" i="6"/>
  <c r="O17" i="6"/>
  <c r="AA14" i="5"/>
  <c r="D19" i="7" s="1"/>
  <c r="S17" i="6"/>
  <c r="W17" i="6"/>
  <c r="F14" i="10"/>
  <c r="F18" i="9"/>
  <c r="G14" i="10"/>
  <c r="G18" i="9"/>
  <c r="B14" i="6"/>
  <c r="C18" i="8"/>
  <c r="BB14" i="6"/>
  <c r="G18" i="8"/>
  <c r="F16" i="9"/>
  <c r="E17" i="9"/>
  <c r="C18" i="10"/>
  <c r="C6" i="11" s="1"/>
  <c r="C10" i="12"/>
  <c r="C11" i="9"/>
  <c r="BA16" i="6"/>
  <c r="F23" i="7" s="1"/>
  <c r="D10" i="12"/>
  <c r="D18" i="10"/>
  <c r="D6" i="11" s="1"/>
  <c r="D11" i="9"/>
  <c r="E18" i="10"/>
  <c r="E6" i="11" s="1"/>
  <c r="E10" i="12"/>
  <c r="E11" i="9"/>
  <c r="R17" i="6"/>
  <c r="V17" i="6"/>
  <c r="Z17" i="6"/>
  <c r="Q17" i="6"/>
  <c r="U17" i="6"/>
  <c r="Y17" i="6"/>
  <c r="F10" i="12"/>
  <c r="F18" i="10"/>
  <c r="F6" i="11" s="1"/>
  <c r="F11" i="9"/>
  <c r="D18" i="8"/>
  <c r="G18" i="10"/>
  <c r="G6" i="11" s="1"/>
  <c r="G10" i="12"/>
  <c r="G11" i="9"/>
  <c r="AB14" i="6"/>
  <c r="E18" i="8"/>
  <c r="E5" i="13"/>
  <c r="D9" i="9"/>
  <c r="D13" i="14"/>
  <c r="C14" i="10"/>
  <c r="C18" i="9"/>
  <c r="C5" i="11" l="1"/>
  <c r="C10" i="11"/>
  <c r="C11" i="11" s="1"/>
  <c r="C8" i="11"/>
  <c r="C19" i="10"/>
  <c r="E7" i="13"/>
  <c r="E8" i="13"/>
  <c r="E6" i="13"/>
  <c r="BB16" i="6"/>
  <c r="BN14" i="6"/>
  <c r="G22" i="7" s="1"/>
  <c r="G10" i="15" s="1"/>
  <c r="B16" i="6"/>
  <c r="N14" i="6"/>
  <c r="C22" i="7" s="1"/>
  <c r="C10" i="15" s="1"/>
  <c r="G5" i="11"/>
  <c r="G10" i="11"/>
  <c r="G11" i="11" s="1"/>
  <c r="G8" i="11"/>
  <c r="G19" i="10"/>
  <c r="D19" i="8"/>
  <c r="AB16" i="6"/>
  <c r="AN14" i="6"/>
  <c r="E22" i="7" s="1"/>
  <c r="E10" i="15" s="1"/>
  <c r="G16" i="9"/>
  <c r="G17" i="9" s="1"/>
  <c r="F17" i="9"/>
  <c r="F10" i="11"/>
  <c r="F11" i="11" s="1"/>
  <c r="F8" i="11"/>
  <c r="F19" i="10"/>
  <c r="F5" i="11"/>
  <c r="AA17" i="6"/>
  <c r="E5" i="11"/>
  <c r="E10" i="11"/>
  <c r="E11" i="11" s="1"/>
  <c r="E8" i="11"/>
  <c r="E19" i="10"/>
  <c r="D10" i="11"/>
  <c r="D11" i="11" s="1"/>
  <c r="D8" i="11"/>
  <c r="D19" i="10"/>
  <c r="D5" i="11"/>
  <c r="AA16" i="6"/>
  <c r="D23" i="7" s="1"/>
  <c r="D9" i="12" l="1"/>
  <c r="D10" i="9"/>
  <c r="Z15" i="5"/>
  <c r="X15" i="5"/>
  <c r="V15" i="5"/>
  <c r="T15" i="5"/>
  <c r="R15" i="5"/>
  <c r="P15" i="5"/>
  <c r="Y15" i="5"/>
  <c r="W15" i="5"/>
  <c r="U15" i="5"/>
  <c r="S15" i="5"/>
  <c r="Q15" i="5"/>
  <c r="O15" i="5"/>
  <c r="F9" i="11"/>
  <c r="F7" i="11"/>
  <c r="G9" i="11"/>
  <c r="G7" i="11"/>
  <c r="G9" i="12"/>
  <c r="G10" i="9"/>
  <c r="BL15" i="5"/>
  <c r="BL18" i="6" s="1"/>
  <c r="BJ15" i="5"/>
  <c r="BJ18" i="6" s="1"/>
  <c r="BH15" i="5"/>
  <c r="BH18" i="6" s="1"/>
  <c r="BF15" i="5"/>
  <c r="BF18" i="6" s="1"/>
  <c r="BD15" i="5"/>
  <c r="BD18" i="6" s="1"/>
  <c r="BB15" i="5"/>
  <c r="BM15" i="5"/>
  <c r="BM18" i="6" s="1"/>
  <c r="BK15" i="5"/>
  <c r="BK18" i="6" s="1"/>
  <c r="BI15" i="5"/>
  <c r="BI18" i="6" s="1"/>
  <c r="BG15" i="5"/>
  <c r="BG18" i="6" s="1"/>
  <c r="BE15" i="5"/>
  <c r="BE18" i="6" s="1"/>
  <c r="BC15" i="5"/>
  <c r="BC18" i="6" s="1"/>
  <c r="F5" i="13"/>
  <c r="E9" i="9"/>
  <c r="C9" i="11"/>
  <c r="C7" i="11"/>
  <c r="C9" i="12"/>
  <c r="C10" i="9"/>
  <c r="L15" i="5"/>
  <c r="J15" i="5"/>
  <c r="H15" i="5"/>
  <c r="F15" i="5"/>
  <c r="D15" i="5"/>
  <c r="B15" i="5"/>
  <c r="M15" i="5"/>
  <c r="K15" i="5"/>
  <c r="I15" i="5"/>
  <c r="G15" i="5"/>
  <c r="E15" i="5"/>
  <c r="C15" i="5"/>
  <c r="D9" i="11"/>
  <c r="D7" i="11"/>
  <c r="F9" i="12"/>
  <c r="F10" i="9"/>
  <c r="AZ15" i="5"/>
  <c r="AZ18" i="6" s="1"/>
  <c r="AX15" i="5"/>
  <c r="AX18" i="6" s="1"/>
  <c r="AV15" i="5"/>
  <c r="AV18" i="6" s="1"/>
  <c r="AT15" i="5"/>
  <c r="AT18" i="6" s="1"/>
  <c r="AR15" i="5"/>
  <c r="AR18" i="6" s="1"/>
  <c r="AP15" i="5"/>
  <c r="AP18" i="6" s="1"/>
  <c r="AY15" i="5"/>
  <c r="AY18" i="6" s="1"/>
  <c r="AW15" i="5"/>
  <c r="AW18" i="6" s="1"/>
  <c r="AU15" i="5"/>
  <c r="AU18" i="6" s="1"/>
  <c r="AS15" i="5"/>
  <c r="AS18" i="6" s="1"/>
  <c r="AQ15" i="5"/>
  <c r="AQ18" i="6" s="1"/>
  <c r="AO15" i="5"/>
  <c r="E9" i="11"/>
  <c r="E7" i="11"/>
  <c r="E9" i="12"/>
  <c r="E10" i="9"/>
  <c r="AL15" i="5"/>
  <c r="AL18" i="6" s="1"/>
  <c r="AJ15" i="5"/>
  <c r="AJ18" i="6" s="1"/>
  <c r="AH15" i="5"/>
  <c r="AH18" i="6" s="1"/>
  <c r="AF15" i="5"/>
  <c r="AF18" i="6" s="1"/>
  <c r="AD15" i="5"/>
  <c r="AD18" i="6" s="1"/>
  <c r="AB15" i="5"/>
  <c r="AM15" i="5"/>
  <c r="AM18" i="6" s="1"/>
  <c r="AK15" i="5"/>
  <c r="AK18" i="6" s="1"/>
  <c r="AI15" i="5"/>
  <c r="AI18" i="6" s="1"/>
  <c r="AG15" i="5"/>
  <c r="AG18" i="6" s="1"/>
  <c r="AE15" i="5"/>
  <c r="AE18" i="6" s="1"/>
  <c r="AC15" i="5"/>
  <c r="AC18" i="6" s="1"/>
  <c r="AN16" i="6"/>
  <c r="E23" i="7" s="1"/>
  <c r="N16" i="6"/>
  <c r="C23" i="7" s="1"/>
  <c r="BN16" i="6"/>
  <c r="G23" i="7" s="1"/>
  <c r="E8" i="14"/>
  <c r="E12" i="14"/>
  <c r="AM14" i="5"/>
  <c r="AK14" i="5"/>
  <c r="AI14" i="5"/>
  <c r="AG14" i="5"/>
  <c r="AE14" i="5"/>
  <c r="AC14" i="5"/>
  <c r="AL14" i="5"/>
  <c r="AJ14" i="5"/>
  <c r="AH14" i="5"/>
  <c r="AF14" i="5"/>
  <c r="AD14" i="5"/>
  <c r="AB14" i="5"/>
  <c r="E11" i="14"/>
  <c r="E13" i="14" s="1"/>
  <c r="E14" i="12"/>
  <c r="AB17" i="6" l="1"/>
  <c r="AN14" i="5"/>
  <c r="E19" i="7" s="1"/>
  <c r="AB16" i="5"/>
  <c r="AF17" i="6"/>
  <c r="AF19" i="6" s="1"/>
  <c r="AF16" i="5"/>
  <c r="AJ17" i="6"/>
  <c r="AJ19" i="6" s="1"/>
  <c r="AJ16" i="5"/>
  <c r="AC17" i="6"/>
  <c r="AC19" i="6" s="1"/>
  <c r="AC16" i="5"/>
  <c r="AG17" i="6"/>
  <c r="AG19" i="6" s="1"/>
  <c r="AG16" i="5"/>
  <c r="AK17" i="6"/>
  <c r="AK19" i="6" s="1"/>
  <c r="AK16" i="5"/>
  <c r="E18" i="6"/>
  <c r="E19" i="6" s="1"/>
  <c r="E16" i="5"/>
  <c r="I18" i="6"/>
  <c r="I19" i="6" s="1"/>
  <c r="I16" i="5"/>
  <c r="M18" i="6"/>
  <c r="M19" i="6" s="1"/>
  <c r="M16" i="5"/>
  <c r="D18" i="6"/>
  <c r="D19" i="6" s="1"/>
  <c r="D16" i="5"/>
  <c r="H18" i="6"/>
  <c r="H19" i="6" s="1"/>
  <c r="H16" i="5"/>
  <c r="L18" i="6"/>
  <c r="L19" i="6" s="1"/>
  <c r="L16" i="5"/>
  <c r="F6" i="13"/>
  <c r="F7" i="13"/>
  <c r="O18" i="6"/>
  <c r="AA15" i="5"/>
  <c r="D20" i="7" s="1"/>
  <c r="O16" i="5"/>
  <c r="S18" i="6"/>
  <c r="S19" i="6" s="1"/>
  <c r="S16" i="5"/>
  <c r="W18" i="6"/>
  <c r="W19" i="6" s="1"/>
  <c r="W16" i="5"/>
  <c r="P18" i="6"/>
  <c r="P19" i="6" s="1"/>
  <c r="P16" i="5"/>
  <c r="T18" i="6"/>
  <c r="T19" i="6" s="1"/>
  <c r="T16" i="5"/>
  <c r="X18" i="6"/>
  <c r="X19" i="6" s="1"/>
  <c r="X16" i="5"/>
  <c r="AD17" i="6"/>
  <c r="AD19" i="6" s="1"/>
  <c r="AD16" i="5"/>
  <c r="AH17" i="6"/>
  <c r="AH19" i="6" s="1"/>
  <c r="AH16" i="5"/>
  <c r="AL17" i="6"/>
  <c r="AL19" i="6" s="1"/>
  <c r="AL16" i="5"/>
  <c r="AE17" i="6"/>
  <c r="AE19" i="6" s="1"/>
  <c r="AE16" i="5"/>
  <c r="AI17" i="6"/>
  <c r="AI19" i="6" s="1"/>
  <c r="AI16" i="5"/>
  <c r="AM17" i="6"/>
  <c r="AM19" i="6" s="1"/>
  <c r="AM16" i="5"/>
  <c r="AB18" i="6"/>
  <c r="AN18" i="6" s="1"/>
  <c r="AN15" i="5"/>
  <c r="E20" i="7" s="1"/>
  <c r="E20" i="8" s="1"/>
  <c r="AO18" i="6"/>
  <c r="BA18" i="6" s="1"/>
  <c r="BA15" i="5"/>
  <c r="F20" i="7" s="1"/>
  <c r="F20" i="8" s="1"/>
  <c r="C18" i="6"/>
  <c r="C19" i="6" s="1"/>
  <c r="C16" i="5"/>
  <c r="G18" i="6"/>
  <c r="G19" i="6" s="1"/>
  <c r="G16" i="5"/>
  <c r="K18" i="6"/>
  <c r="K19" i="6" s="1"/>
  <c r="K16" i="5"/>
  <c r="B18" i="6"/>
  <c r="N15" i="5"/>
  <c r="C20" i="7" s="1"/>
  <c r="B16" i="5"/>
  <c r="F18" i="6"/>
  <c r="F19" i="6" s="1"/>
  <c r="F16" i="5"/>
  <c r="J18" i="6"/>
  <c r="J19" i="6" s="1"/>
  <c r="J16" i="5"/>
  <c r="BB18" i="6"/>
  <c r="BN18" i="6" s="1"/>
  <c r="BN15" i="5"/>
  <c r="G20" i="7" s="1"/>
  <c r="G20" i="8" s="1"/>
  <c r="Q18" i="6"/>
  <c r="Q19" i="6" s="1"/>
  <c r="Q16" i="5"/>
  <c r="U18" i="6"/>
  <c r="U19" i="6" s="1"/>
  <c r="U16" i="5"/>
  <c r="Y18" i="6"/>
  <c r="Y19" i="6" s="1"/>
  <c r="Y16" i="5"/>
  <c r="R18" i="6"/>
  <c r="R19" i="6" s="1"/>
  <c r="R16" i="5"/>
  <c r="V18" i="6"/>
  <c r="V19" i="6" s="1"/>
  <c r="V16" i="5"/>
  <c r="Z18" i="6"/>
  <c r="Z19" i="6" s="1"/>
  <c r="Z16" i="5"/>
  <c r="N16" i="5" l="1"/>
  <c r="K20" i="6"/>
  <c r="K21" i="6"/>
  <c r="K22" i="6" s="1"/>
  <c r="C20" i="6"/>
  <c r="C21" i="6"/>
  <c r="C22" i="6" s="1"/>
  <c r="AI20" i="6"/>
  <c r="AI21" i="6"/>
  <c r="AI22" i="6" s="1"/>
  <c r="AL20" i="6"/>
  <c r="AL21" i="6" s="1"/>
  <c r="AL22" i="6" s="1"/>
  <c r="Z20" i="6"/>
  <c r="Z21" i="6" s="1"/>
  <c r="Z22" i="6" s="1"/>
  <c r="V20" i="6"/>
  <c r="V21" i="6" s="1"/>
  <c r="V22" i="6" s="1"/>
  <c r="R20" i="6"/>
  <c r="R21" i="6" s="1"/>
  <c r="R22" i="6" s="1"/>
  <c r="Y20" i="6"/>
  <c r="Y21" i="6"/>
  <c r="Y22" i="6" s="1"/>
  <c r="U20" i="6"/>
  <c r="U21" i="6"/>
  <c r="U22" i="6" s="1"/>
  <c r="Q20" i="6"/>
  <c r="Q21" i="6"/>
  <c r="Q22" i="6" s="1"/>
  <c r="J20" i="6"/>
  <c r="J21" i="6" s="1"/>
  <c r="J22" i="6" s="1"/>
  <c r="F20" i="6"/>
  <c r="F21" i="6" s="1"/>
  <c r="F22" i="6" s="1"/>
  <c r="C20" i="8"/>
  <c r="C16" i="15"/>
  <c r="C21" i="8"/>
  <c r="AA16" i="5"/>
  <c r="AA18" i="6"/>
  <c r="O19" i="6"/>
  <c r="F12" i="14"/>
  <c r="F8" i="14"/>
  <c r="AY14" i="5"/>
  <c r="AW14" i="5"/>
  <c r="AU14" i="5"/>
  <c r="AS14" i="5"/>
  <c r="AQ14" i="5"/>
  <c r="AO14" i="5"/>
  <c r="AZ14" i="5"/>
  <c r="AX14" i="5"/>
  <c r="AV14" i="5"/>
  <c r="AT14" i="5"/>
  <c r="AR14" i="5"/>
  <c r="AP14" i="5"/>
  <c r="E14" i="15"/>
  <c r="AN16" i="5"/>
  <c r="AN17" i="6"/>
  <c r="AB19" i="6"/>
  <c r="N18" i="6"/>
  <c r="B19" i="6"/>
  <c r="G20" i="6"/>
  <c r="G21" i="6"/>
  <c r="G22" i="6" s="1"/>
  <c r="AM20" i="6"/>
  <c r="AM21" i="6"/>
  <c r="AM22" i="6" s="1"/>
  <c r="AE20" i="6"/>
  <c r="AE21" i="6"/>
  <c r="AE22" i="6" s="1"/>
  <c r="AH20" i="6"/>
  <c r="AH21" i="6" s="1"/>
  <c r="AH22" i="6" s="1"/>
  <c r="AD20" i="6"/>
  <c r="AD21" i="6" s="1"/>
  <c r="AD22" i="6" s="1"/>
  <c r="X20" i="6"/>
  <c r="X21" i="6" s="1"/>
  <c r="X22" i="6" s="1"/>
  <c r="T20" i="6"/>
  <c r="T21" i="6" s="1"/>
  <c r="T22" i="6" s="1"/>
  <c r="P20" i="6"/>
  <c r="P21" i="6" s="1"/>
  <c r="P22" i="6" s="1"/>
  <c r="W20" i="6"/>
  <c r="W21" i="6"/>
  <c r="W22" i="6" s="1"/>
  <c r="S20" i="6"/>
  <c r="S21" i="6"/>
  <c r="S22" i="6" s="1"/>
  <c r="D20" i="8"/>
  <c r="D21" i="8"/>
  <c r="D16" i="15"/>
  <c r="D14" i="15"/>
  <c r="F11" i="14"/>
  <c r="F13" i="14" s="1"/>
  <c r="F14" i="12"/>
  <c r="F8" i="13"/>
  <c r="L21" i="6"/>
  <c r="L22" i="6" s="1"/>
  <c r="L20" i="6"/>
  <c r="H21" i="6"/>
  <c r="H22" i="6" s="1"/>
  <c r="H20" i="6"/>
  <c r="D21" i="6"/>
  <c r="D22" i="6" s="1"/>
  <c r="D20" i="6"/>
  <c r="M20" i="6"/>
  <c r="M21" i="6" s="1"/>
  <c r="M22" i="6" s="1"/>
  <c r="I20" i="6"/>
  <c r="I21" i="6" s="1"/>
  <c r="I22" i="6" s="1"/>
  <c r="E20" i="6"/>
  <c r="E21" i="6" s="1"/>
  <c r="E22" i="6" s="1"/>
  <c r="C14" i="15"/>
  <c r="AK20" i="6"/>
  <c r="AK21" i="6"/>
  <c r="AK22" i="6" s="1"/>
  <c r="AG20" i="6"/>
  <c r="AG21" i="6"/>
  <c r="AG22" i="6" s="1"/>
  <c r="AC20" i="6"/>
  <c r="AC21" i="6"/>
  <c r="AC22" i="6" s="1"/>
  <c r="AJ20" i="6"/>
  <c r="AJ21" i="6" s="1"/>
  <c r="AJ22" i="6" s="1"/>
  <c r="AF20" i="6"/>
  <c r="AF21" i="6" s="1"/>
  <c r="AF22" i="6" s="1"/>
  <c r="E19" i="8"/>
  <c r="E16" i="15"/>
  <c r="E21" i="8"/>
  <c r="G5" i="13" l="1"/>
  <c r="F9" i="9"/>
  <c r="AR17" i="6"/>
  <c r="AR19" i="6" s="1"/>
  <c r="AR16" i="5"/>
  <c r="AV17" i="6"/>
  <c r="AV19" i="6" s="1"/>
  <c r="AV16" i="5"/>
  <c r="AZ17" i="6"/>
  <c r="AZ19" i="6" s="1"/>
  <c r="AZ16" i="5"/>
  <c r="AQ17" i="6"/>
  <c r="AQ19" i="6" s="1"/>
  <c r="AQ16" i="5"/>
  <c r="AU17" i="6"/>
  <c r="AU19" i="6" s="1"/>
  <c r="AU16" i="5"/>
  <c r="AY17" i="6"/>
  <c r="AY19" i="6" s="1"/>
  <c r="AY16" i="5"/>
  <c r="N19" i="6"/>
  <c r="C24" i="7" s="1"/>
  <c r="B20" i="6"/>
  <c r="N20" i="6" s="1"/>
  <c r="C25" i="7" s="1"/>
  <c r="C22" i="8" s="1"/>
  <c r="AN19" i="6"/>
  <c r="E24" i="7" s="1"/>
  <c r="AB20" i="6"/>
  <c r="AN20" i="6" s="1"/>
  <c r="E25" i="7" s="1"/>
  <c r="E22" i="8" s="1"/>
  <c r="AP17" i="6"/>
  <c r="AP19" i="6" s="1"/>
  <c r="AP16" i="5"/>
  <c r="AT17" i="6"/>
  <c r="AT19" i="6" s="1"/>
  <c r="AT16" i="5"/>
  <c r="AX17" i="6"/>
  <c r="AX19" i="6" s="1"/>
  <c r="AX16" i="5"/>
  <c r="AO17" i="6"/>
  <c r="BA14" i="5"/>
  <c r="F19" i="7" s="1"/>
  <c r="AO16" i="5"/>
  <c r="AS17" i="6"/>
  <c r="AS19" i="6" s="1"/>
  <c r="AS16" i="5"/>
  <c r="AW17" i="6"/>
  <c r="AW19" i="6" s="1"/>
  <c r="AW16" i="5"/>
  <c r="O20" i="6"/>
  <c r="AA20" i="6" s="1"/>
  <c r="D25" i="7" s="1"/>
  <c r="D22" i="8" s="1"/>
  <c r="O21" i="6"/>
  <c r="AA19" i="6"/>
  <c r="D24" i="7" s="1"/>
  <c r="O22" i="6" l="1"/>
  <c r="AA22" i="6" s="1"/>
  <c r="D27" i="7" s="1"/>
  <c r="D6" i="12" s="1"/>
  <c r="D11" i="12" s="1"/>
  <c r="AA21" i="6"/>
  <c r="D26" i="7" s="1"/>
  <c r="AW20" i="6"/>
  <c r="AW21" i="6" s="1"/>
  <c r="AW22" i="6" s="1"/>
  <c r="AS20" i="6"/>
  <c r="AS21" i="6" s="1"/>
  <c r="AS22" i="6" s="1"/>
  <c r="F19" i="8"/>
  <c r="F16" i="15"/>
  <c r="F21" i="8"/>
  <c r="F14" i="15"/>
  <c r="AB21" i="6"/>
  <c r="D23" i="8"/>
  <c r="E23" i="8"/>
  <c r="BA16" i="5"/>
  <c r="BA17" i="6"/>
  <c r="AO19" i="6"/>
  <c r="AX21" i="6"/>
  <c r="AX22" i="6" s="1"/>
  <c r="AX20" i="6"/>
  <c r="AT21" i="6"/>
  <c r="AT22" i="6" s="1"/>
  <c r="AT20" i="6"/>
  <c r="AP21" i="6"/>
  <c r="AP22" i="6" s="1"/>
  <c r="AP20" i="6"/>
  <c r="B21" i="6"/>
  <c r="C23" i="8"/>
  <c r="AY20" i="6"/>
  <c r="AY21" i="6" s="1"/>
  <c r="AY22" i="6" s="1"/>
  <c r="AU20" i="6"/>
  <c r="AU21" i="6" s="1"/>
  <c r="AU22" i="6" s="1"/>
  <c r="AQ20" i="6"/>
  <c r="AQ21" i="6" s="1"/>
  <c r="AQ22" i="6" s="1"/>
  <c r="AZ21" i="6"/>
  <c r="AZ22" i="6" s="1"/>
  <c r="AZ20" i="6"/>
  <c r="AV21" i="6"/>
  <c r="AV22" i="6" s="1"/>
  <c r="AV20" i="6"/>
  <c r="AR21" i="6"/>
  <c r="AR22" i="6" s="1"/>
  <c r="AR20" i="6"/>
  <c r="G7" i="13"/>
  <c r="G6" i="13"/>
  <c r="G11" i="14" l="1"/>
  <c r="G14" i="12"/>
  <c r="N21" i="6"/>
  <c r="C26" i="7" s="1"/>
  <c r="B22" i="6"/>
  <c r="N22" i="6" s="1"/>
  <c r="C27" i="7" s="1"/>
  <c r="C6" i="12" s="1"/>
  <c r="C11" i="12" s="1"/>
  <c r="G8" i="13"/>
  <c r="G9" i="9" s="1"/>
  <c r="AO20" i="6"/>
  <c r="BA20" i="6" s="1"/>
  <c r="F25" i="7" s="1"/>
  <c r="F22" i="8" s="1"/>
  <c r="BA19" i="6"/>
  <c r="F24" i="7" s="1"/>
  <c r="D6" i="14"/>
  <c r="D9" i="14" s="1"/>
  <c r="D14" i="14" s="1"/>
  <c r="D15" i="15" s="1"/>
  <c r="D11" i="15"/>
  <c r="G8" i="14"/>
  <c r="G12" i="14"/>
  <c r="BM14" i="5"/>
  <c r="BK14" i="5"/>
  <c r="BI14" i="5"/>
  <c r="BG14" i="5"/>
  <c r="BE14" i="5"/>
  <c r="BC14" i="5"/>
  <c r="BL14" i="5"/>
  <c r="BJ14" i="5"/>
  <c r="BH14" i="5"/>
  <c r="BF14" i="5"/>
  <c r="BD14" i="5"/>
  <c r="BB14" i="5"/>
  <c r="AB22" i="6"/>
  <c r="AN22" i="6" s="1"/>
  <c r="E27" i="7" s="1"/>
  <c r="E6" i="12" s="1"/>
  <c r="E11" i="12" s="1"/>
  <c r="AN21" i="6"/>
  <c r="E26" i="7" s="1"/>
  <c r="F23" i="8"/>
  <c r="E6" i="14" l="1"/>
  <c r="E9" i="14" s="1"/>
  <c r="E14" i="14" s="1"/>
  <c r="E15" i="15" s="1"/>
  <c r="E11" i="15"/>
  <c r="BB17" i="6"/>
  <c r="BN14" i="5"/>
  <c r="G19" i="7" s="1"/>
  <c r="BB16" i="5"/>
  <c r="BF17" i="6"/>
  <c r="BF19" i="6" s="1"/>
  <c r="BF16" i="5"/>
  <c r="BJ17" i="6"/>
  <c r="BJ19" i="6" s="1"/>
  <c r="BJ16" i="5"/>
  <c r="BC17" i="6"/>
  <c r="BC19" i="6" s="1"/>
  <c r="BC16" i="5"/>
  <c r="BG17" i="6"/>
  <c r="BG19" i="6" s="1"/>
  <c r="BG16" i="5"/>
  <c r="BK17" i="6"/>
  <c r="BK19" i="6" s="1"/>
  <c r="BK16" i="5"/>
  <c r="BD17" i="6"/>
  <c r="BD19" i="6" s="1"/>
  <c r="BD16" i="5"/>
  <c r="BH17" i="6"/>
  <c r="BH19" i="6" s="1"/>
  <c r="BH16" i="5"/>
  <c r="BL17" i="6"/>
  <c r="BL19" i="6" s="1"/>
  <c r="BL16" i="5"/>
  <c r="BE17" i="6"/>
  <c r="BE19" i="6" s="1"/>
  <c r="BE16" i="5"/>
  <c r="BI17" i="6"/>
  <c r="BI19" i="6" s="1"/>
  <c r="BI16" i="5"/>
  <c r="BM17" i="6"/>
  <c r="BM19" i="6" s="1"/>
  <c r="BM16" i="5"/>
  <c r="AO21" i="6"/>
  <c r="C6" i="14"/>
  <c r="C9" i="14" s="1"/>
  <c r="C14" i="14" s="1"/>
  <c r="C7" i="9"/>
  <c r="C11" i="15"/>
  <c r="G13" i="14"/>
  <c r="AO22" i="6" l="1"/>
  <c r="BA22" i="6" s="1"/>
  <c r="F27" i="7" s="1"/>
  <c r="F6" i="12" s="1"/>
  <c r="F11" i="12" s="1"/>
  <c r="BA21" i="6"/>
  <c r="F26" i="7" s="1"/>
  <c r="BE20" i="6"/>
  <c r="BE21" i="6" s="1"/>
  <c r="BE22" i="6" s="1"/>
  <c r="C15" i="15"/>
  <c r="BK20" i="6"/>
  <c r="BK21" i="6" s="1"/>
  <c r="BK22" i="6" s="1"/>
  <c r="BG20" i="6"/>
  <c r="BG21" i="6" s="1"/>
  <c r="BG22" i="6" s="1"/>
  <c r="BC20" i="6"/>
  <c r="BC21" i="6" s="1"/>
  <c r="BC22" i="6" s="1"/>
  <c r="BJ21" i="6"/>
  <c r="BJ22" i="6" s="1"/>
  <c r="BJ20" i="6"/>
  <c r="BF21" i="6"/>
  <c r="BF22" i="6" s="1"/>
  <c r="BF20" i="6"/>
  <c r="G19" i="8"/>
  <c r="G16" i="15"/>
  <c r="G21" i="8"/>
  <c r="G14" i="15"/>
  <c r="D7" i="9"/>
  <c r="C8" i="9"/>
  <c r="BM20" i="6"/>
  <c r="BM21" i="6" s="1"/>
  <c r="BM22" i="6" s="1"/>
  <c r="BI20" i="6"/>
  <c r="BI21" i="6" s="1"/>
  <c r="BI22" i="6" s="1"/>
  <c r="BL21" i="6"/>
  <c r="BL22" i="6" s="1"/>
  <c r="BL20" i="6"/>
  <c r="BH21" i="6"/>
  <c r="BH22" i="6" s="1"/>
  <c r="BH20" i="6"/>
  <c r="BD21" i="6"/>
  <c r="BD22" i="6" s="1"/>
  <c r="BD20" i="6"/>
  <c r="BN16" i="5"/>
  <c r="BN17" i="6"/>
  <c r="BB19" i="6"/>
  <c r="BN19" i="6" l="1"/>
  <c r="G24" i="7" s="1"/>
  <c r="BB20" i="6"/>
  <c r="BN20" i="6" s="1"/>
  <c r="G25" i="7" s="1"/>
  <c r="G22" i="8" s="1"/>
  <c r="E7" i="9"/>
  <c r="D8" i="9"/>
  <c r="C13" i="9"/>
  <c r="C7" i="15"/>
  <c r="C12" i="15"/>
  <c r="C8" i="15"/>
  <c r="F6" i="14"/>
  <c r="F9" i="14" s="1"/>
  <c r="F14" i="14" s="1"/>
  <c r="F11" i="15"/>
  <c r="D13" i="9" l="1"/>
  <c r="D12" i="15"/>
  <c r="D8" i="15"/>
  <c r="D7" i="15"/>
  <c r="G23" i="8"/>
  <c r="F15" i="15"/>
  <c r="C20" i="9"/>
  <c r="F7" i="9"/>
  <c r="E8" i="9"/>
  <c r="BB21" i="6"/>
  <c r="BN21" i="6" l="1"/>
  <c r="G26" i="7" s="1"/>
  <c r="BB22" i="6"/>
  <c r="BN22" i="6" s="1"/>
  <c r="G27" i="7" s="1"/>
  <c r="G6" i="12" s="1"/>
  <c r="G11" i="12" s="1"/>
  <c r="G7" i="9"/>
  <c r="G8" i="9" s="1"/>
  <c r="F8" i="9"/>
  <c r="E13" i="9"/>
  <c r="E12" i="15"/>
  <c r="E7" i="15"/>
  <c r="E8" i="15"/>
  <c r="C6" i="15"/>
  <c r="C15" i="12"/>
  <c r="C16" i="12" s="1"/>
  <c r="C17" i="12" s="1"/>
  <c r="C21" i="9"/>
  <c r="C22" i="9" s="1"/>
  <c r="D20" i="9"/>
  <c r="D21" i="9" l="1"/>
  <c r="D22" i="9" s="1"/>
  <c r="D15" i="12"/>
  <c r="D16" i="12" s="1"/>
  <c r="D17" i="12" s="1"/>
  <c r="D6" i="15"/>
  <c r="F13" i="9"/>
  <c r="F12" i="15"/>
  <c r="F8" i="15"/>
  <c r="F7" i="15"/>
  <c r="E20" i="9"/>
  <c r="G13" i="9"/>
  <c r="G12" i="15"/>
  <c r="G8" i="15"/>
  <c r="G7" i="15"/>
  <c r="G6" i="14"/>
  <c r="G9" i="14" s="1"/>
  <c r="G14" i="14" s="1"/>
  <c r="G11" i="15"/>
  <c r="E15" i="12" l="1"/>
  <c r="E16" i="12" s="1"/>
  <c r="E17" i="12" s="1"/>
  <c r="E21" i="9"/>
  <c r="E22" i="9" s="1"/>
  <c r="E6" i="15"/>
  <c r="F20" i="9"/>
  <c r="G15" i="15"/>
  <c r="H14" i="14"/>
  <c r="G20" i="9"/>
  <c r="F15" i="12" l="1"/>
  <c r="F16" i="12" s="1"/>
  <c r="F17" i="12" s="1"/>
  <c r="F6" i="15"/>
  <c r="F21" i="9"/>
  <c r="F22" i="9" s="1"/>
  <c r="G6" i="15"/>
  <c r="G15" i="12"/>
  <c r="G16" i="12" s="1"/>
  <c r="G17" i="12" s="1"/>
  <c r="G21" i="9"/>
  <c r="G22" i="9" s="1"/>
</calcChain>
</file>

<file path=xl/sharedStrings.xml><?xml version="1.0" encoding="utf-8"?>
<sst xmlns="http://schemas.openxmlformats.org/spreadsheetml/2006/main" count="804" uniqueCount="448">
  <si>
    <t>CREDIT MONITORING ARRANGEMENT (CMA) REPORT</t>
  </si>
  <si>
    <t>Projected Financials for Bank Term-Loan &amp; Working-Capital Appraisal</t>
  </si>
  <si>
    <t>Name of the Unit</t>
  </si>
  <si>
    <t>Constitution</t>
  </si>
  <si>
    <t>Line of Activity</t>
  </si>
  <si>
    <t>Term Loan applied for (₹)</t>
  </si>
  <si>
    <t>Promoters' Capital (₹)</t>
  </si>
  <si>
    <t>Projection horizon</t>
  </si>
  <si>
    <t>5 years (60 months), monthly</t>
  </si>
  <si>
    <t>CONTENTS</t>
  </si>
  <si>
    <t>Assumptions</t>
  </si>
  <si>
    <t>All input variables — the single control panel for the model</t>
  </si>
  <si>
    <t>Production</t>
  </si>
  <si>
    <t>60-month production plan (capacity × utilisation × phasing)</t>
  </si>
  <si>
    <t>Sales</t>
  </si>
  <si>
    <t>60-month sales quantity, price and revenue</t>
  </si>
  <si>
    <t>Expenses</t>
  </si>
  <si>
    <t>60-month operating expenses, interest and depreciation</t>
  </si>
  <si>
    <t>Profit</t>
  </si>
  <si>
    <t>60-month P&amp;L: EBITDA → EBIT → PBT → PAT</t>
  </si>
  <si>
    <t>Annual_Summary</t>
  </si>
  <si>
    <t>Consolidated 5-year figures feeding the CMA forms</t>
  </si>
  <si>
    <t>Form_II_Operating</t>
  </si>
  <si>
    <t>Form II — Operating statement (profitability)</t>
  </si>
  <si>
    <t>Form_III_BalanceSheet</t>
  </si>
  <si>
    <t>Form III — Projected balance sheet</t>
  </si>
  <si>
    <t>Form_IV_CA_CL</t>
  </si>
  <si>
    <t>Form IV — Current assets &amp; current liabilities</t>
  </si>
  <si>
    <t>Form_V_MPBF</t>
  </si>
  <si>
    <t>Form V — Maximum permissible bank finance</t>
  </si>
  <si>
    <t>Form_VI_FundFlow</t>
  </si>
  <si>
    <t>Form VI — Fund-flow statement</t>
  </si>
  <si>
    <t>Repayment</t>
  </si>
  <si>
    <t>Term-loan repayment schedule</t>
  </si>
  <si>
    <t>DSCR</t>
  </si>
  <si>
    <t>Debt-service coverage — repayment capacity</t>
  </si>
  <si>
    <t>Ratios</t>
  </si>
  <si>
    <t>Key ratios — financial viability</t>
  </si>
  <si>
    <t>Enter data only in the blue cells on the Assumptions sheet; all other sheets recalculate automatically.</t>
  </si>
  <si>
    <t>ASSUMPTIONS  —  KEY INPUTS</t>
  </si>
  <si>
    <t>Enter values only in the blue/shaded cells.  Every other sheet updates automatically.</t>
  </si>
  <si>
    <t>A.  COMPANY &amp; LOAN PARTICULARS</t>
  </si>
  <si>
    <t>Industry</t>
  </si>
  <si>
    <t>CapLabel</t>
  </si>
  <si>
    <t>ProdUnitLabel</t>
  </si>
  <si>
    <t>Cost1Long</t>
  </si>
  <si>
    <t>Cost1Short</t>
  </si>
  <si>
    <t>Cost2Long</t>
  </si>
  <si>
    <t>Cost2Short</t>
  </si>
  <si>
    <t>Cost3Short</t>
  </si>
  <si>
    <t>Plastic Packaging Containers Unit</t>
  </si>
  <si>
    <t>INDUSTRY / BUSINESS TYPE  →</t>
  </si>
  <si>
    <t>Manufacturing</t>
  </si>
  <si>
    <t>Agriculture &amp; Farming</t>
  </si>
  <si>
    <t>Installed Capacity (land / livestock / output)</t>
  </si>
  <si>
    <t>Production (units)</t>
  </si>
  <si>
    <t>Raw material / input cost per unit (Year 1)</t>
  </si>
  <si>
    <t>Raw materials / inputs</t>
  </si>
  <si>
    <t>Power &amp; fuel cost per unit (Year 1)</t>
  </si>
  <si>
    <t>Power &amp; fuel</t>
  </si>
  <si>
    <t>Farm overheads</t>
  </si>
  <si>
    <t>Constitution (Proprietor / Partnership / Pvt Ltd)</t>
  </si>
  <si>
    <t>Proprietorship</t>
  </si>
  <si>
    <t>Technology &amp; Software</t>
  </si>
  <si>
    <t>Service Delivery Capacity (billable hours/licenses p.a.)</t>
  </si>
  <si>
    <t>Service delivery (units)</t>
  </si>
  <si>
    <t>Direct delivery cost per unit (Year 1)</t>
  </si>
  <si>
    <t>Direct delivery cost</t>
  </si>
  <si>
    <t>Infrastructure &amp; hosting cost per unit (Year 1)</t>
  </si>
  <si>
    <t>Infrastructure &amp; hosting</t>
  </si>
  <si>
    <t>Operating overheads</t>
  </si>
  <si>
    <t>Line of Activity / Product</t>
  </si>
  <si>
    <t>Manufacturing of plastic packaging containers for FMCG companies</t>
  </si>
  <si>
    <t>Retail &amp; E-Commerce</t>
  </si>
  <si>
    <t>Annual Purchase Capacity (units for resale)</t>
  </si>
  <si>
    <t>Purchase (units)</t>
  </si>
  <si>
    <t>Purchase cost of goods per unit (Year 1)</t>
  </si>
  <si>
    <t>Purchase cost of goods</t>
  </si>
  <si>
    <t>Freight &amp; packaging cost per unit (Year 1)</t>
  </si>
  <si>
    <t>Freight &amp; packaging</t>
  </si>
  <si>
    <t>Store overheads</t>
  </si>
  <si>
    <t>Term Loan applied for</t>
  </si>
  <si>
    <t>₹</t>
  </si>
  <si>
    <t>Installed Capacity</t>
  </si>
  <si>
    <t>Raw material cost per unit (Year 1)</t>
  </si>
  <si>
    <t>Raw materials</t>
  </si>
  <si>
    <t>Factory overheads</t>
  </si>
  <si>
    <t>Promoters' Capital / Equity brought in</t>
  </si>
  <si>
    <t>Tourism &amp; Hospitality</t>
  </si>
  <si>
    <t>Room / Cover Capacity (room-nights or covers p.a.)</t>
  </si>
  <si>
    <t>Rooms sold / covers served (units)</t>
  </si>
  <si>
    <t>Direct service cost per unit (F&amp;B, housekeeping) (Year 1)</t>
  </si>
  <si>
    <t>Direct service cost</t>
  </si>
  <si>
    <t>Property overheads</t>
  </si>
  <si>
    <t>Interest rate on Term Loan</t>
  </si>
  <si>
    <t>% p.a.</t>
  </si>
  <si>
    <t>Renewable Energy</t>
  </si>
  <si>
    <t>Installed Generation Capacity (units of energy p.a.)</t>
  </si>
  <si>
    <t>Energy generated (units)</t>
  </si>
  <si>
    <t>O&amp;M cost per unit generated (Year 1)</t>
  </si>
  <si>
    <t>O&amp;M cost</t>
  </si>
  <si>
    <t>Grid / power evacuation cost per unit (Year 1)</t>
  </si>
  <si>
    <t>Grid / evacuation cost</t>
  </si>
  <si>
    <t>Plant overheads</t>
  </si>
  <si>
    <t>Term Loan tenure</t>
  </si>
  <si>
    <t>years</t>
  </si>
  <si>
    <t>Healthcare &amp; Pharma</t>
  </si>
  <si>
    <t>Service / Production Capacity (patients or units p.a.)</t>
  </si>
  <si>
    <t>Patients served / units produced</t>
  </si>
  <si>
    <t>Consumables &amp; medicine cost per unit (Year 1)</t>
  </si>
  <si>
    <t>Consumables &amp; medicine</t>
  </si>
  <si>
    <t>Power &amp; equipment running cost per unit (Year 1)</t>
  </si>
  <si>
    <t>Power &amp; equipment cost</t>
  </si>
  <si>
    <t>Facility overheads</t>
  </si>
  <si>
    <t>Moratorium / holiday period</t>
  </si>
  <si>
    <t>months</t>
  </si>
  <si>
    <t>Education &amp; Training</t>
  </si>
  <si>
    <t>Service Capacity (student seats / batches p.a.)</t>
  </si>
  <si>
    <t>Students / batches served</t>
  </si>
  <si>
    <t>Direct delivery cost per unit (faculty, material) (Year 1)</t>
  </si>
  <si>
    <t>Infrastructure cost per unit (Year 1)</t>
  </si>
  <si>
    <t>Infrastructure cost</t>
  </si>
  <si>
    <t>Institute overheads</t>
  </si>
  <si>
    <t>Interest rate on Working Capital</t>
  </si>
  <si>
    <t>General Business</t>
  </si>
  <si>
    <t>Capacity (units / customers / hours p.a.)</t>
  </si>
  <si>
    <t>Output (units)</t>
  </si>
  <si>
    <t>Direct cost per unit (Year 1)</t>
  </si>
  <si>
    <t>Direct cost</t>
  </si>
  <si>
    <t>Overhead cost per unit (Year 1)</t>
  </si>
  <si>
    <t>Overhead cost</t>
  </si>
  <si>
    <t>Income Tax rate</t>
  </si>
  <si>
    <t>%</t>
  </si>
  <si>
    <t>Construction &amp; Real Estate</t>
  </si>
  <si>
    <t>Project Execution Capacity (sq.ft / units p.a.)</t>
  </si>
  <si>
    <t>Construction / units completed</t>
  </si>
  <si>
    <t>Construction material cost per unit (Year 1)</t>
  </si>
  <si>
    <t>Construction materials</t>
  </si>
  <si>
    <t>Site power &amp; machinery cost per unit (Year 1)</t>
  </si>
  <si>
    <t>Site power &amp; machinery</t>
  </si>
  <si>
    <t>Project overheads</t>
  </si>
  <si>
    <t>B.  CAPACITY &amp; PRODUCTION</t>
  </si>
  <si>
    <t>Food &amp; Beverage / Restaurant</t>
  </si>
  <si>
    <t>Seating / Covers Capacity (covers p.a.)</t>
  </si>
  <si>
    <t>Covers served (units)</t>
  </si>
  <si>
    <t>Raw material (food &amp; beverage) cost per unit (Year 1)</t>
  </si>
  <si>
    <t>Food &amp; beverage cost</t>
  </si>
  <si>
    <t>Kitchen power &amp; fuel cost per unit (Year 1)</t>
  </si>
  <si>
    <t>Kitchen power &amp; fuel</t>
  </si>
  <si>
    <t>Restaurant overheads</t>
  </si>
  <si>
    <t>units p.a.</t>
  </si>
  <si>
    <t>Transportation &amp; Logistics</t>
  </si>
  <si>
    <t>Fleet / Route Capacity (trips or tonnage p.a.)</t>
  </si>
  <si>
    <t>Trips / tonnage handled (units)</t>
  </si>
  <si>
    <t>Fuel &amp; running cost per unit (Year 1)</t>
  </si>
  <si>
    <t>Fuel &amp; running cost</t>
  </si>
  <si>
    <t>Vehicle maintenance cost per unit (Year 1)</t>
  </si>
  <si>
    <t>Vehicle maintenance</t>
  </si>
  <si>
    <t>Fleet overheads</t>
  </si>
  <si>
    <t>Capacity Utilisation</t>
  </si>
  <si>
    <t>Yr 1</t>
  </si>
  <si>
    <t>Yr 2</t>
  </si>
  <si>
    <t>Yr 3</t>
  </si>
  <si>
    <t>Yr 4</t>
  </si>
  <si>
    <t>Yr 5</t>
  </si>
  <si>
    <t>Textile &amp; Garments</t>
  </si>
  <si>
    <t>Installed Capacity (garments/fabric units p.a.)</t>
  </si>
  <si>
    <t>Raw material (yarn/fabric) cost per unit (Year 1)</t>
  </si>
  <si>
    <t>Raw materials (yarn/fabric)</t>
  </si>
  <si>
    <t xml:space="preserve">   → enter % for Year 1 … 5</t>
  </si>
  <si>
    <t>Automobile / Auto Ancillary</t>
  </si>
  <si>
    <t>Installed Capacity (components/vehicles p.a.)</t>
  </si>
  <si>
    <t>Raw material / component cost per unit (Year 1)</t>
  </si>
  <si>
    <t>Raw materials / components</t>
  </si>
  <si>
    <t>C.  MONTHLY PHASING FACTOR  (optional — blank = equal spread)</t>
  </si>
  <si>
    <t>Import / Export Trading</t>
  </si>
  <si>
    <t>Annual Trading Capacity (units for import/export)</t>
  </si>
  <si>
    <t>Trading volume (units)</t>
  </si>
  <si>
    <t>Purchase / import cost per unit (Year 1)</t>
  </si>
  <si>
    <t>Purchase / import cost</t>
  </si>
  <si>
    <t>Freight, customs &amp; logistics cost per unit (Year 1)</t>
  </si>
  <si>
    <t>Freight &amp; customs</t>
  </si>
  <si>
    <t>Trading overheads</t>
  </si>
  <si>
    <t>Relative weight per month (M1…M12)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</si>
  <si>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</si>
  <si>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</si>
  <si>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</si>
  <si>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</si>
  <si>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</si>
  <si>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</si>
  <si>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</si>
  <si>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</si>
  <si>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</si>
  <si>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</si>
  <si>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</si>
  <si>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</si>
  <si>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Media &amp; Entertainment</t>
  </si>
  <si>
    <t>Content / Production Capacity (units/hours p.a.)</t>
  </si>
  <si>
    <t>Content produced (units)</t>
  </si>
  <si>
    <t>Production cost per unit (Year 1)</t>
  </si>
  <si>
    <t>Production cost</t>
  </si>
  <si>
    <t>Equipment &amp; studio cost per unit (Year 1)</t>
  </si>
  <si>
    <t>Equipment &amp; studio cost</t>
  </si>
  <si>
    <t>Studio overheads</t>
  </si>
  <si>
    <t xml:space="preserve">   → weights (e.g. 1.0 each, or seasonal)</t>
  </si>
  <si>
    <t>Mining &amp; Minerals</t>
  </si>
  <si>
    <t>Installed Extraction Capacity (tonnes p.a.)</t>
  </si>
  <si>
    <t>Extraction (units)</t>
  </si>
  <si>
    <t>Raw material / extraction cost per unit (Year 1)</t>
  </si>
  <si>
    <t>Extraction cost</t>
  </si>
  <si>
    <t>Mine overheads</t>
  </si>
  <si>
    <t>D.  PRICE &amp; VARIABLE COSTS  (Year-1 base, escalated by the % below)</t>
  </si>
  <si>
    <t>Selling price per unit (Year 1)</t>
  </si>
  <si>
    <t>₹/unit</t>
  </si>
  <si>
    <t xml:space="preserve">   annual price escalation</t>
  </si>
  <si>
    <t xml:space="preserve">   annual RM cost escalation</t>
  </si>
  <si>
    <t xml:space="preserve">   annual power cost escalation</t>
  </si>
  <si>
    <t>Other variable cost per unit (Year 1)</t>
  </si>
  <si>
    <t xml:space="preserve">   annual other-variable escalation</t>
  </si>
  <si>
    <t>E.  FIXED / PERIOD COSTS  (per month, Year-1 base, escalated below)</t>
  </si>
  <si>
    <t>Direct wages &amp; salaries / month (Year 1)</t>
  </si>
  <si>
    <t>₹/month</t>
  </si>
  <si>
    <t xml:space="preserve">   annual wages escalation</t>
  </si>
  <si>
    <t>Factory overheads / month (Year 1)</t>
  </si>
  <si>
    <t xml:space="preserve">   annual factory-OH escalation</t>
  </si>
  <si>
    <t>Repairs &amp; maintenance / month (Year 1)</t>
  </si>
  <si>
    <t xml:space="preserve">   annual R&amp;M escalation</t>
  </si>
  <si>
    <t>Administrative expenses / month (Year 1)</t>
  </si>
  <si>
    <t xml:space="preserve">   annual admin escalation</t>
  </si>
  <si>
    <t>Selling &amp; distribution</t>
  </si>
  <si>
    <t>% of sales</t>
  </si>
  <si>
    <t>F.  FIXED ASSETS &amp; DEPRECIATION  (straight-line on cost)</t>
  </si>
  <si>
    <t>Land (no depreciation)</t>
  </si>
  <si>
    <t>Building — cost</t>
  </si>
  <si>
    <t>Building — depreciation rate</t>
  </si>
  <si>
    <t>Plant &amp; Machinery — cost</t>
  </si>
  <si>
    <t>Plant &amp; Machinery — depreciation rate</t>
  </si>
  <si>
    <t>Furniture / other — cost</t>
  </si>
  <si>
    <t>Furniture / other — depreciation rate</t>
  </si>
  <si>
    <t>G.  WORKING CAPITAL CYCLE</t>
  </si>
  <si>
    <t>Raw material holding</t>
  </si>
  <si>
    <t>days</t>
  </si>
  <si>
    <t>Finished goods holding</t>
  </si>
  <si>
    <t>Receivables / debtors</t>
  </si>
  <si>
    <t>Creditors / payables</t>
  </si>
  <si>
    <t>Minimum cash &amp; bank balance</t>
  </si>
  <si>
    <t>Bank's WC margin (borrower's stake)</t>
  </si>
  <si>
    <t>Tandon Method-II uses 25%</t>
  </si>
  <si>
    <t>PRODUCTION PLAN  —  60-MONTH PROJECTION</t>
  </si>
  <si>
    <t>Driven by Installed Capacity × Capacity Utilisation × Monthly phasing (Assumptions).</t>
  </si>
  <si>
    <t>YEAR 1</t>
  </si>
  <si>
    <t>YEAR 2</t>
  </si>
  <si>
    <t>YEAR 3</t>
  </si>
  <si>
    <t>YEAR 4</t>
  </si>
  <si>
    <t>YEAR 5</t>
  </si>
  <si>
    <t>Particulars</t>
  </si>
  <si>
    <t>Yr 1 Total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</si>
  <si>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</si>
  <si>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</si>
  <si>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</si>
  <si>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</si>
  <si>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</si>
  <si>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</si>
  <si>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</si>
  <si>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</si>
  <si>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</si>
  <si>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</si>
  <si>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</si>
  <si>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</si>
  <si>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Yr 2 Total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</si>
  <si>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</si>
  <si>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</si>
  <si>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</si>
  <si>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</si>
  <si>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</si>
  <si>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</si>
  <si>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</si>
  <si>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</si>
  <si>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</si>
  <si>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</si>
  <si>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</si>
  <si>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</si>
  <si>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Yr 3 Total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</si>
  <si>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</si>
  <si>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</si>
  <si>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</si>
  <si>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</si>
  <si>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</si>
  <si>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</si>
  <si>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</si>
  <si>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</si>
  <si>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</si>
  <si>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</si>
  <si>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</si>
  <si>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</si>
  <si>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Yr 4 Total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</si>
  <si>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</si>
  <si>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</si>
  <si>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</si>
  <si>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</si>
  <si>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</si>
  <si>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</si>
  <si>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</si>
  <si>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</si>
  <si>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</si>
  <si>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</si>
  <si>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</si>
  <si>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</si>
  <si>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Yr 5 Total</t>
  </si>
  <si>
    <t>Capacity utilisation (%)</t>
  </si>
  <si>
    <t>SALES PLAN  —  60-MONTH PROJECTION</t>
  </si>
  <si>
    <t>Sales quantity = production; revenue = quantity × escalated selling price.</t>
  </si>
  <si>
    <t>Sales quantity (units)</t>
  </si>
  <si>
    <t>Selling price (₹ / unit)</t>
  </si>
  <si>
    <t>Net Sales / Revenue (₹)</t>
  </si>
  <si>
    <t>OPERATING EXPENSES  —  60-MONTH PROJECTION</t>
  </si>
  <si>
    <t>Variable costs scale with production; period costs escalate annually; interest &amp; depreciation linked.</t>
  </si>
  <si>
    <t>Direct wages &amp; salaries</t>
  </si>
  <si>
    <t>Other variable cost</t>
  </si>
  <si>
    <t>Repairs &amp; maintenance</t>
  </si>
  <si>
    <t>Administrative expenses</t>
  </si>
  <si>
    <t>Depreciation</t>
  </si>
  <si>
    <t>Interest — Term Loan</t>
  </si>
  <si>
    <t>Interest — Working Capital</t>
  </si>
  <si>
    <t>Total Operating Expenses</t>
  </si>
  <si>
    <t>PROFITABILITY (P&amp;L)  —  60-MONTH PROJECTION</t>
  </si>
  <si>
    <t>EBITDA → EBIT → PBT → PAT, fully linked to Sales and Expenses.</t>
  </si>
  <si>
    <t>Net Sales</t>
  </si>
  <si>
    <t>(-) Direct wages &amp; salaries</t>
  </si>
  <si>
    <t>(-) Other variable cost</t>
  </si>
  <si>
    <t>(-) Repairs &amp; maintenance</t>
  </si>
  <si>
    <t>(-) Administrative expenses</t>
  </si>
  <si>
    <t>(-) Selling &amp; distribution</t>
  </si>
  <si>
    <t>EBITDA</t>
  </si>
  <si>
    <t>(-) Depreciation</t>
  </si>
  <si>
    <t>EBIT (Operating Profit)</t>
  </si>
  <si>
    <t>(-) Interest — Term Loan</t>
  </si>
  <si>
    <t>(-) Interest — Working Capital</t>
  </si>
  <si>
    <t>Profit Before Tax (PBT)</t>
  </si>
  <si>
    <t>(-) Income Tax</t>
  </si>
  <si>
    <t>Profit After Tax (PAT)</t>
  </si>
  <si>
    <t>Cash Accrual (PAT + Depreciation)</t>
  </si>
  <si>
    <t>ANNUAL SUMMARY  —  CONSOLIDATED 5-YEAR VIEW</t>
  </si>
  <si>
    <t>Roll-up of the 60-month projections. Feeds every CMA form below.</t>
  </si>
  <si>
    <t>Year 1</t>
  </si>
  <si>
    <t>Year 2</t>
  </si>
  <si>
    <t>Year 3</t>
  </si>
  <si>
    <t>Year 4</t>
  </si>
  <si>
    <t>Year 5</t>
  </si>
  <si>
    <t>PRODUCTION &amp; SALES</t>
  </si>
  <si>
    <t>COST STRUCTURE (₹)</t>
  </si>
  <si>
    <t>PROFITABILITY (₹)</t>
  </si>
  <si>
    <t>Profit Before Tax</t>
  </si>
  <si>
    <t>Income Tax</t>
  </si>
  <si>
    <t>FORM II  —  OPERATING STATEMENT</t>
  </si>
  <si>
    <t>Projected profitability in the format required for credit appraisal (₹).</t>
  </si>
  <si>
    <t>Cost of Production</t>
  </si>
  <si>
    <t>Gross Profit</t>
  </si>
  <si>
    <t>Operating Profit (EBIT)</t>
  </si>
  <si>
    <t>(-) Provision for Tax</t>
  </si>
  <si>
    <t>Profit After Tax</t>
  </si>
  <si>
    <t>FORM III  —  PROJECTED BALANCE SHEET</t>
  </si>
  <si>
    <t>Sources &amp; application of funds; cash is the balancing figure (₹).</t>
  </si>
  <si>
    <t>LIABILITIES  (₹)</t>
  </si>
  <si>
    <t>Capital / Promoters' equity</t>
  </si>
  <si>
    <t>Reserves &amp; surplus (accumulated PAT)</t>
  </si>
  <si>
    <t>Net Worth</t>
  </si>
  <si>
    <t>Term loan (closing balance)</t>
  </si>
  <si>
    <t>Bank borrowing — working capital</t>
  </si>
  <si>
    <t>Sundry creditors</t>
  </si>
  <si>
    <t>Other current liabilities / provisions</t>
  </si>
  <si>
    <t>TOTAL LIABILITIES</t>
  </si>
  <si>
    <t>ASSETS  (₹)</t>
  </si>
  <si>
    <t>Gross fixed assets</t>
  </si>
  <si>
    <t>(-) Accumulated depreciation</t>
  </si>
  <si>
    <t>Net fixed assets</t>
  </si>
  <si>
    <t>Inventory</t>
  </si>
  <si>
    <t>Sundry debtors / receivables</t>
  </si>
  <si>
    <t>Cash &amp; bank (balancing figure)</t>
  </si>
  <si>
    <t>TOTAL ASSETS</t>
  </si>
  <si>
    <t>Check  (Liabilities − Assets = 0)</t>
  </si>
  <si>
    <t>FORM IV  —  CURRENT ASSETS &amp; CURRENT LIABILITIES</t>
  </si>
  <si>
    <t>Build-up of working-capital requirement from holding-period assumptions (₹).</t>
  </si>
  <si>
    <t>OPERATING BASIS</t>
  </si>
  <si>
    <t>Purchases (raw material)</t>
  </si>
  <si>
    <t>CURRENT ASSETS (₹)</t>
  </si>
  <si>
    <t>Inventory — Raw material</t>
  </si>
  <si>
    <t>Inventory — Finished goods</t>
  </si>
  <si>
    <t>Cash &amp; bank (minimum)</t>
  </si>
  <si>
    <t>Total Current Assets</t>
  </si>
  <si>
    <t>CURRENT LIABILITIES  (other than bank finance) (₹)</t>
  </si>
  <si>
    <t>Sundry creditors / payables</t>
  </si>
  <si>
    <t>Total Current Liabilities (excl. bank)</t>
  </si>
  <si>
    <t>Working Capital Gap  (TCA − TCL)</t>
  </si>
  <si>
    <t>FORM V  —  MAXIMUM PERMISSIBLE BANK FINANCE</t>
  </si>
  <si>
    <t>MPBF computed on the Tandon methodology; Method II drives the working-capital limit (₹).</t>
  </si>
  <si>
    <t>Current Liabilities (other than bank)</t>
  </si>
  <si>
    <t>Working Capital Gap (WCG)</t>
  </si>
  <si>
    <t>Min. stipulated NWC  (margin × CA)</t>
  </si>
  <si>
    <t>MPBF — Method I  (WCG − margin)</t>
  </si>
  <si>
    <t>MPBF — Method II  (0.75·CA − CL)</t>
  </si>
  <si>
    <t>Recommended MPBF  (Method II)</t>
  </si>
  <si>
    <t>FORM VI  —  FUND FLOW STATEMENT</t>
  </si>
  <si>
    <t>Year-on-year sources and applications of funds (₹).</t>
  </si>
  <si>
    <t>SOURCES OF FUNDS (₹)</t>
  </si>
  <si>
    <t>Cash accrual (PAT + Depreciation)</t>
  </si>
  <si>
    <t>Capital introduced</t>
  </si>
  <si>
    <t>Term loan raised</t>
  </si>
  <si>
    <t>Increase / (decrease) in bank WC finance</t>
  </si>
  <si>
    <t>Increase / (decrease) in creditors</t>
  </si>
  <si>
    <t>TOTAL SOURCES (A)</t>
  </si>
  <si>
    <t>APPLICATION OF FUNDS (₹)</t>
  </si>
  <si>
    <t>Capital expenditure (fixed assets)</t>
  </si>
  <si>
    <t>Repayment of term loan</t>
  </si>
  <si>
    <t>Increase / (decrease) in current assets</t>
  </si>
  <si>
    <t>TOTAL APPLICATIONS (B)</t>
  </si>
  <si>
    <t>Net Surplus / (Deficit)  (A − B)</t>
  </si>
  <si>
    <t>TERM LOAN  —  REPAYMENT SCHEDULE</t>
  </si>
  <si>
    <t>Equal annual principal after moratorium; interest on reducing balance (₹).</t>
  </si>
  <si>
    <t>Opening balance</t>
  </si>
  <si>
    <t>Interest for the year</t>
  </si>
  <si>
    <t>Principal repayment</t>
  </si>
  <si>
    <t>Closing balance</t>
  </si>
  <si>
    <t>Note: schedule shows the first 5 years of the projection horizon; any balance beyond Year 5 continues per the sanctioned tenure.</t>
  </si>
  <si>
    <t>DEBT SERVICE COVERAGE  (DSCR)</t>
  </si>
  <si>
    <t>Repayment capacity: cash available for debt service ÷ debt obligation.</t>
  </si>
  <si>
    <t>Average</t>
  </si>
  <si>
    <t>Cash available for debt service (₹)</t>
  </si>
  <si>
    <t>(+) Depreciation</t>
  </si>
  <si>
    <t>(+) Interest on Term Loan</t>
  </si>
  <si>
    <t>Cash Available for Debt Service (A)</t>
  </si>
  <si>
    <t>Debt obligation (₹)</t>
  </si>
  <si>
    <t>Interest on Term Loan</t>
  </si>
  <si>
    <t>Total Debt Obligation (B)</t>
  </si>
  <si>
    <t>DSCR  (A ÷ B)</t>
  </si>
  <si>
    <t>FINANCIAL VIABILITY  —  KEY RATIOS</t>
  </si>
  <si>
    <t>Liquidity, leverage, profitability and coverage indicators for appraisal.</t>
  </si>
  <si>
    <t>LIQUIDITY &amp; LEVERAGE</t>
  </si>
  <si>
    <t>Current Ratio</t>
  </si>
  <si>
    <t>Debt–Equity Ratio</t>
  </si>
  <si>
    <t>TOL / TNW</t>
  </si>
  <si>
    <t>PROFITABILITY</t>
  </si>
  <si>
    <t>EBITDA Margin</t>
  </si>
  <si>
    <t>Net Profit Margin</t>
  </si>
  <si>
    <t>Return on Capital Employed</t>
  </si>
  <si>
    <t>COVERAGE &amp; RISK</t>
  </si>
  <si>
    <t>Interest Coverage</t>
  </si>
  <si>
    <t>Break-even (% of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</si>
</sst>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#,##0.00;\(#,##0.00\);\-"/>
    <numFmt numFmtId="167" formatCode="0.00\x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u/>
      <sz val="10"/>
      <color rgb="FF0563C1"/>
      <name val="Arial"/>
      <charset val="1"/>
    </font>
    <font>
      <i/>
      <sz val="8"/>
      <color rgb="FF808080"/>
      <name val="Arial"/>
      <charset val="1"/>
    </font>
    <font>
      <b/>
      <sz val="15"/>
      <color rgb="FFFFFFFF"/>
      <name val="Arial"/>
      <charset val="1"/>
    </font>
    <font>
      <b/>
      <sz val="9"/>
      <name val="Cambria"/>
      <charset val="1"/>
    </font>
    <font>
      <sz val="10"/>
      <color rgb="FF0000FF"/>
      <name val="Arial"/>
      <charset val="1"/>
    </font>
    <font>
      <b/>
      <sz val="10"/>
      <name val="Cambria"/>
      <charset val="1"/>
    </font>
    <font>
      <sz val="11"/>
      <color rgb="FF0000FF"/>
      <name val="Cambria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EE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4" fillId="6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8" fillId="0" borderId="0" xfId="0" applyFont="1"/>
    <xf numFmtId="0" fontId="6" fillId="4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indent="1"/>
    </xf>
    <xf numFmtId="0" fontId="2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164" fontId="4" fillId="0" borderId="1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8" fillId="0" borderId="0" xfId="0" applyFont="1"/>
    <xf numFmtId="0" fontId="10" fillId="0" borderId="0" xfId="0" applyFont="1"/>
    <xf numFmtId="49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indent="1"/>
    </xf>
    <xf numFmtId="0" fontId="12" fillId="0" borderId="0" xfId="0" applyFont="1"/>
    <xf numFmtId="0" fontId="13" fillId="5" borderId="0" xfId="0" applyFont="1" applyFill="1" applyProtection="1">
      <protection locked="0"/>
    </xf>
    <xf numFmtId="164" fontId="11" fillId="5" borderId="1" xfId="0" applyNumberFormat="1" applyFont="1" applyFill="1" applyBorder="1" applyAlignment="1" applyProtection="1">
      <alignment horizontal="center" vertical="center"/>
      <protection locked="0"/>
    </xf>
    <xf numFmtId="10" fontId="11" fillId="5" borderId="1" xfId="0" applyNumberFormat="1" applyFont="1" applyFill="1" applyBorder="1" applyAlignment="1" applyProtection="1">
      <alignment horizontal="center" vertical="center"/>
      <protection locked="0"/>
    </xf>
    <xf numFmtId="1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165" fontId="11" fillId="5" borderId="1" xfId="0" applyNumberFormat="1" applyFont="1" applyFill="1" applyBorder="1" applyAlignment="1" applyProtection="1">
      <alignment horizontal="center" vertical="center"/>
      <protection locked="0"/>
    </xf>
    <xf numFmtId="2" fontId="11" fillId="5" borderId="1" xfId="0" applyNumberFormat="1" applyFont="1" applyFill="1" applyBorder="1" applyAlignment="1" applyProtection="1">
      <alignment horizontal="center" vertical="center"/>
      <protection locked="0"/>
    </xf>
    <xf numFmtId="166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0" fillId="2" borderId="1" xfId="0" applyFill="1" applyBorder="1"/>
    <xf numFmtId="0" fontId="14" fillId="6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indent="1"/>
    </xf>
    <xf numFmtId="0" fontId="14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indent="1"/>
    </xf>
    <xf numFmtId="164" fontId="3" fillId="0" borderId="1" xfId="0" applyNumberFormat="1" applyFont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indent="2"/>
    </xf>
    <xf numFmtId="0" fontId="0" fillId="2" borderId="0" xfId="0" applyFill="1"/>
    <xf numFmtId="164" fontId="4" fillId="7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C:/Users/Foxin/Downloads/CMA.xlsx" TargetMode="External"/><Relationship Id="rId13" Type="http://schemas.openxmlformats.org/officeDocument/2006/relationships/hyperlink" Target="../../C:/Users/Foxin/Downloads/CMA.xlsx" TargetMode="External"/><Relationship Id="rId3" Type="http://schemas.openxmlformats.org/officeDocument/2006/relationships/hyperlink" Target="../../C:/Users/Foxin/Downloads/CMA.xlsx" TargetMode="External"/><Relationship Id="rId7" Type="http://schemas.openxmlformats.org/officeDocument/2006/relationships/hyperlink" Target="../../C:/Users/Foxin/Downloads/CMA.xlsx" TargetMode="External"/><Relationship Id="rId12" Type="http://schemas.openxmlformats.org/officeDocument/2006/relationships/hyperlink" Target="../../C:/Users/Foxin/Downloads/CMA.xlsx" TargetMode="External"/><Relationship Id="rId2" Type="http://schemas.openxmlformats.org/officeDocument/2006/relationships/hyperlink" Target="../../C:/Users/Foxin/Downloads/CMA.xlsx" TargetMode="External"/><Relationship Id="rId1" Type="http://schemas.openxmlformats.org/officeDocument/2006/relationships/hyperlink" Target="../../C:/Users/Foxin/Downloads/CMA.xlsx" TargetMode="External"/><Relationship Id="rId6" Type="http://schemas.openxmlformats.org/officeDocument/2006/relationships/hyperlink" Target="../../C:/Users/Foxin/Downloads/CMA.xlsx" TargetMode="External"/><Relationship Id="rId11" Type="http://schemas.openxmlformats.org/officeDocument/2006/relationships/hyperlink" Target="../../C:/Users/Foxin/Downloads/CMA.xlsx" TargetMode="External"/><Relationship Id="rId5" Type="http://schemas.openxmlformats.org/officeDocument/2006/relationships/hyperlink" Target="../../C:/Users/Foxin/Downloads/CMA.xlsx" TargetMode="External"/><Relationship Id="rId10" Type="http://schemas.openxmlformats.org/officeDocument/2006/relationships/hyperlink" Target="../../C:/Users/Foxin/Downloads/CMA.xlsx" TargetMode="External"/><Relationship Id="rId4" Type="http://schemas.openxmlformats.org/officeDocument/2006/relationships/hyperlink" Target="../../C:/Users/Foxin/Downloads/CMA.xlsx" TargetMode="External"/><Relationship Id="rId9" Type="http://schemas.openxmlformats.org/officeDocument/2006/relationships/hyperlink" Target="../../C:/Users/Foxin/Downloads/CMA.xlsx" TargetMode="External"/><Relationship Id="rId14" Type="http://schemas.openxmlformats.org/officeDocument/2006/relationships/hyperlink" Target="../../C:/Users/Foxin/Downloads/CM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3" width="60" customWidth="1"/>
  </cols>
  <sheetData>
    <row r="2" spans="2:3" ht="33.75" customHeight="1" x14ac:dyDescent="0.25">
      <c r="B2" s="6" t="s">
        <v>0</v>
      </c>
      <c r="C2" s="6"/>
    </row>
    <row r="3" spans="2:3" ht="18" customHeight="1" x14ac:dyDescent="0.25">
      <c r="B3" s="5" t="s">
        <v>1</v>
      </c>
      <c r="C3" s="5"/>
    </row>
    <row r="5" spans="2:3" ht="15" customHeight="1" x14ac:dyDescent="0.25">
      <c r="B5" s="10" t="s">
        <v>2</v>
      </c>
      <c r="C5" s="11" t="str">
        <f>Assumptions!C5</f>
        <v>Plastic Packaging Containers Unit</v>
      </c>
    </row>
    <row r="6" spans="2:3" ht="15" customHeight="1" x14ac:dyDescent="0.25">
      <c r="B6" s="10" t="s">
        <v>3</v>
      </c>
      <c r="C6" s="11" t="str">
        <f>Assumptions!C6</f>
        <v>Proprietorship</v>
      </c>
    </row>
    <row r="7" spans="2:3" ht="15" customHeight="1" x14ac:dyDescent="0.25">
      <c r="B7" s="10" t="s">
        <v>4</v>
      </c>
      <c r="C7" s="11" t="str">
        <f>Assumptions!C7</f>
        <v>Manufacturing of plastic packaging containers for FMCG companies</v>
      </c>
    </row>
    <row r="8" spans="2:3" ht="15" customHeight="1" x14ac:dyDescent="0.25">
      <c r="B8" s="10" t="s">
        <v>5</v>
      </c>
      <c r="C8" s="12">
        <f>Assumptions!C8</f>
        <v>6000000</v>
      </c>
    </row>
    <row r="9" spans="2:3" ht="15" customHeight="1" x14ac:dyDescent="0.25">
      <c r="B9" s="10" t="s">
        <v>6</v>
      </c>
      <c r="C9" s="12">
        <f>Assumptions!C9</f>
        <v>1500000</v>
      </c>
    </row>
    <row r="10" spans="2:3" ht="15" customHeight="1" x14ac:dyDescent="0.25">
      <c r="B10" s="10" t="s">
        <v>7</v>
      </c>
      <c r="C10" s="13" t="s">
        <v>8</v>
      </c>
    </row>
    <row r="12" spans="2:3" ht="15" customHeight="1" x14ac:dyDescent="0.25">
      <c r="B12" s="4" t="s">
        <v>9</v>
      </c>
      <c r="C12" s="4"/>
    </row>
    <row r="13" spans="2:3" ht="15" customHeight="1" x14ac:dyDescent="0.25">
      <c r="B13" s="14" t="s">
        <v>10</v>
      </c>
      <c r="C13" s="13" t="s">
        <v>11</v>
      </c>
    </row>
    <row r="14" spans="2:3" ht="15" customHeight="1" x14ac:dyDescent="0.25">
      <c r="B14" s="14" t="s">
        <v>12</v>
      </c>
      <c r="C14" s="13" t="s">
        <v>13</v>
      </c>
    </row>
    <row r="15" spans="2:3" ht="15" customHeight="1" x14ac:dyDescent="0.25">
      <c r="B15" s="14" t="s">
        <v>14</v>
      </c>
      <c r="C15" s="13" t="s">
        <v>15</v>
      </c>
    </row>
    <row r="16" spans="2:3" ht="15" customHeight="1" x14ac:dyDescent="0.25">
      <c r="B16" s="14" t="s">
        <v>16</v>
      </c>
      <c r="C16" s="13" t="s">
        <v>17</v>
      </c>
    </row>
    <row r="17" spans="2:3" ht="15" customHeight="1" x14ac:dyDescent="0.25">
      <c r="B17" s="14" t="s">
        <v>18</v>
      </c>
      <c r="C17" s="13" t="s">
        <v>19</v>
      </c>
    </row>
    <row r="18" spans="2:3" ht="15" customHeight="1" x14ac:dyDescent="0.25">
      <c r="B18" s="14" t="s">
        <v>20</v>
      </c>
      <c r="C18" s="13" t="s">
        <v>21</v>
      </c>
    </row>
    <row r="19" spans="2:3" ht="15" customHeight="1" x14ac:dyDescent="0.25">
      <c r="B19" s="14" t="s">
        <v>22</v>
      </c>
      <c r="C19" s="13" t="s">
        <v>23</v>
      </c>
    </row>
    <row r="20" spans="2:3" ht="15" customHeight="1" x14ac:dyDescent="0.25">
      <c r="B20" s="14" t="s">
        <v>24</v>
      </c>
      <c r="C20" s="13" t="s">
        <v>25</v>
      </c>
    </row>
    <row r="21" spans="2:3" ht="15" customHeight="1" x14ac:dyDescent="0.25">
      <c r="B21" s="14" t="s">
        <v>26</v>
      </c>
      <c r="C21" s="13" t="s">
        <v>27</v>
      </c>
    </row>
    <row r="22" spans="2:3" ht="15" customHeight="1" x14ac:dyDescent="0.25">
      <c r="B22" s="14" t="s">
        <v>28</v>
      </c>
      <c r="C22" s="13" t="s">
        <v>29</v>
      </c>
    </row>
    <row r="23" spans="2:3" ht="15" customHeight="1" x14ac:dyDescent="0.25">
      <c r="B23" s="14" t="s">
        <v>30</v>
      </c>
      <c r="C23" s="13" t="s">
        <v>31</v>
      </c>
    </row>
    <row r="24" spans="2:3" ht="15" customHeight="1" x14ac:dyDescent="0.25">
      <c r="B24" s="14" t="s">
        <v>32</v>
      </c>
      <c r="C24" s="13" t="s">
        <v>33</v>
      </c>
    </row>
    <row r="25" spans="2:3" ht="15" customHeight="1" x14ac:dyDescent="0.25">
      <c r="B25" s="14" t="s">
        <v>34</v>
      </c>
      <c r="C25" s="13" t="s">
        <v>35</v>
      </c>
    </row>
    <row r="26" spans="2:3" ht="15" customHeight="1" x14ac:dyDescent="0.25">
      <c r="B26" s="14" t="s">
        <v>36</v>
      </c>
      <c r="C26" s="13" t="s">
        <v>37</v>
      </c>
    </row>
    <row r="28" spans="2:3" ht="15" customHeight="1" x14ac:dyDescent="0.25">
      <c r="B28" s="3" t="s">
        <v>38</v>
      </c>
      <c r="C28" s="3"/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4">
    <mergeCell ref="B2:C2"/>
    <mergeCell ref="B3:C3"/>
    <mergeCell ref="B12:C12"/>
    <mergeCell ref="B28:C28"/>
  </mergeCells>
  <hyperlinks>
    <hyperlink ref="B13" r:id="rId1" location="Assumptions!A1" xr:uid="{00000000-0004-0000-0000-000000000000}"/>
    <hyperlink ref="B14" r:id="rId2" location="Production!A1" xr:uid="{00000000-0004-0000-0000-000001000000}"/>
    <hyperlink ref="B15" r:id="rId3" location="Sales!A1" xr:uid="{00000000-0004-0000-0000-000002000000}"/>
    <hyperlink ref="B16" r:id="rId4" location="Expenses!A1" xr:uid="{00000000-0004-0000-0000-000003000000}"/>
    <hyperlink ref="B17" r:id="rId5" location="Profit!A1" xr:uid="{00000000-0004-0000-0000-000004000000}"/>
    <hyperlink ref="B18" r:id="rId6" location="Annual_Summary!A1" xr:uid="{00000000-0004-0000-0000-000005000000}"/>
    <hyperlink ref="B19" r:id="rId7" location="Form_II_Operating!A1" xr:uid="{00000000-0004-0000-0000-000006000000}"/>
    <hyperlink ref="B20" r:id="rId8" location="Form_III_BalanceSheet!A1" xr:uid="{00000000-0004-0000-0000-000007000000}"/>
    <hyperlink ref="B21" r:id="rId9" location="Form_IV_CA_CL!A1" xr:uid="{00000000-0004-0000-0000-000008000000}"/>
    <hyperlink ref="B22" r:id="rId10" location="Form_V_MPBF!A1" xr:uid="{00000000-0004-0000-0000-000009000000}"/>
    <hyperlink ref="B23" r:id="rId11" location="Form_VI_FundFlow!A1" xr:uid="{00000000-0004-0000-0000-00000A000000}"/>
    <hyperlink ref="B24" r:id="rId12" location="Repayment!A1" xr:uid="{00000000-0004-0000-0000-00000B000000}"/>
    <hyperlink ref="B25" r:id="rId13" location="DSCR!A1" xr:uid="{00000000-0004-0000-0000-00000C000000}"/>
    <hyperlink ref="B26" r:id="rId14" location="Ratios!A1" xr:uid="{00000000-0004-0000-00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"/>
  <sheetViews>
    <sheetView showGridLines="0" zoomScaleNormal="100" workbookViewId="0">
      <pane ySplit="3" topLeftCell="A9" activePane="bottomLeft" state="frozen"/>
      <selection pane="bottomLeft" sqref="A1:O1"/>
    </sheetView>
  </sheetViews>
  <sheetFormatPr defaultColWidth="8.7109375" defaultRowHeight="15" x14ac:dyDescent="0.25"/>
  <cols>
    <col min="1" max="1" width="3" customWidth="1"/>
    <col min="2" max="2" width="46" customWidth="1"/>
    <col min="3" max="7" width="13" customWidth="1"/>
    <col min="8" max="14" width="8" customWidth="1"/>
    <col min="15" max="15" width="2" customWidth="1"/>
    <col min="16" max="16" width="30" customWidth="1"/>
  </cols>
  <sheetData>
    <row r="1" spans="1:26" ht="25.5" customHeight="1" x14ac:dyDescent="0.25">
      <c r="A1" s="9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26" ht="15" customHeight="1" x14ac:dyDescent="0.25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26" ht="18" customHeight="1" x14ac:dyDescent="0.25">
      <c r="B4" s="2" t="s">
        <v>41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S4" s="16" t="s">
        <v>42</v>
      </c>
      <c r="T4" s="16" t="s">
        <v>43</v>
      </c>
      <c r="U4" s="16" t="s">
        <v>44</v>
      </c>
      <c r="V4" s="16" t="s">
        <v>45</v>
      </c>
      <c r="W4" s="16" t="s">
        <v>46</v>
      </c>
      <c r="X4" s="16" t="s">
        <v>47</v>
      </c>
      <c r="Y4" s="16" t="s">
        <v>48</v>
      </c>
      <c r="Z4" s="16" t="s">
        <v>49</v>
      </c>
    </row>
    <row r="5" spans="1:26" ht="15" customHeight="1" x14ac:dyDescent="0.25">
      <c r="B5" s="13" t="s">
        <v>2</v>
      </c>
      <c r="C5" s="17" t="s">
        <v>50</v>
      </c>
      <c r="H5" s="18"/>
      <c r="I5" s="19" t="s">
        <v>51</v>
      </c>
      <c r="J5" s="20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</row>
    <row r="6" spans="1:26" ht="15" customHeight="1" x14ac:dyDescent="0.25">
      <c r="B6" s="13" t="s">
        <v>61</v>
      </c>
      <c r="C6" s="17" t="s">
        <v>62</v>
      </c>
      <c r="H6" s="18"/>
      <c r="S6" t="s">
        <v>63</v>
      </c>
      <c r="T6" t="s">
        <v>64</v>
      </c>
      <c r="U6" t="s">
        <v>65</v>
      </c>
      <c r="V6" t="s">
        <v>66</v>
      </c>
      <c r="W6" t="s">
        <v>67</v>
      </c>
      <c r="X6" t="s">
        <v>68</v>
      </c>
      <c r="Y6" t="s">
        <v>69</v>
      </c>
      <c r="Z6" t="s">
        <v>70</v>
      </c>
    </row>
    <row r="7" spans="1:26" ht="15" customHeight="1" x14ac:dyDescent="0.25">
      <c r="B7" s="13" t="s">
        <v>71</v>
      </c>
      <c r="C7" s="17" t="s">
        <v>72</v>
      </c>
      <c r="H7" s="18"/>
      <c r="S7" t="s">
        <v>73</v>
      </c>
      <c r="T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79</v>
      </c>
      <c r="Z7" t="s">
        <v>80</v>
      </c>
    </row>
    <row r="8" spans="1:26" ht="15" customHeight="1" x14ac:dyDescent="0.25">
      <c r="B8" s="13" t="s">
        <v>81</v>
      </c>
      <c r="C8" s="21">
        <v>6000000</v>
      </c>
      <c r="H8" s="18" t="s">
        <v>82</v>
      </c>
      <c r="S8" t="s">
        <v>52</v>
      </c>
      <c r="T8" t="s">
        <v>83</v>
      </c>
      <c r="U8" t="s">
        <v>55</v>
      </c>
      <c r="V8" t="s">
        <v>84</v>
      </c>
      <c r="W8" t="s">
        <v>85</v>
      </c>
      <c r="X8" t="s">
        <v>58</v>
      </c>
      <c r="Y8" t="s">
        <v>59</v>
      </c>
      <c r="Z8" t="s">
        <v>86</v>
      </c>
    </row>
    <row r="9" spans="1:26" ht="15" customHeight="1" x14ac:dyDescent="0.25">
      <c r="B9" s="13" t="s">
        <v>87</v>
      </c>
      <c r="C9" s="21">
        <v>1500000</v>
      </c>
      <c r="H9" s="18" t="s">
        <v>82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  <c r="X9" t="s">
        <v>58</v>
      </c>
      <c r="Y9" t="s">
        <v>59</v>
      </c>
      <c r="Z9" t="s">
        <v>93</v>
      </c>
    </row>
    <row r="10" spans="1:26" ht="15" customHeight="1" x14ac:dyDescent="0.25">
      <c r="B10" s="13" t="s">
        <v>94</v>
      </c>
      <c r="C10" s="22">
        <v>0.105</v>
      </c>
      <c r="H10" s="18" t="s">
        <v>95</v>
      </c>
      <c r="S10" t="s">
        <v>96</v>
      </c>
      <c r="T10" t="s">
        <v>97</v>
      </c>
      <c r="U10" t="s">
        <v>98</v>
      </c>
      <c r="V10" t="s">
        <v>99</v>
      </c>
      <c r="W10" t="s">
        <v>100</v>
      </c>
      <c r="X10" t="s">
        <v>101</v>
      </c>
      <c r="Y10" t="s">
        <v>102</v>
      </c>
      <c r="Z10" t="s">
        <v>103</v>
      </c>
    </row>
    <row r="11" spans="1:26" ht="15" customHeight="1" x14ac:dyDescent="0.25">
      <c r="B11" s="13" t="s">
        <v>104</v>
      </c>
      <c r="C11" s="23">
        <v>60</v>
      </c>
      <c r="H11" s="18" t="s">
        <v>105</v>
      </c>
      <c r="S11" t="s">
        <v>106</v>
      </c>
      <c r="T11" t="s">
        <v>107</v>
      </c>
      <c r="U11" t="s">
        <v>108</v>
      </c>
      <c r="V11" t="s">
        <v>109</v>
      </c>
      <c r="W11" t="s">
        <v>110</v>
      </c>
      <c r="X11" t="s">
        <v>111</v>
      </c>
      <c r="Y11" t="s">
        <v>112</v>
      </c>
      <c r="Z11" t="s">
        <v>113</v>
      </c>
    </row>
    <row r="12" spans="1:26" ht="15" customHeight="1" x14ac:dyDescent="0.25">
      <c r="B12" s="13" t="s">
        <v>114</v>
      </c>
      <c r="C12" s="23">
        <v>6</v>
      </c>
      <c r="H12" s="18" t="s">
        <v>115</v>
      </c>
      <c r="S12" t="s">
        <v>116</v>
      </c>
      <c r="T12" t="s">
        <v>117</v>
      </c>
      <c r="U12" t="s">
        <v>118</v>
      </c>
      <c r="V12" t="s">
        <v>119</v>
      </c>
      <c r="W12" t="s">
        <v>67</v>
      </c>
      <c r="X12" t="s">
        <v>120</v>
      </c>
      <c r="Y12" t="s">
        <v>121</v>
      </c>
      <c r="Z12" t="s">
        <v>122</v>
      </c>
    </row>
    <row r="13" spans="1:26" ht="15" customHeight="1" x14ac:dyDescent="0.25">
      <c r="B13" s="13" t="s">
        <v>123</v>
      </c>
      <c r="C13" s="22">
        <v>0.12</v>
      </c>
      <c r="H13" s="18" t="s">
        <v>95</v>
      </c>
      <c r="S13" t="s">
        <v>124</v>
      </c>
      <c r="T13" t="s">
        <v>125</v>
      </c>
      <c r="U13" t="s">
        <v>126</v>
      </c>
      <c r="V13" t="s">
        <v>127</v>
      </c>
      <c r="W13" t="s">
        <v>128</v>
      </c>
      <c r="X13" t="s">
        <v>129</v>
      </c>
      <c r="Y13" t="s">
        <v>130</v>
      </c>
      <c r="Z13" t="s">
        <v>70</v>
      </c>
    </row>
    <row r="14" spans="1:26" ht="15" customHeight="1" x14ac:dyDescent="0.25">
      <c r="B14" s="13" t="s">
        <v>131</v>
      </c>
      <c r="C14" s="22">
        <v>0.25</v>
      </c>
      <c r="H14" s="18" t="s">
        <v>132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  <c r="X14" t="s">
        <v>138</v>
      </c>
      <c r="Y14" t="s">
        <v>139</v>
      </c>
      <c r="Z14" t="s">
        <v>140</v>
      </c>
    </row>
    <row r="15" spans="1:26" ht="18" customHeight="1" x14ac:dyDescent="0.25">
      <c r="B15" s="2" t="s">
        <v>141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S15" t="s">
        <v>142</v>
      </c>
      <c r="T15" t="s">
        <v>143</v>
      </c>
      <c r="U15" t="s">
        <v>144</v>
      </c>
      <c r="V15" t="s">
        <v>145</v>
      </c>
      <c r="W15" t="s">
        <v>146</v>
      </c>
      <c r="X15" t="s">
        <v>147</v>
      </c>
      <c r="Y15" t="s">
        <v>148</v>
      </c>
      <c r="Z15" t="s">
        <v>149</v>
      </c>
    </row>
    <row r="16" spans="1:26" ht="15" customHeight="1" x14ac:dyDescent="0.25">
      <c r="B16" s="13" t="str">
        <f>IFERROR(VLOOKUP($J$5,$S$5:$Z$21,2,FALSE()),"Installed Capacity")</f>
        <v>Installed Capacity</v>
      </c>
      <c r="C16" s="21">
        <v>12000000</v>
      </c>
      <c r="H16" s="18" t="s">
        <v>150</v>
      </c>
      <c r="S16" t="s">
        <v>151</v>
      </c>
      <c r="T16" t="s">
        <v>152</v>
      </c>
      <c r="U16" t="s">
        <v>153</v>
      </c>
      <c r="V16" t="s">
        <v>154</v>
      </c>
      <c r="W16" t="s">
        <v>155</v>
      </c>
      <c r="X16" t="s">
        <v>156</v>
      </c>
      <c r="Y16" t="s">
        <v>157</v>
      </c>
      <c r="Z16" t="s">
        <v>158</v>
      </c>
    </row>
    <row r="17" spans="2:26" ht="15" customHeight="1" x14ac:dyDescent="0.25">
      <c r="B17" s="13" t="s">
        <v>159</v>
      </c>
      <c r="C17" s="24" t="s">
        <v>160</v>
      </c>
      <c r="D17" s="24" t="s">
        <v>161</v>
      </c>
      <c r="E17" s="24" t="s">
        <v>162</v>
      </c>
      <c r="F17" s="24" t="s">
        <v>163</v>
      </c>
      <c r="G17" s="24" t="s">
        <v>164</v>
      </c>
      <c r="S17" t="s">
        <v>165</v>
      </c>
      <c r="T17" t="s">
        <v>166</v>
      </c>
      <c r="U17" t="s">
        <v>55</v>
      </c>
      <c r="V17" t="s">
        <v>167</v>
      </c>
      <c r="W17" t="s">
        <v>168</v>
      </c>
      <c r="X17" t="s">
        <v>58</v>
      </c>
      <c r="Y17" t="s">
        <v>59</v>
      </c>
      <c r="Z17" t="s">
        <v>86</v>
      </c>
    </row>
    <row r="18" spans="2:26" ht="15" customHeight="1" x14ac:dyDescent="0.25">
      <c r="B18" s="13" t="s">
        <v>169</v>
      </c>
      <c r="C18" s="25">
        <v>0.6</v>
      </c>
      <c r="D18" s="25">
        <v>0.65</v>
      </c>
      <c r="E18" s="25">
        <v>0.7</v>
      </c>
      <c r="F18" s="25">
        <v>0.75</v>
      </c>
      <c r="G18" s="25">
        <v>0.8</v>
      </c>
      <c r="H18" s="18" t="s">
        <v>132</v>
      </c>
      <c r="S18" t="s">
        <v>170</v>
      </c>
      <c r="T18" t="s">
        <v>171</v>
      </c>
      <c r="U18" t="s">
        <v>55</v>
      </c>
      <c r="V18" t="s">
        <v>172</v>
      </c>
      <c r="W18" t="s">
        <v>173</v>
      </c>
      <c r="X18" t="s">
        <v>58</v>
      </c>
      <c r="Y18" t="s">
        <v>59</v>
      </c>
      <c r="Z18" t="s">
        <v>86</v>
      </c>
    </row>
    <row r="19" spans="2:26" ht="18" customHeight="1" x14ac:dyDescent="0.25">
      <c r="B19" s="2" t="s">
        <v>174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S19" t="s">
        <v>175</v>
      </c>
      <c r="T19" t="s">
        <v>176</v>
      </c>
      <c r="U19" t="s">
        <v>177</v>
      </c>
      <c r="V19" t="s">
        <v>178</v>
      </c>
      <c r="W19" t="s">
        <v>179</v>
      </c>
      <c r="X19" t="s">
        <v>180</v>
      </c>
      <c r="Y19" t="s">
        <v>181</v>
      </c>
      <c r="Z19" t="s">
        <v>182</v>
      </c>
    </row>
    <row r="20" spans="2:26" ht="15" customHeight="1" x14ac:dyDescent="0.25">
      <c r="B20" s="13" t="s">
        <v>183</v>
      </c>
      <c r="C20" s="24" t="s">
        <v>184</v>
      </c>
      <c r="D20" s="24" t="s">
        <v>185</v>
      </c>
      <c r="E20" s="24" t="s">
        <v>186</v>
      </c>
      <c r="F20" s="24" t="s">
        <v>187</v>
      </c>
      <c r="G20" s="24" t="s">
        <v>188</v>
      </c>
      <c r="H20" s="24" t="s">
        <v>189</v>
      </c>
      <c r="I20" s="24" t="s">
        <v>190</v>
      </c>
      <c r="J20" s="24" t="s">
        <v>191</v>
      </c>
      <c r="K20" s="24" t="s">
        <v>192</v>
      </c>
      <c r="L20" s="24" t="s">
        <v>193</v>
      </c>
      <c r="M20" s="24" t="s">
        <v>194</v>
      </c>
      <c r="N20" s="24" t="s">
        <v>195</v>
      </c>
      <c r="S20" t="s">
        <v>196</v>
      </c>
      <c r="T20" t="s">
        <v>197</v>
      </c>
      <c r="U20" t="s">
        <v>198</v>
      </c>
      <c r="V20" t="s">
        <v>199</v>
      </c>
      <c r="W20" t="s">
        <v>200</v>
      </c>
      <c r="X20" t="s">
        <v>201</v>
      </c>
      <c r="Y20" t="s">
        <v>202</v>
      </c>
      <c r="Z20" t="s">
        <v>203</v>
      </c>
    </row>
    <row r="21" spans="2:26" ht="15" customHeight="1" x14ac:dyDescent="0.25">
      <c r="B21" s="13" t="s">
        <v>204</v>
      </c>
      <c r="C21" s="26">
        <v>0.08</v>
      </c>
      <c r="D21" s="26">
        <v>0.08</v>
      </c>
      <c r="E21" s="26">
        <v>0.08</v>
      </c>
      <c r="F21" s="26">
        <v>0.09</v>
      </c>
      <c r="G21" s="26">
        <v>0.09</v>
      </c>
      <c r="H21" s="26">
        <v>0.09</v>
      </c>
      <c r="I21" s="26">
        <v>0.08</v>
      </c>
      <c r="J21" s="26">
        <v>0.08</v>
      </c>
      <c r="K21" s="26">
        <v>0.08</v>
      </c>
      <c r="L21" s="26">
        <v>0.09</v>
      </c>
      <c r="M21" s="26">
        <v>0.09</v>
      </c>
      <c r="N21" s="26">
        <v>7.0000000000000007E-2</v>
      </c>
      <c r="S21" t="s">
        <v>205</v>
      </c>
      <c r="T21" t="s">
        <v>206</v>
      </c>
      <c r="U21" t="s">
        <v>207</v>
      </c>
      <c r="V21" t="s">
        <v>208</v>
      </c>
      <c r="W21" t="s">
        <v>209</v>
      </c>
      <c r="X21" t="s">
        <v>58</v>
      </c>
      <c r="Y21" t="s">
        <v>59</v>
      </c>
      <c r="Z21" t="s">
        <v>210</v>
      </c>
    </row>
    <row r="22" spans="2:26" ht="18" customHeight="1" x14ac:dyDescent="0.25">
      <c r="B22" s="2" t="s">
        <v>211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26" ht="15" customHeight="1" x14ac:dyDescent="0.25">
      <c r="B23" s="13" t="s">
        <v>212</v>
      </c>
      <c r="C23" s="27">
        <v>5</v>
      </c>
      <c r="H23" s="18" t="s">
        <v>213</v>
      </c>
    </row>
    <row r="24" spans="2:26" ht="15" customHeight="1" x14ac:dyDescent="0.25">
      <c r="B24" s="13" t="s">
        <v>214</v>
      </c>
      <c r="C24" s="25">
        <v>0.04</v>
      </c>
      <c r="H24" s="18" t="s">
        <v>132</v>
      </c>
    </row>
    <row r="25" spans="2:26" ht="15" customHeight="1" x14ac:dyDescent="0.25">
      <c r="B25" s="13" t="str">
        <f>IFERROR(VLOOKUP($J$5,$S$5:$Z$21,4,FALSE()),"Raw material cost per unit (Year 1)")</f>
        <v>Raw material cost per unit (Year 1)</v>
      </c>
      <c r="C25" s="27">
        <v>2.5</v>
      </c>
      <c r="H25" s="18" t="s">
        <v>213</v>
      </c>
    </row>
    <row r="26" spans="2:26" ht="15" customHeight="1" x14ac:dyDescent="0.25">
      <c r="B26" s="13" t="s">
        <v>215</v>
      </c>
      <c r="C26" s="25">
        <v>0.05</v>
      </c>
      <c r="H26" s="18" t="s">
        <v>132</v>
      </c>
    </row>
    <row r="27" spans="2:26" ht="15" customHeight="1" x14ac:dyDescent="0.25">
      <c r="B27" s="13" t="str">
        <f>IFERROR(VLOOKUP($J$5,$S$5:$Z$21,6,FALSE()),"Power &amp; fuel cost per unit (Year 1)")</f>
        <v>Power &amp; fuel cost per unit (Year 1)</v>
      </c>
      <c r="C27" s="27">
        <v>0.3</v>
      </c>
      <c r="H27" s="18" t="s">
        <v>213</v>
      </c>
    </row>
    <row r="28" spans="2:26" ht="15" customHeight="1" x14ac:dyDescent="0.25">
      <c r="B28" s="13" t="s">
        <v>216</v>
      </c>
      <c r="C28" s="25">
        <v>0.06</v>
      </c>
      <c r="H28" s="18" t="s">
        <v>132</v>
      </c>
    </row>
    <row r="29" spans="2:26" ht="15" customHeight="1" x14ac:dyDescent="0.25">
      <c r="B29" s="13" t="s">
        <v>217</v>
      </c>
      <c r="C29" s="27">
        <v>0.2</v>
      </c>
      <c r="H29" s="18" t="s">
        <v>213</v>
      </c>
    </row>
    <row r="30" spans="2:26" ht="15" customHeight="1" x14ac:dyDescent="0.25">
      <c r="B30" s="13" t="s">
        <v>218</v>
      </c>
      <c r="C30" s="25">
        <v>0.04</v>
      </c>
      <c r="H30" s="18" t="s">
        <v>132</v>
      </c>
    </row>
    <row r="31" spans="2:26" ht="18" customHeight="1" x14ac:dyDescent="0.25">
      <c r="B31" s="2" t="s">
        <v>219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26" ht="15" customHeight="1" x14ac:dyDescent="0.25">
      <c r="B32" s="13" t="s">
        <v>220</v>
      </c>
      <c r="C32" s="21">
        <v>150000</v>
      </c>
      <c r="H32" s="18" t="s">
        <v>221</v>
      </c>
    </row>
    <row r="33" spans="2:15" ht="15" customHeight="1" x14ac:dyDescent="0.25">
      <c r="B33" s="13" t="s">
        <v>222</v>
      </c>
      <c r="C33" s="25">
        <v>0.05</v>
      </c>
      <c r="H33" s="18" t="s">
        <v>132</v>
      </c>
    </row>
    <row r="34" spans="2:15" ht="15" customHeight="1" x14ac:dyDescent="0.25">
      <c r="B34" s="13" t="s">
        <v>223</v>
      </c>
      <c r="C34" s="21">
        <v>100000</v>
      </c>
      <c r="H34" s="18" t="s">
        <v>221</v>
      </c>
    </row>
    <row r="35" spans="2:15" ht="15" customHeight="1" x14ac:dyDescent="0.25">
      <c r="B35" s="13" t="s">
        <v>224</v>
      </c>
      <c r="C35" s="25">
        <v>0.05</v>
      </c>
      <c r="H35" s="18" t="s">
        <v>132</v>
      </c>
    </row>
    <row r="36" spans="2:15" ht="15" customHeight="1" x14ac:dyDescent="0.25">
      <c r="B36" s="13" t="s">
        <v>225</v>
      </c>
      <c r="C36" s="21">
        <v>30000</v>
      </c>
      <c r="H36" s="18" t="s">
        <v>221</v>
      </c>
    </row>
    <row r="37" spans="2:15" ht="15" customHeight="1" x14ac:dyDescent="0.25">
      <c r="B37" s="13" t="s">
        <v>226</v>
      </c>
      <c r="C37" s="25">
        <v>0.04</v>
      </c>
      <c r="H37" s="18" t="s">
        <v>132</v>
      </c>
    </row>
    <row r="38" spans="2:15" ht="15" customHeight="1" x14ac:dyDescent="0.25">
      <c r="B38" s="13" t="s">
        <v>227</v>
      </c>
      <c r="C38" s="21">
        <v>50000</v>
      </c>
      <c r="H38" s="18" t="s">
        <v>221</v>
      </c>
    </row>
    <row r="39" spans="2:15" ht="15" customHeight="1" x14ac:dyDescent="0.25">
      <c r="B39" s="13" t="s">
        <v>228</v>
      </c>
      <c r="C39" s="25">
        <v>0.04</v>
      </c>
      <c r="H39" s="18" t="s">
        <v>132</v>
      </c>
    </row>
    <row r="40" spans="2:15" ht="15" customHeight="1" x14ac:dyDescent="0.25">
      <c r="B40" s="13" t="s">
        <v>229</v>
      </c>
      <c r="C40" s="25">
        <v>0.02</v>
      </c>
      <c r="H40" s="18" t="s">
        <v>230</v>
      </c>
    </row>
    <row r="41" spans="2:15" ht="18" customHeight="1" x14ac:dyDescent="0.25">
      <c r="B41" s="2" t="s">
        <v>231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ht="15" customHeight="1" x14ac:dyDescent="0.25">
      <c r="B42" s="13" t="s">
        <v>232</v>
      </c>
      <c r="C42" s="21">
        <v>0</v>
      </c>
      <c r="H42" s="18" t="s">
        <v>82</v>
      </c>
    </row>
    <row r="43" spans="2:15" ht="15" customHeight="1" x14ac:dyDescent="0.25">
      <c r="B43" s="13" t="s">
        <v>233</v>
      </c>
      <c r="C43" s="21">
        <v>0</v>
      </c>
      <c r="H43" s="18" t="s">
        <v>82</v>
      </c>
    </row>
    <row r="44" spans="2:15" ht="15" customHeight="1" x14ac:dyDescent="0.25">
      <c r="B44" s="13" t="s">
        <v>234</v>
      </c>
      <c r="C44" s="25">
        <v>0.1</v>
      </c>
      <c r="H44" s="18" t="s">
        <v>132</v>
      </c>
    </row>
    <row r="45" spans="2:15" ht="15" customHeight="1" x14ac:dyDescent="0.25">
      <c r="B45" s="13" t="s">
        <v>235</v>
      </c>
      <c r="C45" s="21">
        <v>6000000</v>
      </c>
      <c r="H45" s="18" t="s">
        <v>82</v>
      </c>
    </row>
    <row r="46" spans="2:15" ht="15" customHeight="1" x14ac:dyDescent="0.25">
      <c r="B46" s="13" t="s">
        <v>236</v>
      </c>
      <c r="C46" s="25">
        <v>0.15</v>
      </c>
      <c r="H46" s="18" t="s">
        <v>132</v>
      </c>
    </row>
    <row r="47" spans="2:15" ht="15" customHeight="1" x14ac:dyDescent="0.25">
      <c r="B47" s="13" t="s">
        <v>237</v>
      </c>
      <c r="C47" s="21">
        <v>200000</v>
      </c>
      <c r="H47" s="18" t="s">
        <v>82</v>
      </c>
    </row>
    <row r="48" spans="2:15" ht="15" customHeight="1" x14ac:dyDescent="0.25">
      <c r="B48" s="13" t="s">
        <v>238</v>
      </c>
      <c r="C48" s="25">
        <v>0.1</v>
      </c>
      <c r="H48" s="18" t="s">
        <v>132</v>
      </c>
    </row>
    <row r="49" spans="2:16" ht="18" customHeight="1" x14ac:dyDescent="0.25">
      <c r="B49" s="2" t="s">
        <v>239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6" ht="15" customHeight="1" x14ac:dyDescent="0.25">
      <c r="B50" s="13" t="s">
        <v>240</v>
      </c>
      <c r="C50" s="23">
        <v>15</v>
      </c>
      <c r="H50" s="18" t="s">
        <v>241</v>
      </c>
    </row>
    <row r="51" spans="2:16" ht="15" customHeight="1" x14ac:dyDescent="0.25">
      <c r="B51" s="13" t="s">
        <v>242</v>
      </c>
      <c r="C51" s="23">
        <v>10</v>
      </c>
      <c r="H51" s="18" t="s">
        <v>241</v>
      </c>
    </row>
    <row r="52" spans="2:16" ht="15" customHeight="1" x14ac:dyDescent="0.25">
      <c r="B52" s="13" t="s">
        <v>243</v>
      </c>
      <c r="C52" s="23">
        <v>30</v>
      </c>
      <c r="H52" s="18" t="s">
        <v>241</v>
      </c>
    </row>
    <row r="53" spans="2:16" ht="15" customHeight="1" x14ac:dyDescent="0.25">
      <c r="B53" s="13" t="s">
        <v>244</v>
      </c>
      <c r="C53" s="23">
        <v>45</v>
      </c>
      <c r="H53" s="18" t="s">
        <v>241</v>
      </c>
    </row>
    <row r="54" spans="2:16" ht="15" customHeight="1" x14ac:dyDescent="0.25">
      <c r="B54" s="13" t="s">
        <v>245</v>
      </c>
      <c r="C54" s="21">
        <v>200000</v>
      </c>
      <c r="H54" s="18" t="s">
        <v>82</v>
      </c>
    </row>
    <row r="55" spans="2:16" ht="15" customHeight="1" x14ac:dyDescent="0.25">
      <c r="B55" s="13" t="s">
        <v>246</v>
      </c>
      <c r="C55" s="25">
        <v>0.25</v>
      </c>
      <c r="H55" s="18" t="s">
        <v>132</v>
      </c>
      <c r="P55" s="28" t="s">
        <v>247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9">
    <mergeCell ref="B22:O22"/>
    <mergeCell ref="B31:O31"/>
    <mergeCell ref="B41:O41"/>
    <mergeCell ref="B49:O49"/>
    <mergeCell ref="A1:O1"/>
    <mergeCell ref="A2:O2"/>
    <mergeCell ref="B4:O4"/>
    <mergeCell ref="B15:O15"/>
    <mergeCell ref="B19:O19"/>
  </mergeCells>
  <dataValidations count="1">
    <dataValidation type="list" allowBlank="1" sqref="J5" xr:uid="{00000000-0002-0000-0100-000000000000}">
      <formula1>$S$5:$S$21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N1"/>
    </sheetView>
  </sheetViews>
  <sheetFormatPr defaultColWidth="8.7109375" defaultRowHeight="15" x14ac:dyDescent="0.25"/>
  <cols>
    <col min="1" max="1" width="34" customWidth="1"/>
    <col min="2" max="13" width="10" customWidth="1"/>
    <col min="14" max="14" width="13" customWidth="1"/>
    <col min="15" max="26" width="10" customWidth="1"/>
    <col min="27" max="27" width="13" customWidth="1"/>
    <col min="28" max="39" width="10" customWidth="1"/>
    <col min="40" max="40" width="13" customWidth="1"/>
    <col min="41" max="52" width="10" customWidth="1"/>
    <col min="53" max="53" width="13" customWidth="1"/>
    <col min="54" max="65" width="10" customWidth="1"/>
    <col min="66" max="66" width="13" customWidth="1"/>
  </cols>
  <sheetData>
    <row r="1" spans="1:66" ht="25.5" customHeight="1" x14ac:dyDescent="0.25">
      <c r="A1" s="9" t="s">
        <v>248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15" customHeight="1" x14ac:dyDescent="0.25">
      <c r="A2" s="8" t="s">
        <v>249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</row>
    <row r="3" spans="1:66" ht="15.75" customHeight="1" x14ac:dyDescent="0.25">
      <c r="A3" s="29"/>
      <c r="B3" s="1" t="s">
        <v>250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252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253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254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.75" customHeight="1" x14ac:dyDescent="0.25">
      <c r="A4" s="31" t="s">
        <v>255</v>
      </c>
      <c r="B4" s="30" t="s">
        <v>184</v>
      </c>
      <c r="C4" s="30" t="s">
        <v>185</v>
      </c>
      <c r="D4" s="30" t="s">
        <v>186</v>
      </c>
      <c r="E4" s="30" t="s">
        <v>187</v>
      </c>
      <c r="F4" s="30" t="s">
        <v>188</v>
      </c>
      <c r="G4" s="30" t="s">
        <v>189</v>
      </c>
      <c r="H4" s="30" t="s">
        <v>190</v>
      </c>
      <c r="I4" s="30" t="s">
        <v>191</v>
      </c>
      <c r="J4" s="30" t="s">
        <v>192</v>
      </c>
      <c r="K4" s="30" t="s">
        <v>193</v>
      </c>
      <c r="L4" s="30" t="s">
        <v>194</v>
      </c>
      <c r="M4" s="30" t="s">
        <v>195</v>
      </c>
      <c r="N4" s="32" t="s">
        <v>256</v>
      </c>
      <c r="O4" s="30" t="s">
        <v>257</v>
      </c>
      <c r="P4" s="30" t="s">
        <v>258</v>
      </c>
      <c r="Q4" s="30" t="s">
        <v>259</v>
      </c>
      <c r="R4" s="30" t="s">
        <v>260</v>
      </c>
      <c r="S4" s="30" t="s">
        <v>261</v>
      </c>
      <c r="T4" s="30" t="s">
        <v>262</v>
      </c>
      <c r="U4" s="30" t="s">
        <v>263</v>
      </c>
      <c r="V4" s="30" t="s">
        <v>264</v>
      </c>
      <c r="W4" s="30" t="s">
        <v>265</v>
      </c>
      <c r="X4" s="30" t="s">
        <v>266</v>
      </c>
      <c r="Y4" s="30" t="s">
        <v>267</v>
      </c>
      <c r="Z4" s="30" t="s">
        <v>268</v>
      </c>
      <c r="AA4" s="32" t="s">
        <v>269</v>
      </c>
      <c r="AB4" s="30" t="s">
        <v>270</v>
      </c>
      <c r="AC4" s="30" t="s">
        <v>271</v>
      </c>
      <c r="AD4" s="30" t="s">
        <v>272</v>
      </c>
      <c r="AE4" s="30" t="s">
        <v>273</v>
      </c>
      <c r="AF4" s="30" t="s">
        <v>274</v>
      </c>
      <c r="AG4" s="30" t="s">
        <v>275</v>
      </c>
      <c r="AH4" s="30" t="s">
        <v>276</v>
      </c>
      <c r="AI4" s="30" t="s">
        <v>277</v>
      </c>
      <c r="AJ4" s="30" t="s">
        <v>278</v>
      </c>
      <c r="AK4" s="30" t="s">
        <v>279</v>
      </c>
      <c r="AL4" s="30" t="s">
        <v>280</v>
      </c>
      <c r="AM4" s="30" t="s">
        <v>281</v>
      </c>
      <c r="AN4" s="32" t="s">
        <v>282</v>
      </c>
      <c r="AO4" s="30" t="s">
        <v>283</v>
      </c>
      <c r="AP4" s="30" t="s">
        <v>284</v>
      </c>
      <c r="AQ4" s="30" t="s">
        <v>285</v>
      </c>
      <c r="AR4" s="30" t="s">
        <v>286</v>
      </c>
      <c r="AS4" s="30" t="s">
        <v>287</v>
      </c>
      <c r="AT4" s="30" t="s">
        <v>288</v>
      </c>
      <c r="AU4" s="30" t="s">
        <v>289</v>
      </c>
      <c r="AV4" s="30" t="s">
        <v>290</v>
      </c>
      <c r="AW4" s="30" t="s">
        <v>291</v>
      </c>
      <c r="AX4" s="30" t="s">
        <v>292</v>
      </c>
      <c r="AY4" s="30" t="s">
        <v>293</v>
      </c>
      <c r="AZ4" s="30" t="s">
        <v>294</v>
      </c>
      <c r="BA4" s="32" t="s">
        <v>295</v>
      </c>
      <c r="BB4" s="30" t="s">
        <v>296</v>
      </c>
      <c r="BC4" s="30" t="s">
        <v>297</v>
      </c>
      <c r="BD4" s="30" t="s">
        <v>298</v>
      </c>
      <c r="BE4" s="30" t="s">
        <v>299</v>
      </c>
      <c r="BF4" s="30" t="s">
        <v>300</v>
      </c>
      <c r="BG4" s="30" t="s">
        <v>301</v>
      </c>
      <c r="BH4" s="30" t="s">
        <v>302</v>
      </c>
      <c r="BI4" s="30" t="s">
        <v>303</v>
      </c>
      <c r="BJ4" s="30" t="s">
        <v>304</v>
      </c>
      <c r="BK4" s="30" t="s">
        <v>305</v>
      </c>
      <c r="BL4" s="30" t="s">
        <v>306</v>
      </c>
      <c r="BM4" s="30" t="s">
        <v>307</v>
      </c>
      <c r="BN4" s="32" t="s">
        <v>308</v>
      </c>
    </row>
    <row r="5" spans="1:66" ht="15" customHeight="1" x14ac:dyDescent="0.25">
      <c r="A5" s="13" t="s">
        <v>309</v>
      </c>
      <c r="B5" s="33">
        <f>Assumptions!$C$18</f>
        <v>0.6</v>
      </c>
      <c r="C5" s="33">
        <f>Assumptions!$C$18</f>
        <v>0.6</v>
      </c>
      <c r="D5" s="33">
        <f>Assumptions!$C$18</f>
        <v>0.6</v>
      </c>
      <c r="E5" s="33">
        <f>Assumptions!$C$18</f>
        <v>0.6</v>
      </c>
      <c r="F5" s="33">
        <f>Assumptions!$C$18</f>
        <v>0.6</v>
      </c>
      <c r="G5" s="33">
        <f>Assumptions!$C$18</f>
        <v>0.6</v>
      </c>
      <c r="H5" s="33">
        <f>Assumptions!$C$18</f>
        <v>0.6</v>
      </c>
      <c r="I5" s="33">
        <f>Assumptions!$C$18</f>
        <v>0.6</v>
      </c>
      <c r="J5" s="33">
        <f>Assumptions!$C$18</f>
        <v>0.6</v>
      </c>
      <c r="K5" s="33">
        <f>Assumptions!$C$18</f>
        <v>0.6</v>
      </c>
      <c r="L5" s="33">
        <f>Assumptions!$C$18</f>
        <v>0.6</v>
      </c>
      <c r="M5" s="33">
        <f>Assumptions!$C$18</f>
        <v>0.6</v>
      </c>
      <c r="N5" s="34">
        <f>Assumptions!$C$18</f>
        <v>0.6</v>
      </c>
      <c r="O5" s="33">
        <f>Assumptions!$D$18</f>
        <v>0.65</v>
      </c>
      <c r="P5" s="33">
        <f>Assumptions!$D$18</f>
        <v>0.65</v>
      </c>
      <c r="Q5" s="33">
        <f>Assumptions!$D$18</f>
        <v>0.65</v>
      </c>
      <c r="R5" s="33">
        <f>Assumptions!$D$18</f>
        <v>0.65</v>
      </c>
      <c r="S5" s="33">
        <f>Assumptions!$D$18</f>
        <v>0.65</v>
      </c>
      <c r="T5" s="33">
        <f>Assumptions!$D$18</f>
        <v>0.65</v>
      </c>
      <c r="U5" s="33">
        <f>Assumptions!$D$18</f>
        <v>0.65</v>
      </c>
      <c r="V5" s="33">
        <f>Assumptions!$D$18</f>
        <v>0.65</v>
      </c>
      <c r="W5" s="33">
        <f>Assumptions!$D$18</f>
        <v>0.65</v>
      </c>
      <c r="X5" s="33">
        <f>Assumptions!$D$18</f>
        <v>0.65</v>
      </c>
      <c r="Y5" s="33">
        <f>Assumptions!$D$18</f>
        <v>0.65</v>
      </c>
      <c r="Z5" s="33">
        <f>Assumptions!$D$18</f>
        <v>0.65</v>
      </c>
      <c r="AA5" s="34">
        <f>Assumptions!$D$18</f>
        <v>0.65</v>
      </c>
      <c r="AB5" s="33">
        <f>Assumptions!$E$18</f>
        <v>0.7</v>
      </c>
      <c r="AC5" s="33">
        <f>Assumptions!$E$18</f>
        <v>0.7</v>
      </c>
      <c r="AD5" s="33">
        <f>Assumptions!$E$18</f>
        <v>0.7</v>
      </c>
      <c r="AE5" s="33">
        <f>Assumptions!$E$18</f>
        <v>0.7</v>
      </c>
      <c r="AF5" s="33">
        <f>Assumptions!$E$18</f>
        <v>0.7</v>
      </c>
      <c r="AG5" s="33">
        <f>Assumptions!$E$18</f>
        <v>0.7</v>
      </c>
      <c r="AH5" s="33">
        <f>Assumptions!$E$18</f>
        <v>0.7</v>
      </c>
      <c r="AI5" s="33">
        <f>Assumptions!$E$18</f>
        <v>0.7</v>
      </c>
      <c r="AJ5" s="33">
        <f>Assumptions!$E$18</f>
        <v>0.7</v>
      </c>
      <c r="AK5" s="33">
        <f>Assumptions!$E$18</f>
        <v>0.7</v>
      </c>
      <c r="AL5" s="33">
        <f>Assumptions!$E$18</f>
        <v>0.7</v>
      </c>
      <c r="AM5" s="33">
        <f>Assumptions!$E$18</f>
        <v>0.7</v>
      </c>
      <c r="AN5" s="34">
        <f>Assumptions!$E$18</f>
        <v>0.7</v>
      </c>
      <c r="AO5" s="33">
        <f>Assumptions!$F$18</f>
        <v>0.75</v>
      </c>
      <c r="AP5" s="33">
        <f>Assumptions!$F$18</f>
        <v>0.75</v>
      </c>
      <c r="AQ5" s="33">
        <f>Assumptions!$F$18</f>
        <v>0.75</v>
      </c>
      <c r="AR5" s="33">
        <f>Assumptions!$F$18</f>
        <v>0.75</v>
      </c>
      <c r="AS5" s="33">
        <f>Assumptions!$F$18</f>
        <v>0.75</v>
      </c>
      <c r="AT5" s="33">
        <f>Assumptions!$F$18</f>
        <v>0.75</v>
      </c>
      <c r="AU5" s="33">
        <f>Assumptions!$F$18</f>
        <v>0.75</v>
      </c>
      <c r="AV5" s="33">
        <f>Assumptions!$F$18</f>
        <v>0.75</v>
      </c>
      <c r="AW5" s="33">
        <f>Assumptions!$F$18</f>
        <v>0.75</v>
      </c>
      <c r="AX5" s="33">
        <f>Assumptions!$F$18</f>
        <v>0.75</v>
      </c>
      <c r="AY5" s="33">
        <f>Assumptions!$F$18</f>
        <v>0.75</v>
      </c>
      <c r="AZ5" s="33">
        <f>Assumptions!$F$18</f>
        <v>0.75</v>
      </c>
      <c r="BA5" s="34">
        <f>Assumptions!$F$18</f>
        <v>0.75</v>
      </c>
      <c r="BB5" s="33">
        <f>Assumptions!$G$18</f>
        <v>0.8</v>
      </c>
      <c r="BC5" s="33">
        <f>Assumptions!$G$18</f>
        <v>0.8</v>
      </c>
      <c r="BD5" s="33">
        <f>Assumptions!$G$18</f>
        <v>0.8</v>
      </c>
      <c r="BE5" s="33">
        <f>Assumptions!$G$18</f>
        <v>0.8</v>
      </c>
      <c r="BF5" s="33">
        <f>Assumptions!$G$18</f>
        <v>0.8</v>
      </c>
      <c r="BG5" s="33">
        <f>Assumptions!$G$18</f>
        <v>0.8</v>
      </c>
      <c r="BH5" s="33">
        <f>Assumptions!$G$18</f>
        <v>0.8</v>
      </c>
      <c r="BI5" s="33">
        <f>Assumptions!$G$18</f>
        <v>0.8</v>
      </c>
      <c r="BJ5" s="33">
        <f>Assumptions!$G$18</f>
        <v>0.8</v>
      </c>
      <c r="BK5" s="33">
        <f>Assumptions!$G$18</f>
        <v>0.8</v>
      </c>
      <c r="BL5" s="33">
        <f>Assumptions!$G$18</f>
        <v>0.8</v>
      </c>
      <c r="BM5" s="33">
        <f>Assumptions!$G$18</f>
        <v>0.8</v>
      </c>
      <c r="BN5" s="34">
        <f>Assumptions!$G$18</f>
        <v>0.8</v>
      </c>
    </row>
    <row r="6" spans="1:66" ht="15" customHeight="1" x14ac:dyDescent="0.25">
      <c r="A6" s="35" t="str">
        <f>IFERROR(VLOOKUP(Assumptions!$J$5,Assumptions!$S$5:$Z$21,3,FALSE()),"Production (units)")</f>
        <v>Production (units)</v>
      </c>
      <c r="B6" s="36">
        <f>(Assumptions!$C$16*Assumptions!$C$18/12)*IF(SUM(Assumptions!$C$21:$N$21)=0,1,12*Assumptions!$C$21/SUM(Assumptions!$C$21:$N$21))</f>
        <v>576000.00000000012</v>
      </c>
      <c r="C6" s="36">
        <f>(Assumptions!$C$16*Assumptions!$C$18/12)*IF(SUM(Assumptions!$C$21:$N$21)=0,1,12*Assumptions!$D$21/SUM(Assumptions!$C$21:$N$21))</f>
        <v>576000.00000000012</v>
      </c>
      <c r="D6" s="36">
        <f>(Assumptions!$C$16*Assumptions!$C$18/12)*IF(SUM(Assumptions!$C$21:$N$21)=0,1,12*Assumptions!$E$21/SUM(Assumptions!$C$21:$N$21))</f>
        <v>576000.00000000012</v>
      </c>
      <c r="E6" s="36">
        <f>(Assumptions!$C$16*Assumptions!$C$18/12)*IF(SUM(Assumptions!$C$21:$N$21)=0,1,12*Assumptions!$F$21/SUM(Assumptions!$C$21:$N$21))</f>
        <v>648000.00000000023</v>
      </c>
      <c r="F6" s="36">
        <f>(Assumptions!$C$16*Assumptions!$C$18/12)*IF(SUM(Assumptions!$C$21:$N$21)=0,1,12*Assumptions!$G$21/SUM(Assumptions!$C$21:$N$21))</f>
        <v>648000.00000000023</v>
      </c>
      <c r="G6" s="36">
        <f>(Assumptions!$C$16*Assumptions!$C$18/12)*IF(SUM(Assumptions!$C$21:$N$21)=0,1,12*Assumptions!$H$21/SUM(Assumptions!$C$21:$N$21))</f>
        <v>648000.00000000023</v>
      </c>
      <c r="H6" s="36">
        <f>(Assumptions!$C$16*Assumptions!$C$18/12)*IF(SUM(Assumptions!$C$21:$N$21)=0,1,12*Assumptions!$I$21/SUM(Assumptions!$C$21:$N$21))</f>
        <v>576000.00000000012</v>
      </c>
      <c r="I6" s="36">
        <f>(Assumptions!$C$16*Assumptions!$C$18/12)*IF(SUM(Assumptions!$C$21:$N$21)=0,1,12*Assumptions!$J$21/SUM(Assumptions!$C$21:$N$21))</f>
        <v>576000.00000000012</v>
      </c>
      <c r="J6" s="36">
        <f>(Assumptions!$C$16*Assumptions!$C$18/12)*IF(SUM(Assumptions!$C$21:$N$21)=0,1,12*Assumptions!$K$21/SUM(Assumptions!$C$21:$N$21))</f>
        <v>576000.00000000012</v>
      </c>
      <c r="K6" s="36">
        <f>(Assumptions!$C$16*Assumptions!$C$18/12)*IF(SUM(Assumptions!$C$21:$N$21)=0,1,12*Assumptions!$L$21/SUM(Assumptions!$C$21:$N$21))</f>
        <v>648000.00000000023</v>
      </c>
      <c r="L6" s="36">
        <f>(Assumptions!$C$16*Assumptions!$C$18/12)*IF(SUM(Assumptions!$C$21:$N$21)=0,1,12*Assumptions!$M$21/SUM(Assumptions!$C$21:$N$21))</f>
        <v>648000.00000000023</v>
      </c>
      <c r="M6" s="36">
        <f>(Assumptions!$C$16*Assumptions!$C$18/12)*IF(SUM(Assumptions!$C$21:$N$21)=0,1,12*Assumptions!$N$21/SUM(Assumptions!$C$21:$N$21))</f>
        <v>504000.00000000017</v>
      </c>
      <c r="N6" s="37">
        <f>SUM(B6:M6)</f>
        <v>7200000.0000000009</v>
      </c>
      <c r="O6" s="36">
        <f>(Assumptions!$C$16*Assumptions!$D$18/12)*IF(SUM(Assumptions!$C$21:$N$21)=0,1,12*Assumptions!$C$21/SUM(Assumptions!$C$21:$N$21))</f>
        <v>624000.00000000012</v>
      </c>
      <c r="P6" s="36">
        <f>(Assumptions!$C$16*Assumptions!$D$18/12)*IF(SUM(Assumptions!$C$21:$N$21)=0,1,12*Assumptions!$D$21/SUM(Assumptions!$C$21:$N$21))</f>
        <v>624000.00000000012</v>
      </c>
      <c r="Q6" s="36">
        <f>(Assumptions!$C$16*Assumptions!$D$18/12)*IF(SUM(Assumptions!$C$21:$N$21)=0,1,12*Assumptions!$E$21/SUM(Assumptions!$C$21:$N$21))</f>
        <v>624000.00000000012</v>
      </c>
      <c r="R6" s="36">
        <f>(Assumptions!$C$16*Assumptions!$D$18/12)*IF(SUM(Assumptions!$C$21:$N$21)=0,1,12*Assumptions!$F$21/SUM(Assumptions!$C$21:$N$21))</f>
        <v>702000.00000000023</v>
      </c>
      <c r="S6" s="36">
        <f>(Assumptions!$C$16*Assumptions!$D$18/12)*IF(SUM(Assumptions!$C$21:$N$21)=0,1,12*Assumptions!$G$21/SUM(Assumptions!$C$21:$N$21))</f>
        <v>702000.00000000023</v>
      </c>
      <c r="T6" s="36">
        <f>(Assumptions!$C$16*Assumptions!$D$18/12)*IF(SUM(Assumptions!$C$21:$N$21)=0,1,12*Assumptions!$H$21/SUM(Assumptions!$C$21:$N$21))</f>
        <v>702000.00000000023</v>
      </c>
      <c r="U6" s="36">
        <f>(Assumptions!$C$16*Assumptions!$D$18/12)*IF(SUM(Assumptions!$C$21:$N$21)=0,1,12*Assumptions!$I$21/SUM(Assumptions!$C$21:$N$21))</f>
        <v>624000.00000000012</v>
      </c>
      <c r="V6" s="36">
        <f>(Assumptions!$C$16*Assumptions!$D$18/12)*IF(SUM(Assumptions!$C$21:$N$21)=0,1,12*Assumptions!$J$21/SUM(Assumptions!$C$21:$N$21))</f>
        <v>624000.00000000012</v>
      </c>
      <c r="W6" s="36">
        <f>(Assumptions!$C$16*Assumptions!$D$18/12)*IF(SUM(Assumptions!$C$21:$N$21)=0,1,12*Assumptions!$K$21/SUM(Assumptions!$C$21:$N$21))</f>
        <v>624000.00000000012</v>
      </c>
      <c r="X6" s="36">
        <f>(Assumptions!$C$16*Assumptions!$D$18/12)*IF(SUM(Assumptions!$C$21:$N$21)=0,1,12*Assumptions!$L$21/SUM(Assumptions!$C$21:$N$21))</f>
        <v>702000.00000000023</v>
      </c>
      <c r="Y6" s="36">
        <f>(Assumptions!$C$16*Assumptions!$D$18/12)*IF(SUM(Assumptions!$C$21:$N$21)=0,1,12*Assumptions!$M$21/SUM(Assumptions!$C$21:$N$21))</f>
        <v>702000.00000000023</v>
      </c>
      <c r="Z6" s="36">
        <f>(Assumptions!$C$16*Assumptions!$D$18/12)*IF(SUM(Assumptions!$C$21:$N$21)=0,1,12*Assumptions!$N$21/SUM(Assumptions!$C$21:$N$21))</f>
        <v>546000.00000000023</v>
      </c>
      <c r="AA6" s="37">
        <f>SUM(O6:Z6)</f>
        <v>7800000.0000000009</v>
      </c>
      <c r="AB6" s="36">
        <f>(Assumptions!$C$16*Assumptions!$E$18/12)*IF(SUM(Assumptions!$C$21:$N$21)=0,1,12*Assumptions!$C$21/SUM(Assumptions!$C$21:$N$21))</f>
        <v>672000.00000000012</v>
      </c>
      <c r="AC6" s="36">
        <f>(Assumptions!$C$16*Assumptions!$E$18/12)*IF(SUM(Assumptions!$C$21:$N$21)=0,1,12*Assumptions!$D$21/SUM(Assumptions!$C$21:$N$21))</f>
        <v>672000.00000000012</v>
      </c>
      <c r="AD6" s="36">
        <f>(Assumptions!$C$16*Assumptions!$E$18/12)*IF(SUM(Assumptions!$C$21:$N$21)=0,1,12*Assumptions!$E$21/SUM(Assumptions!$C$21:$N$21))</f>
        <v>672000.00000000012</v>
      </c>
      <c r="AE6" s="36">
        <f>(Assumptions!$C$16*Assumptions!$E$18/12)*IF(SUM(Assumptions!$C$21:$N$21)=0,1,12*Assumptions!$F$21/SUM(Assumptions!$C$21:$N$21))</f>
        <v>756000.00000000023</v>
      </c>
      <c r="AF6" s="36">
        <f>(Assumptions!$C$16*Assumptions!$E$18/12)*IF(SUM(Assumptions!$C$21:$N$21)=0,1,12*Assumptions!$G$21/SUM(Assumptions!$C$21:$N$21))</f>
        <v>756000.00000000023</v>
      </c>
      <c r="AG6" s="36">
        <f>(Assumptions!$C$16*Assumptions!$E$18/12)*IF(SUM(Assumptions!$C$21:$N$21)=0,1,12*Assumptions!$H$21/SUM(Assumptions!$C$21:$N$21))</f>
        <v>756000.00000000023</v>
      </c>
      <c r="AH6" s="36">
        <f>(Assumptions!$C$16*Assumptions!$E$18/12)*IF(SUM(Assumptions!$C$21:$N$21)=0,1,12*Assumptions!$I$21/SUM(Assumptions!$C$21:$N$21))</f>
        <v>672000.00000000012</v>
      </c>
      <c r="AI6" s="36">
        <f>(Assumptions!$C$16*Assumptions!$E$18/12)*IF(SUM(Assumptions!$C$21:$N$21)=0,1,12*Assumptions!$J$21/SUM(Assumptions!$C$21:$N$21))</f>
        <v>672000.00000000012</v>
      </c>
      <c r="AJ6" s="36">
        <f>(Assumptions!$C$16*Assumptions!$E$18/12)*IF(SUM(Assumptions!$C$21:$N$21)=0,1,12*Assumptions!$K$21/SUM(Assumptions!$C$21:$N$21))</f>
        <v>672000.00000000012</v>
      </c>
      <c r="AK6" s="36">
        <f>(Assumptions!$C$16*Assumptions!$E$18/12)*IF(SUM(Assumptions!$C$21:$N$21)=0,1,12*Assumptions!$L$21/SUM(Assumptions!$C$21:$N$21))</f>
        <v>756000.00000000023</v>
      </c>
      <c r="AL6" s="36">
        <f>(Assumptions!$C$16*Assumptions!$E$18/12)*IF(SUM(Assumptions!$C$21:$N$21)=0,1,12*Assumptions!$M$21/SUM(Assumptions!$C$21:$N$21))</f>
        <v>756000.00000000023</v>
      </c>
      <c r="AM6" s="36">
        <f>(Assumptions!$C$16*Assumptions!$E$18/12)*IF(SUM(Assumptions!$C$21:$N$21)=0,1,12*Assumptions!$N$21/SUM(Assumptions!$C$21:$N$21))</f>
        <v>588000.00000000023</v>
      </c>
      <c r="AN6" s="37">
        <f>SUM(AB6:AM6)</f>
        <v>8400000.0000000019</v>
      </c>
      <c r="AO6" s="36">
        <f>(Assumptions!$C$16*Assumptions!$F$18/12)*IF(SUM(Assumptions!$C$21:$N$21)=0,1,12*Assumptions!$C$21/SUM(Assumptions!$C$21:$N$21))</f>
        <v>720000.00000000012</v>
      </c>
      <c r="AP6" s="36">
        <f>(Assumptions!$C$16*Assumptions!$F$18/12)*IF(SUM(Assumptions!$C$21:$N$21)=0,1,12*Assumptions!$D$21/SUM(Assumptions!$C$21:$N$21))</f>
        <v>720000.00000000012</v>
      </c>
      <c r="AQ6" s="36">
        <f>(Assumptions!$C$16*Assumptions!$F$18/12)*IF(SUM(Assumptions!$C$21:$N$21)=0,1,12*Assumptions!$E$21/SUM(Assumptions!$C$21:$N$21))</f>
        <v>720000.00000000012</v>
      </c>
      <c r="AR6" s="36">
        <f>(Assumptions!$C$16*Assumptions!$F$18/12)*IF(SUM(Assumptions!$C$21:$N$21)=0,1,12*Assumptions!$F$21/SUM(Assumptions!$C$21:$N$21))</f>
        <v>810000.00000000023</v>
      </c>
      <c r="AS6" s="36">
        <f>(Assumptions!$C$16*Assumptions!$F$18/12)*IF(SUM(Assumptions!$C$21:$N$21)=0,1,12*Assumptions!$G$21/SUM(Assumptions!$C$21:$N$21))</f>
        <v>810000.00000000023</v>
      </c>
      <c r="AT6" s="36">
        <f>(Assumptions!$C$16*Assumptions!$F$18/12)*IF(SUM(Assumptions!$C$21:$N$21)=0,1,12*Assumptions!$H$21/SUM(Assumptions!$C$21:$N$21))</f>
        <v>810000.00000000023</v>
      </c>
      <c r="AU6" s="36">
        <f>(Assumptions!$C$16*Assumptions!$F$18/12)*IF(SUM(Assumptions!$C$21:$N$21)=0,1,12*Assumptions!$I$21/SUM(Assumptions!$C$21:$N$21))</f>
        <v>720000.00000000012</v>
      </c>
      <c r="AV6" s="36">
        <f>(Assumptions!$C$16*Assumptions!$F$18/12)*IF(SUM(Assumptions!$C$21:$N$21)=0,1,12*Assumptions!$J$21/SUM(Assumptions!$C$21:$N$21))</f>
        <v>720000.00000000012</v>
      </c>
      <c r="AW6" s="36">
        <f>(Assumptions!$C$16*Assumptions!$F$18/12)*IF(SUM(Assumptions!$C$21:$N$21)=0,1,12*Assumptions!$K$21/SUM(Assumptions!$C$21:$N$21))</f>
        <v>720000.00000000012</v>
      </c>
      <c r="AX6" s="36">
        <f>(Assumptions!$C$16*Assumptions!$F$18/12)*IF(SUM(Assumptions!$C$21:$N$21)=0,1,12*Assumptions!$L$21/SUM(Assumptions!$C$21:$N$21))</f>
        <v>810000.00000000023</v>
      </c>
      <c r="AY6" s="36">
        <f>(Assumptions!$C$16*Assumptions!$F$18/12)*IF(SUM(Assumptions!$C$21:$N$21)=0,1,12*Assumptions!$M$21/SUM(Assumptions!$C$21:$N$21))</f>
        <v>810000.00000000023</v>
      </c>
      <c r="AZ6" s="36">
        <f>(Assumptions!$C$16*Assumptions!$F$18/12)*IF(SUM(Assumptions!$C$21:$N$21)=0,1,12*Assumptions!$N$21/SUM(Assumptions!$C$21:$N$21))</f>
        <v>630000.00000000023</v>
      </c>
      <c r="BA6" s="37">
        <f>SUM(AO6:AZ6)</f>
        <v>9000000.0000000019</v>
      </c>
      <c r="BB6" s="36">
        <f>(Assumptions!$C$16*Assumptions!$G$18/12)*IF(SUM(Assumptions!$C$21:$N$21)=0,1,12*Assumptions!$C$21/SUM(Assumptions!$C$21:$N$21))</f>
        <v>768000.00000000012</v>
      </c>
      <c r="BC6" s="36">
        <f>(Assumptions!$C$16*Assumptions!$G$18/12)*IF(SUM(Assumptions!$C$21:$N$21)=0,1,12*Assumptions!$D$21/SUM(Assumptions!$C$21:$N$21))</f>
        <v>768000.00000000012</v>
      </c>
      <c r="BD6" s="36">
        <f>(Assumptions!$C$16*Assumptions!$G$18/12)*IF(SUM(Assumptions!$C$21:$N$21)=0,1,12*Assumptions!$E$21/SUM(Assumptions!$C$21:$N$21))</f>
        <v>768000.00000000012</v>
      </c>
      <c r="BE6" s="36">
        <f>(Assumptions!$C$16*Assumptions!$G$18/12)*IF(SUM(Assumptions!$C$21:$N$21)=0,1,12*Assumptions!$F$21/SUM(Assumptions!$C$21:$N$21))</f>
        <v>864000.00000000023</v>
      </c>
      <c r="BF6" s="36">
        <f>(Assumptions!$C$16*Assumptions!$G$18/12)*IF(SUM(Assumptions!$C$21:$N$21)=0,1,12*Assumptions!$G$21/SUM(Assumptions!$C$21:$N$21))</f>
        <v>864000.00000000023</v>
      </c>
      <c r="BG6" s="36">
        <f>(Assumptions!$C$16*Assumptions!$G$18/12)*IF(SUM(Assumptions!$C$21:$N$21)=0,1,12*Assumptions!$H$21/SUM(Assumptions!$C$21:$N$21))</f>
        <v>864000.00000000023</v>
      </c>
      <c r="BH6" s="36">
        <f>(Assumptions!$C$16*Assumptions!$G$18/12)*IF(SUM(Assumptions!$C$21:$N$21)=0,1,12*Assumptions!$I$21/SUM(Assumptions!$C$21:$N$21))</f>
        <v>768000.00000000012</v>
      </c>
      <c r="BI6" s="36">
        <f>(Assumptions!$C$16*Assumptions!$G$18/12)*IF(SUM(Assumptions!$C$21:$N$21)=0,1,12*Assumptions!$J$21/SUM(Assumptions!$C$21:$N$21))</f>
        <v>768000.00000000012</v>
      </c>
      <c r="BJ6" s="36">
        <f>(Assumptions!$C$16*Assumptions!$G$18/12)*IF(SUM(Assumptions!$C$21:$N$21)=0,1,12*Assumptions!$K$21/SUM(Assumptions!$C$21:$N$21))</f>
        <v>768000.00000000012</v>
      </c>
      <c r="BK6" s="36">
        <f>(Assumptions!$C$16*Assumptions!$G$18/12)*IF(SUM(Assumptions!$C$21:$N$21)=0,1,12*Assumptions!$L$21/SUM(Assumptions!$C$21:$N$21))</f>
        <v>864000.00000000023</v>
      </c>
      <c r="BL6" s="36">
        <f>(Assumptions!$C$16*Assumptions!$G$18/12)*IF(SUM(Assumptions!$C$21:$N$21)=0,1,12*Assumptions!$M$21/SUM(Assumptions!$C$21:$N$21))</f>
        <v>864000.00000000023</v>
      </c>
      <c r="BM6" s="36">
        <f>(Assumptions!$C$16*Assumptions!$G$18/12)*IF(SUM(Assumptions!$C$21:$N$21)=0,1,12*Assumptions!$N$21/SUM(Assumptions!$C$21:$N$21))</f>
        <v>672000.00000000023</v>
      </c>
      <c r="BN6" s="37">
        <f>SUM(BB6:BM6)</f>
        <v>9600000.0000000019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7">
    <mergeCell ref="A1:BN1"/>
    <mergeCell ref="A2:BN2"/>
    <mergeCell ref="B3:N3"/>
    <mergeCell ref="O3:AA3"/>
    <mergeCell ref="AB3:AN3"/>
    <mergeCell ref="AO3:BA3"/>
    <mergeCell ref="BB3:BN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N1"/>
    </sheetView>
  </sheetViews>
  <sheetFormatPr defaultColWidth="8.7109375" defaultRowHeight="15" x14ac:dyDescent="0.25"/>
  <cols>
    <col min="1" max="1" width="34" customWidth="1"/>
    <col min="2" max="13" width="10" customWidth="1"/>
    <col min="14" max="14" width="13" customWidth="1"/>
    <col min="15" max="26" width="10" customWidth="1"/>
    <col min="27" max="27" width="13" customWidth="1"/>
    <col min="28" max="39" width="10" customWidth="1"/>
    <col min="40" max="40" width="13" customWidth="1"/>
    <col min="41" max="52" width="10" customWidth="1"/>
    <col min="53" max="53" width="13" customWidth="1"/>
    <col min="54" max="65" width="10" customWidth="1"/>
    <col min="66" max="66" width="13" customWidth="1"/>
  </cols>
  <sheetData>
    <row r="1" spans="1:66" ht="25.5" customHeight="1" x14ac:dyDescent="0.25">
      <c r="A1" s="9" t="s">
        <v>310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15" customHeight="1" x14ac:dyDescent="0.25">
      <c r="A2" s="8" t="s">
        <v>311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</row>
    <row r="3" spans="1:66" ht="15.75" customHeight="1" x14ac:dyDescent="0.25">
      <c r="A3" s="29"/>
      <c r="B3" s="1" t="s">
        <v>250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252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253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254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.75" customHeight="1" x14ac:dyDescent="0.25">
      <c r="A4" s="31" t="s">
        <v>255</v>
      </c>
      <c r="B4" s="30" t="s">
        <v>184</v>
      </c>
      <c r="C4" s="30" t="s">
        <v>185</v>
      </c>
      <c r="D4" s="30" t="s">
        <v>186</v>
      </c>
      <c r="E4" s="30" t="s">
        <v>187</v>
      </c>
      <c r="F4" s="30" t="s">
        <v>188</v>
      </c>
      <c r="G4" s="30" t="s">
        <v>189</v>
      </c>
      <c r="H4" s="30" t="s">
        <v>190</v>
      </c>
      <c r="I4" s="30" t="s">
        <v>191</v>
      </c>
      <c r="J4" s="30" t="s">
        <v>192</v>
      </c>
      <c r="K4" s="30" t="s">
        <v>193</v>
      </c>
      <c r="L4" s="30" t="s">
        <v>194</v>
      </c>
      <c r="M4" s="30" t="s">
        <v>195</v>
      </c>
      <c r="N4" s="32" t="s">
        <v>256</v>
      </c>
      <c r="O4" s="30" t="s">
        <v>257</v>
      </c>
      <c r="P4" s="30" t="s">
        <v>258</v>
      </c>
      <c r="Q4" s="30" t="s">
        <v>259</v>
      </c>
      <c r="R4" s="30" t="s">
        <v>260</v>
      </c>
      <c r="S4" s="30" t="s">
        <v>261</v>
      </c>
      <c r="T4" s="30" t="s">
        <v>262</v>
      </c>
      <c r="U4" s="30" t="s">
        <v>263</v>
      </c>
      <c r="V4" s="30" t="s">
        <v>264</v>
      </c>
      <c r="W4" s="30" t="s">
        <v>265</v>
      </c>
      <c r="X4" s="30" t="s">
        <v>266</v>
      </c>
      <c r="Y4" s="30" t="s">
        <v>267</v>
      </c>
      <c r="Z4" s="30" t="s">
        <v>268</v>
      </c>
      <c r="AA4" s="32" t="s">
        <v>269</v>
      </c>
      <c r="AB4" s="30" t="s">
        <v>270</v>
      </c>
      <c r="AC4" s="30" t="s">
        <v>271</v>
      </c>
      <c r="AD4" s="30" t="s">
        <v>272</v>
      </c>
      <c r="AE4" s="30" t="s">
        <v>273</v>
      </c>
      <c r="AF4" s="30" t="s">
        <v>274</v>
      </c>
      <c r="AG4" s="30" t="s">
        <v>275</v>
      </c>
      <c r="AH4" s="30" t="s">
        <v>276</v>
      </c>
      <c r="AI4" s="30" t="s">
        <v>277</v>
      </c>
      <c r="AJ4" s="30" t="s">
        <v>278</v>
      </c>
      <c r="AK4" s="30" t="s">
        <v>279</v>
      </c>
      <c r="AL4" s="30" t="s">
        <v>280</v>
      </c>
      <c r="AM4" s="30" t="s">
        <v>281</v>
      </c>
      <c r="AN4" s="32" t="s">
        <v>282</v>
      </c>
      <c r="AO4" s="30" t="s">
        <v>283</v>
      </c>
      <c r="AP4" s="30" t="s">
        <v>284</v>
      </c>
      <c r="AQ4" s="30" t="s">
        <v>285</v>
      </c>
      <c r="AR4" s="30" t="s">
        <v>286</v>
      </c>
      <c r="AS4" s="30" t="s">
        <v>287</v>
      </c>
      <c r="AT4" s="30" t="s">
        <v>288</v>
      </c>
      <c r="AU4" s="30" t="s">
        <v>289</v>
      </c>
      <c r="AV4" s="30" t="s">
        <v>290</v>
      </c>
      <c r="AW4" s="30" t="s">
        <v>291</v>
      </c>
      <c r="AX4" s="30" t="s">
        <v>292</v>
      </c>
      <c r="AY4" s="30" t="s">
        <v>293</v>
      </c>
      <c r="AZ4" s="30" t="s">
        <v>294</v>
      </c>
      <c r="BA4" s="32" t="s">
        <v>295</v>
      </c>
      <c r="BB4" s="30" t="s">
        <v>296</v>
      </c>
      <c r="BC4" s="30" t="s">
        <v>297</v>
      </c>
      <c r="BD4" s="30" t="s">
        <v>298</v>
      </c>
      <c r="BE4" s="30" t="s">
        <v>299</v>
      </c>
      <c r="BF4" s="30" t="s">
        <v>300</v>
      </c>
      <c r="BG4" s="30" t="s">
        <v>301</v>
      </c>
      <c r="BH4" s="30" t="s">
        <v>302</v>
      </c>
      <c r="BI4" s="30" t="s">
        <v>303</v>
      </c>
      <c r="BJ4" s="30" t="s">
        <v>304</v>
      </c>
      <c r="BK4" s="30" t="s">
        <v>305</v>
      </c>
      <c r="BL4" s="30" t="s">
        <v>306</v>
      </c>
      <c r="BM4" s="30" t="s">
        <v>307</v>
      </c>
      <c r="BN4" s="32" t="s">
        <v>308</v>
      </c>
    </row>
    <row r="5" spans="1:66" ht="15" customHeight="1" x14ac:dyDescent="0.25">
      <c r="A5" s="13" t="s">
        <v>312</v>
      </c>
      <c r="B5" s="38">
        <f>Production!B6</f>
        <v>576000.00000000012</v>
      </c>
      <c r="C5" s="38">
        <f>Production!C6</f>
        <v>576000.00000000012</v>
      </c>
      <c r="D5" s="38">
        <f>Production!D6</f>
        <v>576000.00000000012</v>
      </c>
      <c r="E5" s="38">
        <f>Production!E6</f>
        <v>648000.00000000023</v>
      </c>
      <c r="F5" s="38">
        <f>Production!F6</f>
        <v>648000.00000000023</v>
      </c>
      <c r="G5" s="38">
        <f>Production!G6</f>
        <v>648000.00000000023</v>
      </c>
      <c r="H5" s="38">
        <f>Production!H6</f>
        <v>576000.00000000012</v>
      </c>
      <c r="I5" s="38">
        <f>Production!I6</f>
        <v>576000.00000000012</v>
      </c>
      <c r="J5" s="38">
        <f>Production!J6</f>
        <v>576000.00000000012</v>
      </c>
      <c r="K5" s="38">
        <f>Production!K6</f>
        <v>648000.00000000023</v>
      </c>
      <c r="L5" s="38">
        <f>Production!L6</f>
        <v>648000.00000000023</v>
      </c>
      <c r="M5" s="38">
        <f>Production!M6</f>
        <v>504000.00000000017</v>
      </c>
      <c r="N5" s="37">
        <f>SUM(B5:M5)</f>
        <v>7200000.0000000009</v>
      </c>
      <c r="O5" s="38">
        <f>Production!O6</f>
        <v>624000.00000000012</v>
      </c>
      <c r="P5" s="38">
        <f>Production!P6</f>
        <v>624000.00000000012</v>
      </c>
      <c r="Q5" s="38">
        <f>Production!Q6</f>
        <v>624000.00000000012</v>
      </c>
      <c r="R5" s="38">
        <f>Production!R6</f>
        <v>702000.00000000023</v>
      </c>
      <c r="S5" s="38">
        <f>Production!S6</f>
        <v>702000.00000000023</v>
      </c>
      <c r="T5" s="38">
        <f>Production!T6</f>
        <v>702000.00000000023</v>
      </c>
      <c r="U5" s="38">
        <f>Production!U6</f>
        <v>624000.00000000012</v>
      </c>
      <c r="V5" s="38">
        <f>Production!V6</f>
        <v>624000.00000000012</v>
      </c>
      <c r="W5" s="38">
        <f>Production!W6</f>
        <v>624000.00000000012</v>
      </c>
      <c r="X5" s="38">
        <f>Production!X6</f>
        <v>702000.00000000023</v>
      </c>
      <c r="Y5" s="38">
        <f>Production!Y6</f>
        <v>702000.00000000023</v>
      </c>
      <c r="Z5" s="38">
        <f>Production!Z6</f>
        <v>546000.00000000023</v>
      </c>
      <c r="AA5" s="37">
        <f>SUM(O5:Z5)</f>
        <v>7800000.0000000009</v>
      </c>
      <c r="AB5" s="38">
        <f>Production!AB6</f>
        <v>672000.00000000012</v>
      </c>
      <c r="AC5" s="38">
        <f>Production!AC6</f>
        <v>672000.00000000012</v>
      </c>
      <c r="AD5" s="38">
        <f>Production!AD6</f>
        <v>672000.00000000012</v>
      </c>
      <c r="AE5" s="38">
        <f>Production!AE6</f>
        <v>756000.00000000023</v>
      </c>
      <c r="AF5" s="38">
        <f>Production!AF6</f>
        <v>756000.00000000023</v>
      </c>
      <c r="AG5" s="38">
        <f>Production!AG6</f>
        <v>756000.00000000023</v>
      </c>
      <c r="AH5" s="38">
        <f>Production!AH6</f>
        <v>672000.00000000012</v>
      </c>
      <c r="AI5" s="38">
        <f>Production!AI6</f>
        <v>672000.00000000012</v>
      </c>
      <c r="AJ5" s="38">
        <f>Production!AJ6</f>
        <v>672000.00000000012</v>
      </c>
      <c r="AK5" s="38">
        <f>Production!AK6</f>
        <v>756000.00000000023</v>
      </c>
      <c r="AL5" s="38">
        <f>Production!AL6</f>
        <v>756000.00000000023</v>
      </c>
      <c r="AM5" s="38">
        <f>Production!AM6</f>
        <v>588000.00000000023</v>
      </c>
      <c r="AN5" s="37">
        <f>SUM(AB5:AM5)</f>
        <v>8400000.0000000019</v>
      </c>
      <c r="AO5" s="38">
        <f>Production!AO6</f>
        <v>720000.00000000012</v>
      </c>
      <c r="AP5" s="38">
        <f>Production!AP6</f>
        <v>720000.00000000012</v>
      </c>
      <c r="AQ5" s="38">
        <f>Production!AQ6</f>
        <v>720000.00000000012</v>
      </c>
      <c r="AR5" s="38">
        <f>Production!AR6</f>
        <v>810000.00000000023</v>
      </c>
      <c r="AS5" s="38">
        <f>Production!AS6</f>
        <v>810000.00000000023</v>
      </c>
      <c r="AT5" s="38">
        <f>Production!AT6</f>
        <v>810000.00000000023</v>
      </c>
      <c r="AU5" s="38">
        <f>Production!AU6</f>
        <v>720000.00000000012</v>
      </c>
      <c r="AV5" s="38">
        <f>Production!AV6</f>
        <v>720000.00000000012</v>
      </c>
      <c r="AW5" s="38">
        <f>Production!AW6</f>
        <v>720000.00000000012</v>
      </c>
      <c r="AX5" s="38">
        <f>Production!AX6</f>
        <v>810000.00000000023</v>
      </c>
      <c r="AY5" s="38">
        <f>Production!AY6</f>
        <v>810000.00000000023</v>
      </c>
      <c r="AZ5" s="38">
        <f>Production!AZ6</f>
        <v>630000.00000000023</v>
      </c>
      <c r="BA5" s="37">
        <f>SUM(AO5:AZ5)</f>
        <v>9000000.0000000019</v>
      </c>
      <c r="BB5" s="38">
        <f>Production!BB6</f>
        <v>768000.00000000012</v>
      </c>
      <c r="BC5" s="38">
        <f>Production!BC6</f>
        <v>768000.00000000012</v>
      </c>
      <c r="BD5" s="38">
        <f>Production!BD6</f>
        <v>768000.00000000012</v>
      </c>
      <c r="BE5" s="38">
        <f>Production!BE6</f>
        <v>864000.00000000023</v>
      </c>
      <c r="BF5" s="38">
        <f>Production!BF6</f>
        <v>864000.00000000023</v>
      </c>
      <c r="BG5" s="38">
        <f>Production!BG6</f>
        <v>864000.00000000023</v>
      </c>
      <c r="BH5" s="38">
        <f>Production!BH6</f>
        <v>768000.00000000012</v>
      </c>
      <c r="BI5" s="38">
        <f>Production!BI6</f>
        <v>768000.00000000012</v>
      </c>
      <c r="BJ5" s="38">
        <f>Production!BJ6</f>
        <v>768000.00000000012</v>
      </c>
      <c r="BK5" s="38">
        <f>Production!BK6</f>
        <v>864000.00000000023</v>
      </c>
      <c r="BL5" s="38">
        <f>Production!BL6</f>
        <v>864000.00000000023</v>
      </c>
      <c r="BM5" s="38">
        <f>Production!BM6</f>
        <v>672000.00000000023</v>
      </c>
      <c r="BN5" s="37">
        <f>SUM(BB5:BM5)</f>
        <v>9600000.0000000019</v>
      </c>
    </row>
    <row r="6" spans="1:66" ht="15" customHeight="1" x14ac:dyDescent="0.25">
      <c r="A6" s="13" t="s">
        <v>313</v>
      </c>
      <c r="B6" s="39">
        <f>Assumptions!$C$23*(1+Assumptions!$C$24)^0</f>
        <v>5</v>
      </c>
      <c r="C6" s="39">
        <f>Assumptions!$C$23*(1+Assumptions!$C$24)^0</f>
        <v>5</v>
      </c>
      <c r="D6" s="39">
        <f>Assumptions!$C$23*(1+Assumptions!$C$24)^0</f>
        <v>5</v>
      </c>
      <c r="E6" s="39">
        <f>Assumptions!$C$23*(1+Assumptions!$C$24)^0</f>
        <v>5</v>
      </c>
      <c r="F6" s="39">
        <f>Assumptions!$C$23*(1+Assumptions!$C$24)^0</f>
        <v>5</v>
      </c>
      <c r="G6" s="39">
        <f>Assumptions!$C$23*(1+Assumptions!$C$24)^0</f>
        <v>5</v>
      </c>
      <c r="H6" s="39">
        <f>Assumptions!$C$23*(1+Assumptions!$C$24)^0</f>
        <v>5</v>
      </c>
      <c r="I6" s="39">
        <f>Assumptions!$C$23*(1+Assumptions!$C$24)^0</f>
        <v>5</v>
      </c>
      <c r="J6" s="39">
        <f>Assumptions!$C$23*(1+Assumptions!$C$24)^0</f>
        <v>5</v>
      </c>
      <c r="K6" s="39">
        <f>Assumptions!$C$23*(1+Assumptions!$C$24)^0</f>
        <v>5</v>
      </c>
      <c r="L6" s="39">
        <f>Assumptions!$C$23*(1+Assumptions!$C$24)^0</f>
        <v>5</v>
      </c>
      <c r="M6" s="39">
        <f>Assumptions!$C$23*(1+Assumptions!$C$24)^0</f>
        <v>5</v>
      </c>
      <c r="N6" s="40">
        <f>Assumptions!$C$23*(1+Assumptions!$C$24)^0</f>
        <v>5</v>
      </c>
      <c r="O6" s="39">
        <f>Assumptions!$C$23*(1+Assumptions!$C$24)^1</f>
        <v>5.2</v>
      </c>
      <c r="P6" s="39">
        <f>Assumptions!$C$23*(1+Assumptions!$C$24)^1</f>
        <v>5.2</v>
      </c>
      <c r="Q6" s="39">
        <f>Assumptions!$C$23*(1+Assumptions!$C$24)^1</f>
        <v>5.2</v>
      </c>
      <c r="R6" s="39">
        <f>Assumptions!$C$23*(1+Assumptions!$C$24)^1</f>
        <v>5.2</v>
      </c>
      <c r="S6" s="39">
        <f>Assumptions!$C$23*(1+Assumptions!$C$24)^1</f>
        <v>5.2</v>
      </c>
      <c r="T6" s="39">
        <f>Assumptions!$C$23*(1+Assumptions!$C$24)^1</f>
        <v>5.2</v>
      </c>
      <c r="U6" s="39">
        <f>Assumptions!$C$23*(1+Assumptions!$C$24)^1</f>
        <v>5.2</v>
      </c>
      <c r="V6" s="39">
        <f>Assumptions!$C$23*(1+Assumptions!$C$24)^1</f>
        <v>5.2</v>
      </c>
      <c r="W6" s="39">
        <f>Assumptions!$C$23*(1+Assumptions!$C$24)^1</f>
        <v>5.2</v>
      </c>
      <c r="X6" s="39">
        <f>Assumptions!$C$23*(1+Assumptions!$C$24)^1</f>
        <v>5.2</v>
      </c>
      <c r="Y6" s="39">
        <f>Assumptions!$C$23*(1+Assumptions!$C$24)^1</f>
        <v>5.2</v>
      </c>
      <c r="Z6" s="39">
        <f>Assumptions!$C$23*(1+Assumptions!$C$24)^1</f>
        <v>5.2</v>
      </c>
      <c r="AA6" s="40">
        <f>Assumptions!$C$23*(1+Assumptions!$C$24)^1</f>
        <v>5.2</v>
      </c>
      <c r="AB6" s="39">
        <f>Assumptions!$C$23*(1+Assumptions!$C$24)^2</f>
        <v>5.4080000000000004</v>
      </c>
      <c r="AC6" s="39">
        <f>Assumptions!$C$23*(1+Assumptions!$C$24)^2</f>
        <v>5.4080000000000004</v>
      </c>
      <c r="AD6" s="39">
        <f>Assumptions!$C$23*(1+Assumptions!$C$24)^2</f>
        <v>5.4080000000000004</v>
      </c>
      <c r="AE6" s="39">
        <f>Assumptions!$C$23*(1+Assumptions!$C$24)^2</f>
        <v>5.4080000000000004</v>
      </c>
      <c r="AF6" s="39">
        <f>Assumptions!$C$23*(1+Assumptions!$C$24)^2</f>
        <v>5.4080000000000004</v>
      </c>
      <c r="AG6" s="39">
        <f>Assumptions!$C$23*(1+Assumptions!$C$24)^2</f>
        <v>5.4080000000000004</v>
      </c>
      <c r="AH6" s="39">
        <f>Assumptions!$C$23*(1+Assumptions!$C$24)^2</f>
        <v>5.4080000000000004</v>
      </c>
      <c r="AI6" s="39">
        <f>Assumptions!$C$23*(1+Assumptions!$C$24)^2</f>
        <v>5.4080000000000004</v>
      </c>
      <c r="AJ6" s="39">
        <f>Assumptions!$C$23*(1+Assumptions!$C$24)^2</f>
        <v>5.4080000000000004</v>
      </c>
      <c r="AK6" s="39">
        <f>Assumptions!$C$23*(1+Assumptions!$C$24)^2</f>
        <v>5.4080000000000004</v>
      </c>
      <c r="AL6" s="39">
        <f>Assumptions!$C$23*(1+Assumptions!$C$24)^2</f>
        <v>5.4080000000000004</v>
      </c>
      <c r="AM6" s="39">
        <f>Assumptions!$C$23*(1+Assumptions!$C$24)^2</f>
        <v>5.4080000000000004</v>
      </c>
      <c r="AN6" s="40">
        <f>Assumptions!$C$23*(1+Assumptions!$C$24)^2</f>
        <v>5.4080000000000004</v>
      </c>
      <c r="AO6" s="39">
        <f>Assumptions!$C$23*(1+Assumptions!$C$24)^3</f>
        <v>5.6243200000000009</v>
      </c>
      <c r="AP6" s="39">
        <f>Assumptions!$C$23*(1+Assumptions!$C$24)^3</f>
        <v>5.6243200000000009</v>
      </c>
      <c r="AQ6" s="39">
        <f>Assumptions!$C$23*(1+Assumptions!$C$24)^3</f>
        <v>5.6243200000000009</v>
      </c>
      <c r="AR6" s="39">
        <f>Assumptions!$C$23*(1+Assumptions!$C$24)^3</f>
        <v>5.6243200000000009</v>
      </c>
      <c r="AS6" s="39">
        <f>Assumptions!$C$23*(1+Assumptions!$C$24)^3</f>
        <v>5.6243200000000009</v>
      </c>
      <c r="AT6" s="39">
        <f>Assumptions!$C$23*(1+Assumptions!$C$24)^3</f>
        <v>5.6243200000000009</v>
      </c>
      <c r="AU6" s="39">
        <f>Assumptions!$C$23*(1+Assumptions!$C$24)^3</f>
        <v>5.6243200000000009</v>
      </c>
      <c r="AV6" s="39">
        <f>Assumptions!$C$23*(1+Assumptions!$C$24)^3</f>
        <v>5.6243200000000009</v>
      </c>
      <c r="AW6" s="39">
        <f>Assumptions!$C$23*(1+Assumptions!$C$24)^3</f>
        <v>5.6243200000000009</v>
      </c>
      <c r="AX6" s="39">
        <f>Assumptions!$C$23*(1+Assumptions!$C$24)^3</f>
        <v>5.6243200000000009</v>
      </c>
      <c r="AY6" s="39">
        <f>Assumptions!$C$23*(1+Assumptions!$C$24)^3</f>
        <v>5.6243200000000009</v>
      </c>
      <c r="AZ6" s="39">
        <f>Assumptions!$C$23*(1+Assumptions!$C$24)^3</f>
        <v>5.6243200000000009</v>
      </c>
      <c r="BA6" s="40">
        <f>Assumptions!$C$23*(1+Assumptions!$C$24)^3</f>
        <v>5.6243200000000009</v>
      </c>
      <c r="BB6" s="39">
        <f>Assumptions!$C$23*(1+Assumptions!$C$24)^4</f>
        <v>5.8492928000000006</v>
      </c>
      <c r="BC6" s="39">
        <f>Assumptions!$C$23*(1+Assumptions!$C$24)^4</f>
        <v>5.8492928000000006</v>
      </c>
      <c r="BD6" s="39">
        <f>Assumptions!$C$23*(1+Assumptions!$C$24)^4</f>
        <v>5.8492928000000006</v>
      </c>
      <c r="BE6" s="39">
        <f>Assumptions!$C$23*(1+Assumptions!$C$24)^4</f>
        <v>5.8492928000000006</v>
      </c>
      <c r="BF6" s="39">
        <f>Assumptions!$C$23*(1+Assumptions!$C$24)^4</f>
        <v>5.8492928000000006</v>
      </c>
      <c r="BG6" s="39">
        <f>Assumptions!$C$23*(1+Assumptions!$C$24)^4</f>
        <v>5.8492928000000006</v>
      </c>
      <c r="BH6" s="39">
        <f>Assumptions!$C$23*(1+Assumptions!$C$24)^4</f>
        <v>5.8492928000000006</v>
      </c>
      <c r="BI6" s="39">
        <f>Assumptions!$C$23*(1+Assumptions!$C$24)^4</f>
        <v>5.8492928000000006</v>
      </c>
      <c r="BJ6" s="39">
        <f>Assumptions!$C$23*(1+Assumptions!$C$24)^4</f>
        <v>5.8492928000000006</v>
      </c>
      <c r="BK6" s="39">
        <f>Assumptions!$C$23*(1+Assumptions!$C$24)^4</f>
        <v>5.8492928000000006</v>
      </c>
      <c r="BL6" s="39">
        <f>Assumptions!$C$23*(1+Assumptions!$C$24)^4</f>
        <v>5.8492928000000006</v>
      </c>
      <c r="BM6" s="39">
        <f>Assumptions!$C$23*(1+Assumptions!$C$24)^4</f>
        <v>5.8492928000000006</v>
      </c>
      <c r="BN6" s="40">
        <f>Assumptions!$C$23*(1+Assumptions!$C$24)^4</f>
        <v>5.8492928000000006</v>
      </c>
    </row>
    <row r="7" spans="1:66" ht="15" customHeight="1" x14ac:dyDescent="0.25">
      <c r="A7" s="35" t="s">
        <v>314</v>
      </c>
      <c r="B7" s="36">
        <f t="shared" ref="B7:M7" si="0">B5*B6</f>
        <v>2880000.0000000005</v>
      </c>
      <c r="C7" s="36">
        <f t="shared" si="0"/>
        <v>2880000.0000000005</v>
      </c>
      <c r="D7" s="36">
        <f t="shared" si="0"/>
        <v>2880000.0000000005</v>
      </c>
      <c r="E7" s="36">
        <f t="shared" si="0"/>
        <v>3240000.0000000009</v>
      </c>
      <c r="F7" s="36">
        <f t="shared" si="0"/>
        <v>3240000.0000000009</v>
      </c>
      <c r="G7" s="36">
        <f t="shared" si="0"/>
        <v>3240000.0000000009</v>
      </c>
      <c r="H7" s="36">
        <f t="shared" si="0"/>
        <v>2880000.0000000005</v>
      </c>
      <c r="I7" s="36">
        <f t="shared" si="0"/>
        <v>2880000.0000000005</v>
      </c>
      <c r="J7" s="36">
        <f t="shared" si="0"/>
        <v>2880000.0000000005</v>
      </c>
      <c r="K7" s="36">
        <f t="shared" si="0"/>
        <v>3240000.0000000009</v>
      </c>
      <c r="L7" s="36">
        <f t="shared" si="0"/>
        <v>3240000.0000000009</v>
      </c>
      <c r="M7" s="36">
        <f t="shared" si="0"/>
        <v>2520000.0000000009</v>
      </c>
      <c r="N7" s="37">
        <f>SUM(B7:M7)</f>
        <v>36000000.000000007</v>
      </c>
      <c r="O7" s="36">
        <f t="shared" ref="O7:Z7" si="1">O5*O6</f>
        <v>3244800.0000000009</v>
      </c>
      <c r="P7" s="36">
        <f t="shared" si="1"/>
        <v>3244800.0000000009</v>
      </c>
      <c r="Q7" s="36">
        <f t="shared" si="1"/>
        <v>3244800.0000000009</v>
      </c>
      <c r="R7" s="36">
        <f t="shared" si="1"/>
        <v>3650400.0000000014</v>
      </c>
      <c r="S7" s="36">
        <f t="shared" si="1"/>
        <v>3650400.0000000014</v>
      </c>
      <c r="T7" s="36">
        <f t="shared" si="1"/>
        <v>3650400.0000000014</v>
      </c>
      <c r="U7" s="36">
        <f t="shared" si="1"/>
        <v>3244800.0000000009</v>
      </c>
      <c r="V7" s="36">
        <f t="shared" si="1"/>
        <v>3244800.0000000009</v>
      </c>
      <c r="W7" s="36">
        <f t="shared" si="1"/>
        <v>3244800.0000000009</v>
      </c>
      <c r="X7" s="36">
        <f t="shared" si="1"/>
        <v>3650400.0000000014</v>
      </c>
      <c r="Y7" s="36">
        <f t="shared" si="1"/>
        <v>3650400.0000000014</v>
      </c>
      <c r="Z7" s="36">
        <f t="shared" si="1"/>
        <v>2839200.0000000014</v>
      </c>
      <c r="AA7" s="37">
        <f>SUM(O7:Z7)</f>
        <v>40560000.000000007</v>
      </c>
      <c r="AB7" s="36">
        <f t="shared" ref="AB7:AM7" si="2">AB5*AB6</f>
        <v>3634176.0000000009</v>
      </c>
      <c r="AC7" s="36">
        <f t="shared" si="2"/>
        <v>3634176.0000000009</v>
      </c>
      <c r="AD7" s="36">
        <f t="shared" si="2"/>
        <v>3634176.0000000009</v>
      </c>
      <c r="AE7" s="36">
        <f t="shared" si="2"/>
        <v>4088448.0000000014</v>
      </c>
      <c r="AF7" s="36">
        <f t="shared" si="2"/>
        <v>4088448.0000000014</v>
      </c>
      <c r="AG7" s="36">
        <f t="shared" si="2"/>
        <v>4088448.0000000014</v>
      </c>
      <c r="AH7" s="36">
        <f t="shared" si="2"/>
        <v>3634176.0000000009</v>
      </c>
      <c r="AI7" s="36">
        <f t="shared" si="2"/>
        <v>3634176.0000000009</v>
      </c>
      <c r="AJ7" s="36">
        <f t="shared" si="2"/>
        <v>3634176.0000000009</v>
      </c>
      <c r="AK7" s="36">
        <f t="shared" si="2"/>
        <v>4088448.0000000014</v>
      </c>
      <c r="AL7" s="36">
        <f t="shared" si="2"/>
        <v>4088448.0000000014</v>
      </c>
      <c r="AM7" s="36">
        <f t="shared" si="2"/>
        <v>3179904.0000000014</v>
      </c>
      <c r="AN7" s="37">
        <f>SUM(AB7:AM7)</f>
        <v>45427200.000000007</v>
      </c>
      <c r="AO7" s="36">
        <f t="shared" ref="AO7:AZ7" si="3">AO5*AO6</f>
        <v>4049510.4000000013</v>
      </c>
      <c r="AP7" s="36">
        <f t="shared" si="3"/>
        <v>4049510.4000000013</v>
      </c>
      <c r="AQ7" s="36">
        <f t="shared" si="3"/>
        <v>4049510.4000000013</v>
      </c>
      <c r="AR7" s="36">
        <f t="shared" si="3"/>
        <v>4555699.200000002</v>
      </c>
      <c r="AS7" s="36">
        <f t="shared" si="3"/>
        <v>4555699.200000002</v>
      </c>
      <c r="AT7" s="36">
        <f t="shared" si="3"/>
        <v>4555699.200000002</v>
      </c>
      <c r="AU7" s="36">
        <f t="shared" si="3"/>
        <v>4049510.4000000013</v>
      </c>
      <c r="AV7" s="36">
        <f t="shared" si="3"/>
        <v>4049510.4000000013</v>
      </c>
      <c r="AW7" s="36">
        <f t="shared" si="3"/>
        <v>4049510.4000000013</v>
      </c>
      <c r="AX7" s="36">
        <f t="shared" si="3"/>
        <v>4555699.200000002</v>
      </c>
      <c r="AY7" s="36">
        <f t="shared" si="3"/>
        <v>4555699.200000002</v>
      </c>
      <c r="AZ7" s="36">
        <f t="shared" si="3"/>
        <v>3543321.600000002</v>
      </c>
      <c r="BA7" s="37">
        <f>SUM(AO7:AZ7)</f>
        <v>50618880.000000022</v>
      </c>
      <c r="BB7" s="36">
        <f t="shared" ref="BB7:BM7" si="4">BB5*BB6</f>
        <v>4492256.8704000013</v>
      </c>
      <c r="BC7" s="36">
        <f t="shared" si="4"/>
        <v>4492256.8704000013</v>
      </c>
      <c r="BD7" s="36">
        <f t="shared" si="4"/>
        <v>4492256.8704000013</v>
      </c>
      <c r="BE7" s="36">
        <f t="shared" si="4"/>
        <v>5053788.9792000018</v>
      </c>
      <c r="BF7" s="36">
        <f t="shared" si="4"/>
        <v>5053788.9792000018</v>
      </c>
      <c r="BG7" s="36">
        <f t="shared" si="4"/>
        <v>5053788.9792000018</v>
      </c>
      <c r="BH7" s="36">
        <f t="shared" si="4"/>
        <v>4492256.8704000013</v>
      </c>
      <c r="BI7" s="36">
        <f t="shared" si="4"/>
        <v>4492256.8704000013</v>
      </c>
      <c r="BJ7" s="36">
        <f t="shared" si="4"/>
        <v>4492256.8704000013</v>
      </c>
      <c r="BK7" s="36">
        <f t="shared" si="4"/>
        <v>5053788.9792000018</v>
      </c>
      <c r="BL7" s="36">
        <f t="shared" si="4"/>
        <v>5053788.9792000018</v>
      </c>
      <c r="BM7" s="36">
        <f t="shared" si="4"/>
        <v>3930724.7616000017</v>
      </c>
      <c r="BN7" s="37">
        <f>SUM(BB7:BM7)</f>
        <v>56153210.880000025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7">
    <mergeCell ref="A1:BN1"/>
    <mergeCell ref="A2:BN2"/>
    <mergeCell ref="B3:N3"/>
    <mergeCell ref="O3:AA3"/>
    <mergeCell ref="AB3:AN3"/>
    <mergeCell ref="AO3:BA3"/>
    <mergeCell ref="BB3:BN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N1"/>
    </sheetView>
  </sheetViews>
  <sheetFormatPr defaultColWidth="8.7109375" defaultRowHeight="15" x14ac:dyDescent="0.25"/>
  <cols>
    <col min="1" max="1" width="34" customWidth="1"/>
    <col min="2" max="13" width="10" customWidth="1"/>
    <col min="14" max="14" width="13" customWidth="1"/>
    <col min="15" max="26" width="10" customWidth="1"/>
    <col min="27" max="27" width="13" customWidth="1"/>
    <col min="28" max="39" width="10" customWidth="1"/>
    <col min="40" max="40" width="13" customWidth="1"/>
    <col min="41" max="52" width="10" customWidth="1"/>
    <col min="53" max="53" width="13" customWidth="1"/>
    <col min="54" max="65" width="10" customWidth="1"/>
    <col min="66" max="66" width="13" customWidth="1"/>
  </cols>
  <sheetData>
    <row r="1" spans="1:66" ht="25.5" customHeight="1" x14ac:dyDescent="0.25">
      <c r="A1" s="9" t="s">
        <v>315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15" customHeight="1" x14ac:dyDescent="0.25">
      <c r="A2" s="8" t="s">
        <v>316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</row>
    <row r="3" spans="1:66" ht="15.75" customHeight="1" x14ac:dyDescent="0.25">
      <c r="A3" s="29"/>
      <c r="B3" s="1" t="s">
        <v>250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252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253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254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.75" customHeight="1" x14ac:dyDescent="0.25">
      <c r="A4" s="31" t="s">
        <v>255</v>
      </c>
      <c r="B4" s="30" t="s">
        <v>184</v>
      </c>
      <c r="C4" s="30" t="s">
        <v>185</v>
      </c>
      <c r="D4" s="30" t="s">
        <v>186</v>
      </c>
      <c r="E4" s="30" t="s">
        <v>187</v>
      </c>
      <c r="F4" s="30" t="s">
        <v>188</v>
      </c>
      <c r="G4" s="30" t="s">
        <v>189</v>
      </c>
      <c r="H4" s="30" t="s">
        <v>190</v>
      </c>
      <c r="I4" s="30" t="s">
        <v>191</v>
      </c>
      <c r="J4" s="30" t="s">
        <v>192</v>
      </c>
      <c r="K4" s="30" t="s">
        <v>193</v>
      </c>
      <c r="L4" s="30" t="s">
        <v>194</v>
      </c>
      <c r="M4" s="30" t="s">
        <v>195</v>
      </c>
      <c r="N4" s="32" t="s">
        <v>256</v>
      </c>
      <c r="O4" s="30" t="s">
        <v>257</v>
      </c>
      <c r="P4" s="30" t="s">
        <v>258</v>
      </c>
      <c r="Q4" s="30" t="s">
        <v>259</v>
      </c>
      <c r="R4" s="30" t="s">
        <v>260</v>
      </c>
      <c r="S4" s="30" t="s">
        <v>261</v>
      </c>
      <c r="T4" s="30" t="s">
        <v>262</v>
      </c>
      <c r="U4" s="30" t="s">
        <v>263</v>
      </c>
      <c r="V4" s="30" t="s">
        <v>264</v>
      </c>
      <c r="W4" s="30" t="s">
        <v>265</v>
      </c>
      <c r="X4" s="30" t="s">
        <v>266</v>
      </c>
      <c r="Y4" s="30" t="s">
        <v>267</v>
      </c>
      <c r="Z4" s="30" t="s">
        <v>268</v>
      </c>
      <c r="AA4" s="32" t="s">
        <v>269</v>
      </c>
      <c r="AB4" s="30" t="s">
        <v>270</v>
      </c>
      <c r="AC4" s="30" t="s">
        <v>271</v>
      </c>
      <c r="AD4" s="30" t="s">
        <v>272</v>
      </c>
      <c r="AE4" s="30" t="s">
        <v>273</v>
      </c>
      <c r="AF4" s="30" t="s">
        <v>274</v>
      </c>
      <c r="AG4" s="30" t="s">
        <v>275</v>
      </c>
      <c r="AH4" s="30" t="s">
        <v>276</v>
      </c>
      <c r="AI4" s="30" t="s">
        <v>277</v>
      </c>
      <c r="AJ4" s="30" t="s">
        <v>278</v>
      </c>
      <c r="AK4" s="30" t="s">
        <v>279</v>
      </c>
      <c r="AL4" s="30" t="s">
        <v>280</v>
      </c>
      <c r="AM4" s="30" t="s">
        <v>281</v>
      </c>
      <c r="AN4" s="32" t="s">
        <v>282</v>
      </c>
      <c r="AO4" s="30" t="s">
        <v>283</v>
      </c>
      <c r="AP4" s="30" t="s">
        <v>284</v>
      </c>
      <c r="AQ4" s="30" t="s">
        <v>285</v>
      </c>
      <c r="AR4" s="30" t="s">
        <v>286</v>
      </c>
      <c r="AS4" s="30" t="s">
        <v>287</v>
      </c>
      <c r="AT4" s="30" t="s">
        <v>288</v>
      </c>
      <c r="AU4" s="30" t="s">
        <v>289</v>
      </c>
      <c r="AV4" s="30" t="s">
        <v>290</v>
      </c>
      <c r="AW4" s="30" t="s">
        <v>291</v>
      </c>
      <c r="AX4" s="30" t="s">
        <v>292</v>
      </c>
      <c r="AY4" s="30" t="s">
        <v>293</v>
      </c>
      <c r="AZ4" s="30" t="s">
        <v>294</v>
      </c>
      <c r="BA4" s="32" t="s">
        <v>295</v>
      </c>
      <c r="BB4" s="30" t="s">
        <v>296</v>
      </c>
      <c r="BC4" s="30" t="s">
        <v>297</v>
      </c>
      <c r="BD4" s="30" t="s">
        <v>298</v>
      </c>
      <c r="BE4" s="30" t="s">
        <v>299</v>
      </c>
      <c r="BF4" s="30" t="s">
        <v>300</v>
      </c>
      <c r="BG4" s="30" t="s">
        <v>301</v>
      </c>
      <c r="BH4" s="30" t="s">
        <v>302</v>
      </c>
      <c r="BI4" s="30" t="s">
        <v>303</v>
      </c>
      <c r="BJ4" s="30" t="s">
        <v>304</v>
      </c>
      <c r="BK4" s="30" t="s">
        <v>305</v>
      </c>
      <c r="BL4" s="30" t="s">
        <v>306</v>
      </c>
      <c r="BM4" s="30" t="s">
        <v>307</v>
      </c>
      <c r="BN4" s="32" t="s">
        <v>308</v>
      </c>
    </row>
    <row r="5" spans="1:66" ht="15" customHeight="1" x14ac:dyDescent="0.25">
      <c r="A5" s="13" t="str">
        <f>IFERROR(VLOOKUP(Assumptions!$J$5,Assumptions!$S$5:$Z$21,5,FALSE()),"Raw materials")</f>
        <v>Raw materials</v>
      </c>
      <c r="B5" s="38">
        <f>Production!B6*(Assumptions!$C$25*(1+Assumptions!$C$26)^0)</f>
        <v>1440000.0000000002</v>
      </c>
      <c r="C5" s="38">
        <f>Production!C6*(Assumptions!$C$25*(1+Assumptions!$C$26)^0)</f>
        <v>1440000.0000000002</v>
      </c>
      <c r="D5" s="38">
        <f>Production!D6*(Assumptions!$C$25*(1+Assumptions!$C$26)^0)</f>
        <v>1440000.0000000002</v>
      </c>
      <c r="E5" s="38">
        <f>Production!E6*(Assumptions!$C$25*(1+Assumptions!$C$26)^0)</f>
        <v>1620000.0000000005</v>
      </c>
      <c r="F5" s="38">
        <f>Production!F6*(Assumptions!$C$25*(1+Assumptions!$C$26)^0)</f>
        <v>1620000.0000000005</v>
      </c>
      <c r="G5" s="38">
        <f>Production!G6*(Assumptions!$C$25*(1+Assumptions!$C$26)^0)</f>
        <v>1620000.0000000005</v>
      </c>
      <c r="H5" s="38">
        <f>Production!H6*(Assumptions!$C$25*(1+Assumptions!$C$26)^0)</f>
        <v>1440000.0000000002</v>
      </c>
      <c r="I5" s="38">
        <f>Production!I6*(Assumptions!$C$25*(1+Assumptions!$C$26)^0)</f>
        <v>1440000.0000000002</v>
      </c>
      <c r="J5" s="38">
        <f>Production!J6*(Assumptions!$C$25*(1+Assumptions!$C$26)^0)</f>
        <v>1440000.0000000002</v>
      </c>
      <c r="K5" s="38">
        <f>Production!K6*(Assumptions!$C$25*(1+Assumptions!$C$26)^0)</f>
        <v>1620000.0000000005</v>
      </c>
      <c r="L5" s="38">
        <f>Production!L6*(Assumptions!$C$25*(1+Assumptions!$C$26)^0)</f>
        <v>1620000.0000000005</v>
      </c>
      <c r="M5" s="38">
        <f>Production!M6*(Assumptions!$C$25*(1+Assumptions!$C$26)^0)</f>
        <v>1260000.0000000005</v>
      </c>
      <c r="N5" s="37">
        <f t="shared" ref="N5:N16" si="0">SUM(B5:M5)</f>
        <v>18000000.000000004</v>
      </c>
      <c r="O5" s="38">
        <f>Production!O6*(Assumptions!$C$25*(1+Assumptions!$C$26)^1)</f>
        <v>1638000.0000000002</v>
      </c>
      <c r="P5" s="38">
        <f>Production!P6*(Assumptions!$C$25*(1+Assumptions!$C$26)^1)</f>
        <v>1638000.0000000002</v>
      </c>
      <c r="Q5" s="38">
        <f>Production!Q6*(Assumptions!$C$25*(1+Assumptions!$C$26)^1)</f>
        <v>1638000.0000000002</v>
      </c>
      <c r="R5" s="38">
        <f>Production!R6*(Assumptions!$C$25*(1+Assumptions!$C$26)^1)</f>
        <v>1842750.0000000007</v>
      </c>
      <c r="S5" s="38">
        <f>Production!S6*(Assumptions!$C$25*(1+Assumptions!$C$26)^1)</f>
        <v>1842750.0000000007</v>
      </c>
      <c r="T5" s="38">
        <f>Production!T6*(Assumptions!$C$25*(1+Assumptions!$C$26)^1)</f>
        <v>1842750.0000000007</v>
      </c>
      <c r="U5" s="38">
        <f>Production!U6*(Assumptions!$C$25*(1+Assumptions!$C$26)^1)</f>
        <v>1638000.0000000002</v>
      </c>
      <c r="V5" s="38">
        <f>Production!V6*(Assumptions!$C$25*(1+Assumptions!$C$26)^1)</f>
        <v>1638000.0000000002</v>
      </c>
      <c r="W5" s="38">
        <f>Production!W6*(Assumptions!$C$25*(1+Assumptions!$C$26)^1)</f>
        <v>1638000.0000000002</v>
      </c>
      <c r="X5" s="38">
        <f>Production!X6*(Assumptions!$C$25*(1+Assumptions!$C$26)^1)</f>
        <v>1842750.0000000007</v>
      </c>
      <c r="Y5" s="38">
        <f>Production!Y6*(Assumptions!$C$25*(1+Assumptions!$C$26)^1)</f>
        <v>1842750.0000000007</v>
      </c>
      <c r="Z5" s="38">
        <f>Production!Z6*(Assumptions!$C$25*(1+Assumptions!$C$26)^1)</f>
        <v>1433250.0000000007</v>
      </c>
      <c r="AA5" s="37">
        <f t="shared" ref="AA5:AA16" si="1">SUM(O5:Z5)</f>
        <v>20475000.000000004</v>
      </c>
      <c r="AB5" s="38">
        <f>Production!AB6*(Assumptions!$C$25*(1+Assumptions!$C$26)^2)</f>
        <v>1852200.0000000005</v>
      </c>
      <c r="AC5" s="38">
        <f>Production!AC6*(Assumptions!$C$25*(1+Assumptions!$C$26)^2)</f>
        <v>1852200.0000000005</v>
      </c>
      <c r="AD5" s="38">
        <f>Production!AD6*(Assumptions!$C$25*(1+Assumptions!$C$26)^2)</f>
        <v>1852200.0000000005</v>
      </c>
      <c r="AE5" s="38">
        <f>Production!AE6*(Assumptions!$C$25*(1+Assumptions!$C$26)^2)</f>
        <v>2083725.0000000007</v>
      </c>
      <c r="AF5" s="38">
        <f>Production!AF6*(Assumptions!$C$25*(1+Assumptions!$C$26)^2)</f>
        <v>2083725.0000000007</v>
      </c>
      <c r="AG5" s="38">
        <f>Production!AG6*(Assumptions!$C$25*(1+Assumptions!$C$26)^2)</f>
        <v>2083725.0000000007</v>
      </c>
      <c r="AH5" s="38">
        <f>Production!AH6*(Assumptions!$C$25*(1+Assumptions!$C$26)^2)</f>
        <v>1852200.0000000005</v>
      </c>
      <c r="AI5" s="38">
        <f>Production!AI6*(Assumptions!$C$25*(1+Assumptions!$C$26)^2)</f>
        <v>1852200.0000000005</v>
      </c>
      <c r="AJ5" s="38">
        <f>Production!AJ6*(Assumptions!$C$25*(1+Assumptions!$C$26)^2)</f>
        <v>1852200.0000000005</v>
      </c>
      <c r="AK5" s="38">
        <f>Production!AK6*(Assumptions!$C$25*(1+Assumptions!$C$26)^2)</f>
        <v>2083725.0000000007</v>
      </c>
      <c r="AL5" s="38">
        <f>Production!AL6*(Assumptions!$C$25*(1+Assumptions!$C$26)^2)</f>
        <v>2083725.0000000007</v>
      </c>
      <c r="AM5" s="38">
        <f>Production!AM6*(Assumptions!$C$25*(1+Assumptions!$C$26)^2)</f>
        <v>1620675.0000000007</v>
      </c>
      <c r="AN5" s="37">
        <f t="shared" ref="AN5:AN16" si="2">SUM(AB5:AM5)</f>
        <v>23152500.000000004</v>
      </c>
      <c r="AO5" s="38">
        <f>Production!AO6*(Assumptions!$C$25*(1+Assumptions!$C$26)^3)</f>
        <v>2083725.0000000007</v>
      </c>
      <c r="AP5" s="38">
        <f>Production!AP6*(Assumptions!$C$25*(1+Assumptions!$C$26)^3)</f>
        <v>2083725.0000000007</v>
      </c>
      <c r="AQ5" s="38">
        <f>Production!AQ6*(Assumptions!$C$25*(1+Assumptions!$C$26)^3)</f>
        <v>2083725.0000000007</v>
      </c>
      <c r="AR5" s="38">
        <f>Production!AR6*(Assumptions!$C$25*(1+Assumptions!$C$26)^3)</f>
        <v>2344190.6250000009</v>
      </c>
      <c r="AS5" s="38">
        <f>Production!AS6*(Assumptions!$C$25*(1+Assumptions!$C$26)^3)</f>
        <v>2344190.6250000009</v>
      </c>
      <c r="AT5" s="38">
        <f>Production!AT6*(Assumptions!$C$25*(1+Assumptions!$C$26)^3)</f>
        <v>2344190.6250000009</v>
      </c>
      <c r="AU5" s="38">
        <f>Production!AU6*(Assumptions!$C$25*(1+Assumptions!$C$26)^3)</f>
        <v>2083725.0000000007</v>
      </c>
      <c r="AV5" s="38">
        <f>Production!AV6*(Assumptions!$C$25*(1+Assumptions!$C$26)^3)</f>
        <v>2083725.0000000007</v>
      </c>
      <c r="AW5" s="38">
        <f>Production!AW6*(Assumptions!$C$25*(1+Assumptions!$C$26)^3)</f>
        <v>2083725.0000000007</v>
      </c>
      <c r="AX5" s="38">
        <f>Production!AX6*(Assumptions!$C$25*(1+Assumptions!$C$26)^3)</f>
        <v>2344190.6250000009</v>
      </c>
      <c r="AY5" s="38">
        <f>Production!AY6*(Assumptions!$C$25*(1+Assumptions!$C$26)^3)</f>
        <v>2344190.6250000009</v>
      </c>
      <c r="AZ5" s="38">
        <f>Production!AZ6*(Assumptions!$C$25*(1+Assumptions!$C$26)^3)</f>
        <v>1823259.3750000009</v>
      </c>
      <c r="BA5" s="37">
        <f t="shared" ref="BA5:BA16" si="3">SUM(AO5:AZ5)</f>
        <v>26046562.500000004</v>
      </c>
      <c r="BB5" s="38">
        <f>Production!BB6*(Assumptions!$C$25*(1+Assumptions!$C$26)^4)</f>
        <v>2333772.0000000005</v>
      </c>
      <c r="BC5" s="38">
        <f>Production!BC6*(Assumptions!$C$25*(1+Assumptions!$C$26)^4)</f>
        <v>2333772.0000000005</v>
      </c>
      <c r="BD5" s="38">
        <f>Production!BD6*(Assumptions!$C$25*(1+Assumptions!$C$26)^4)</f>
        <v>2333772.0000000005</v>
      </c>
      <c r="BE5" s="38">
        <f>Production!BE6*(Assumptions!$C$25*(1+Assumptions!$C$26)^4)</f>
        <v>2625493.5000000005</v>
      </c>
      <c r="BF5" s="38">
        <f>Production!BF6*(Assumptions!$C$25*(1+Assumptions!$C$26)^4)</f>
        <v>2625493.5000000005</v>
      </c>
      <c r="BG5" s="38">
        <f>Production!BG6*(Assumptions!$C$25*(1+Assumptions!$C$26)^4)</f>
        <v>2625493.5000000005</v>
      </c>
      <c r="BH5" s="38">
        <f>Production!BH6*(Assumptions!$C$25*(1+Assumptions!$C$26)^4)</f>
        <v>2333772.0000000005</v>
      </c>
      <c r="BI5" s="38">
        <f>Production!BI6*(Assumptions!$C$25*(1+Assumptions!$C$26)^4)</f>
        <v>2333772.0000000005</v>
      </c>
      <c r="BJ5" s="38">
        <f>Production!BJ6*(Assumptions!$C$25*(1+Assumptions!$C$26)^4)</f>
        <v>2333772.0000000005</v>
      </c>
      <c r="BK5" s="38">
        <f>Production!BK6*(Assumptions!$C$25*(1+Assumptions!$C$26)^4)</f>
        <v>2625493.5000000005</v>
      </c>
      <c r="BL5" s="38">
        <f>Production!BL6*(Assumptions!$C$25*(1+Assumptions!$C$26)^4)</f>
        <v>2625493.5000000005</v>
      </c>
      <c r="BM5" s="38">
        <f>Production!BM6*(Assumptions!$C$25*(1+Assumptions!$C$26)^4)</f>
        <v>2042050.5000000007</v>
      </c>
      <c r="BN5" s="37">
        <f t="shared" ref="BN5:BN16" si="4">SUM(BB5:BM5)</f>
        <v>29172150.000000004</v>
      </c>
    </row>
    <row r="6" spans="1:66" ht="15" customHeight="1" x14ac:dyDescent="0.25">
      <c r="A6" s="13" t="str">
        <f>IFERROR(VLOOKUP(Assumptions!$J$5,Assumptions!$S$5:$Z$21,7,FALSE()),"Power &amp; fuel")</f>
        <v>Power &amp; fuel</v>
      </c>
      <c r="B6" s="38">
        <f>Production!B6*(Assumptions!$C$27*(1+Assumptions!$C$28)^0)</f>
        <v>172800.00000000003</v>
      </c>
      <c r="C6" s="38">
        <f>Production!C6*(Assumptions!$C$27*(1+Assumptions!$C$28)^0)</f>
        <v>172800.00000000003</v>
      </c>
      <c r="D6" s="38">
        <f>Production!D6*(Assumptions!$C$27*(1+Assumptions!$C$28)^0)</f>
        <v>172800.00000000003</v>
      </c>
      <c r="E6" s="38">
        <f>Production!E6*(Assumptions!$C$27*(1+Assumptions!$C$28)^0)</f>
        <v>194400.00000000006</v>
      </c>
      <c r="F6" s="38">
        <f>Production!F6*(Assumptions!$C$27*(1+Assumptions!$C$28)^0)</f>
        <v>194400.00000000006</v>
      </c>
      <c r="G6" s="38">
        <f>Production!G6*(Assumptions!$C$27*(1+Assumptions!$C$28)^0)</f>
        <v>194400.00000000006</v>
      </c>
      <c r="H6" s="38">
        <f>Production!H6*(Assumptions!$C$27*(1+Assumptions!$C$28)^0)</f>
        <v>172800.00000000003</v>
      </c>
      <c r="I6" s="38">
        <f>Production!I6*(Assumptions!$C$27*(1+Assumptions!$C$28)^0)</f>
        <v>172800.00000000003</v>
      </c>
      <c r="J6" s="38">
        <f>Production!J6*(Assumptions!$C$27*(1+Assumptions!$C$28)^0)</f>
        <v>172800.00000000003</v>
      </c>
      <c r="K6" s="38">
        <f>Production!K6*(Assumptions!$C$27*(1+Assumptions!$C$28)^0)</f>
        <v>194400.00000000006</v>
      </c>
      <c r="L6" s="38">
        <f>Production!L6*(Assumptions!$C$27*(1+Assumptions!$C$28)^0)</f>
        <v>194400.00000000006</v>
      </c>
      <c r="M6" s="38">
        <f>Production!M6*(Assumptions!$C$27*(1+Assumptions!$C$28)^0)</f>
        <v>151200.00000000006</v>
      </c>
      <c r="N6" s="37">
        <f t="shared" si="0"/>
        <v>2160000.0000000005</v>
      </c>
      <c r="O6" s="38">
        <f>Production!O6*(Assumptions!$C$27*(1+Assumptions!$C$28)^1)</f>
        <v>198432.00000000003</v>
      </c>
      <c r="P6" s="38">
        <f>Production!P6*(Assumptions!$C$27*(1+Assumptions!$C$28)^1)</f>
        <v>198432.00000000003</v>
      </c>
      <c r="Q6" s="38">
        <f>Production!Q6*(Assumptions!$C$27*(1+Assumptions!$C$28)^1)</f>
        <v>198432.00000000003</v>
      </c>
      <c r="R6" s="38">
        <f>Production!R6*(Assumptions!$C$27*(1+Assumptions!$C$28)^1)</f>
        <v>223236.00000000009</v>
      </c>
      <c r="S6" s="38">
        <f>Production!S6*(Assumptions!$C$27*(1+Assumptions!$C$28)^1)</f>
        <v>223236.00000000009</v>
      </c>
      <c r="T6" s="38">
        <f>Production!T6*(Assumptions!$C$27*(1+Assumptions!$C$28)^1)</f>
        <v>223236.00000000009</v>
      </c>
      <c r="U6" s="38">
        <f>Production!U6*(Assumptions!$C$27*(1+Assumptions!$C$28)^1)</f>
        <v>198432.00000000003</v>
      </c>
      <c r="V6" s="38">
        <f>Production!V6*(Assumptions!$C$27*(1+Assumptions!$C$28)^1)</f>
        <v>198432.00000000003</v>
      </c>
      <c r="W6" s="38">
        <f>Production!W6*(Assumptions!$C$27*(1+Assumptions!$C$28)^1)</f>
        <v>198432.00000000003</v>
      </c>
      <c r="X6" s="38">
        <f>Production!X6*(Assumptions!$C$27*(1+Assumptions!$C$28)^1)</f>
        <v>223236.00000000009</v>
      </c>
      <c r="Y6" s="38">
        <f>Production!Y6*(Assumptions!$C$27*(1+Assumptions!$C$28)^1)</f>
        <v>223236.00000000009</v>
      </c>
      <c r="Z6" s="38">
        <f>Production!Z6*(Assumptions!$C$27*(1+Assumptions!$C$28)^1)</f>
        <v>173628.00000000009</v>
      </c>
      <c r="AA6" s="37">
        <f t="shared" si="1"/>
        <v>2480400.0000000005</v>
      </c>
      <c r="AB6" s="38">
        <f>Production!AB6*(Assumptions!$C$27*(1+Assumptions!$C$28)^2)</f>
        <v>226517.76000000007</v>
      </c>
      <c r="AC6" s="38">
        <f>Production!AC6*(Assumptions!$C$27*(1+Assumptions!$C$28)^2)</f>
        <v>226517.76000000007</v>
      </c>
      <c r="AD6" s="38">
        <f>Production!AD6*(Assumptions!$C$27*(1+Assumptions!$C$28)^2)</f>
        <v>226517.76000000007</v>
      </c>
      <c r="AE6" s="38">
        <f>Production!AE6*(Assumptions!$C$27*(1+Assumptions!$C$28)^2)</f>
        <v>254832.48000000013</v>
      </c>
      <c r="AF6" s="38">
        <f>Production!AF6*(Assumptions!$C$27*(1+Assumptions!$C$28)^2)</f>
        <v>254832.48000000013</v>
      </c>
      <c r="AG6" s="38">
        <f>Production!AG6*(Assumptions!$C$27*(1+Assumptions!$C$28)^2)</f>
        <v>254832.48000000013</v>
      </c>
      <c r="AH6" s="38">
        <f>Production!AH6*(Assumptions!$C$27*(1+Assumptions!$C$28)^2)</f>
        <v>226517.76000000007</v>
      </c>
      <c r="AI6" s="38">
        <f>Production!AI6*(Assumptions!$C$27*(1+Assumptions!$C$28)^2)</f>
        <v>226517.76000000007</v>
      </c>
      <c r="AJ6" s="38">
        <f>Production!AJ6*(Assumptions!$C$27*(1+Assumptions!$C$28)^2)</f>
        <v>226517.76000000007</v>
      </c>
      <c r="AK6" s="38">
        <f>Production!AK6*(Assumptions!$C$27*(1+Assumptions!$C$28)^2)</f>
        <v>254832.48000000013</v>
      </c>
      <c r="AL6" s="38">
        <f>Production!AL6*(Assumptions!$C$27*(1+Assumptions!$C$28)^2)</f>
        <v>254832.48000000013</v>
      </c>
      <c r="AM6" s="38">
        <f>Production!AM6*(Assumptions!$C$27*(1+Assumptions!$C$28)^2)</f>
        <v>198203.0400000001</v>
      </c>
      <c r="AN6" s="37">
        <f t="shared" si="2"/>
        <v>2831472.0000000009</v>
      </c>
      <c r="AO6" s="38">
        <f>Production!AO6*(Assumptions!$C$27*(1+Assumptions!$C$28)^3)</f>
        <v>257259.45600000009</v>
      </c>
      <c r="AP6" s="38">
        <f>Production!AP6*(Assumptions!$C$27*(1+Assumptions!$C$28)^3)</f>
        <v>257259.45600000009</v>
      </c>
      <c r="AQ6" s="38">
        <f>Production!AQ6*(Assumptions!$C$27*(1+Assumptions!$C$28)^3)</f>
        <v>257259.45600000009</v>
      </c>
      <c r="AR6" s="38">
        <f>Production!AR6*(Assumptions!$C$27*(1+Assumptions!$C$28)^3)</f>
        <v>289416.88800000015</v>
      </c>
      <c r="AS6" s="38">
        <f>Production!AS6*(Assumptions!$C$27*(1+Assumptions!$C$28)^3)</f>
        <v>289416.88800000015</v>
      </c>
      <c r="AT6" s="38">
        <f>Production!AT6*(Assumptions!$C$27*(1+Assumptions!$C$28)^3)</f>
        <v>289416.88800000015</v>
      </c>
      <c r="AU6" s="38">
        <f>Production!AU6*(Assumptions!$C$27*(1+Assumptions!$C$28)^3)</f>
        <v>257259.45600000009</v>
      </c>
      <c r="AV6" s="38">
        <f>Production!AV6*(Assumptions!$C$27*(1+Assumptions!$C$28)^3)</f>
        <v>257259.45600000009</v>
      </c>
      <c r="AW6" s="38">
        <f>Production!AW6*(Assumptions!$C$27*(1+Assumptions!$C$28)^3)</f>
        <v>257259.45600000009</v>
      </c>
      <c r="AX6" s="38">
        <f>Production!AX6*(Assumptions!$C$27*(1+Assumptions!$C$28)^3)</f>
        <v>289416.88800000015</v>
      </c>
      <c r="AY6" s="38">
        <f>Production!AY6*(Assumptions!$C$27*(1+Assumptions!$C$28)^3)</f>
        <v>289416.88800000015</v>
      </c>
      <c r="AZ6" s="38">
        <f>Production!AZ6*(Assumptions!$C$27*(1+Assumptions!$C$28)^3)</f>
        <v>225102.02400000015</v>
      </c>
      <c r="BA6" s="37">
        <f t="shared" si="3"/>
        <v>3215743.200000002</v>
      </c>
      <c r="BB6" s="38">
        <f>Production!BB6*(Assumptions!$C$27*(1+Assumptions!$C$28)^4)</f>
        <v>290874.69158400007</v>
      </c>
      <c r="BC6" s="38">
        <f>Production!BC6*(Assumptions!$C$27*(1+Assumptions!$C$28)^4)</f>
        <v>290874.69158400007</v>
      </c>
      <c r="BD6" s="38">
        <f>Production!BD6*(Assumptions!$C$27*(1+Assumptions!$C$28)^4)</f>
        <v>290874.69158400007</v>
      </c>
      <c r="BE6" s="38">
        <f>Production!BE6*(Assumptions!$C$27*(1+Assumptions!$C$28)^4)</f>
        <v>327234.02803200012</v>
      </c>
      <c r="BF6" s="38">
        <f>Production!BF6*(Assumptions!$C$27*(1+Assumptions!$C$28)^4)</f>
        <v>327234.02803200012</v>
      </c>
      <c r="BG6" s="38">
        <f>Production!BG6*(Assumptions!$C$27*(1+Assumptions!$C$28)^4)</f>
        <v>327234.02803200012</v>
      </c>
      <c r="BH6" s="38">
        <f>Production!BH6*(Assumptions!$C$27*(1+Assumptions!$C$28)^4)</f>
        <v>290874.69158400007</v>
      </c>
      <c r="BI6" s="38">
        <f>Production!BI6*(Assumptions!$C$27*(1+Assumptions!$C$28)^4)</f>
        <v>290874.69158400007</v>
      </c>
      <c r="BJ6" s="38">
        <f>Production!BJ6*(Assumptions!$C$27*(1+Assumptions!$C$28)^4)</f>
        <v>290874.69158400007</v>
      </c>
      <c r="BK6" s="38">
        <f>Production!BK6*(Assumptions!$C$27*(1+Assumptions!$C$28)^4)</f>
        <v>327234.02803200012</v>
      </c>
      <c r="BL6" s="38">
        <f>Production!BL6*(Assumptions!$C$27*(1+Assumptions!$C$28)^4)</f>
        <v>327234.02803200012</v>
      </c>
      <c r="BM6" s="38">
        <f>Production!BM6*(Assumptions!$C$27*(1+Assumptions!$C$28)^4)</f>
        <v>254515.35513600011</v>
      </c>
      <c r="BN6" s="37">
        <f t="shared" si="4"/>
        <v>3635933.6448000008</v>
      </c>
    </row>
    <row r="7" spans="1:66" ht="15" customHeight="1" x14ac:dyDescent="0.25">
      <c r="A7" s="13" t="s">
        <v>317</v>
      </c>
      <c r="B7" s="41">
        <f>Assumptions!$C$32*(1+Assumptions!$C$33)^0</f>
        <v>150000</v>
      </c>
      <c r="C7" s="41">
        <f>Assumptions!$C$32*(1+Assumptions!$C$33)^0</f>
        <v>150000</v>
      </c>
      <c r="D7" s="41">
        <f>Assumptions!$C$32*(1+Assumptions!$C$33)^0</f>
        <v>150000</v>
      </c>
      <c r="E7" s="41">
        <f>Assumptions!$C$32*(1+Assumptions!$C$33)^0</f>
        <v>150000</v>
      </c>
      <c r="F7" s="41">
        <f>Assumptions!$C$32*(1+Assumptions!$C$33)^0</f>
        <v>150000</v>
      </c>
      <c r="G7" s="41">
        <f>Assumptions!$C$32*(1+Assumptions!$C$33)^0</f>
        <v>150000</v>
      </c>
      <c r="H7" s="41">
        <f>Assumptions!$C$32*(1+Assumptions!$C$33)^0</f>
        <v>150000</v>
      </c>
      <c r="I7" s="41">
        <f>Assumptions!$C$32*(1+Assumptions!$C$33)^0</f>
        <v>150000</v>
      </c>
      <c r="J7" s="41">
        <f>Assumptions!$C$32*(1+Assumptions!$C$33)^0</f>
        <v>150000</v>
      </c>
      <c r="K7" s="41">
        <f>Assumptions!$C$32*(1+Assumptions!$C$33)^0</f>
        <v>150000</v>
      </c>
      <c r="L7" s="41">
        <f>Assumptions!$C$32*(1+Assumptions!$C$33)^0</f>
        <v>150000</v>
      </c>
      <c r="M7" s="41">
        <f>Assumptions!$C$32*(1+Assumptions!$C$33)^0</f>
        <v>150000</v>
      </c>
      <c r="N7" s="37">
        <f t="shared" si="0"/>
        <v>1800000</v>
      </c>
      <c r="O7" s="41">
        <f>Assumptions!$C$32*(1+Assumptions!$C$33)^1</f>
        <v>157500</v>
      </c>
      <c r="P7" s="41">
        <f>Assumptions!$C$32*(1+Assumptions!$C$33)^1</f>
        <v>157500</v>
      </c>
      <c r="Q7" s="41">
        <f>Assumptions!$C$32*(1+Assumptions!$C$33)^1</f>
        <v>157500</v>
      </c>
      <c r="R7" s="41">
        <f>Assumptions!$C$32*(1+Assumptions!$C$33)^1</f>
        <v>157500</v>
      </c>
      <c r="S7" s="41">
        <f>Assumptions!$C$32*(1+Assumptions!$C$33)^1</f>
        <v>157500</v>
      </c>
      <c r="T7" s="41">
        <f>Assumptions!$C$32*(1+Assumptions!$C$33)^1</f>
        <v>157500</v>
      </c>
      <c r="U7" s="41">
        <f>Assumptions!$C$32*(1+Assumptions!$C$33)^1</f>
        <v>157500</v>
      </c>
      <c r="V7" s="41">
        <f>Assumptions!$C$32*(1+Assumptions!$C$33)^1</f>
        <v>157500</v>
      </c>
      <c r="W7" s="41">
        <f>Assumptions!$C$32*(1+Assumptions!$C$33)^1</f>
        <v>157500</v>
      </c>
      <c r="X7" s="41">
        <f>Assumptions!$C$32*(1+Assumptions!$C$33)^1</f>
        <v>157500</v>
      </c>
      <c r="Y7" s="41">
        <f>Assumptions!$C$32*(1+Assumptions!$C$33)^1</f>
        <v>157500</v>
      </c>
      <c r="Z7" s="41">
        <f>Assumptions!$C$32*(1+Assumptions!$C$33)^1</f>
        <v>157500</v>
      </c>
      <c r="AA7" s="37">
        <f t="shared" si="1"/>
        <v>1890000</v>
      </c>
      <c r="AB7" s="41">
        <f>Assumptions!$C$32*(1+Assumptions!$C$33)^2</f>
        <v>165375</v>
      </c>
      <c r="AC7" s="41">
        <f>Assumptions!$C$32*(1+Assumptions!$C$33)^2</f>
        <v>165375</v>
      </c>
      <c r="AD7" s="41">
        <f>Assumptions!$C$32*(1+Assumptions!$C$33)^2</f>
        <v>165375</v>
      </c>
      <c r="AE7" s="41">
        <f>Assumptions!$C$32*(1+Assumptions!$C$33)^2</f>
        <v>165375</v>
      </c>
      <c r="AF7" s="41">
        <f>Assumptions!$C$32*(1+Assumptions!$C$33)^2</f>
        <v>165375</v>
      </c>
      <c r="AG7" s="41">
        <f>Assumptions!$C$32*(1+Assumptions!$C$33)^2</f>
        <v>165375</v>
      </c>
      <c r="AH7" s="41">
        <f>Assumptions!$C$32*(1+Assumptions!$C$33)^2</f>
        <v>165375</v>
      </c>
      <c r="AI7" s="41">
        <f>Assumptions!$C$32*(1+Assumptions!$C$33)^2</f>
        <v>165375</v>
      </c>
      <c r="AJ7" s="41">
        <f>Assumptions!$C$32*(1+Assumptions!$C$33)^2</f>
        <v>165375</v>
      </c>
      <c r="AK7" s="41">
        <f>Assumptions!$C$32*(1+Assumptions!$C$33)^2</f>
        <v>165375</v>
      </c>
      <c r="AL7" s="41">
        <f>Assumptions!$C$32*(1+Assumptions!$C$33)^2</f>
        <v>165375</v>
      </c>
      <c r="AM7" s="41">
        <f>Assumptions!$C$32*(1+Assumptions!$C$33)^2</f>
        <v>165375</v>
      </c>
      <c r="AN7" s="37">
        <f t="shared" si="2"/>
        <v>1984500</v>
      </c>
      <c r="AO7" s="41">
        <f>Assumptions!$C$32*(1+Assumptions!$C$33)^3</f>
        <v>173643.75000000003</v>
      </c>
      <c r="AP7" s="41">
        <f>Assumptions!$C$32*(1+Assumptions!$C$33)^3</f>
        <v>173643.75000000003</v>
      </c>
      <c r="AQ7" s="41">
        <f>Assumptions!$C$32*(1+Assumptions!$C$33)^3</f>
        <v>173643.75000000003</v>
      </c>
      <c r="AR7" s="41">
        <f>Assumptions!$C$32*(1+Assumptions!$C$33)^3</f>
        <v>173643.75000000003</v>
      </c>
      <c r="AS7" s="41">
        <f>Assumptions!$C$32*(1+Assumptions!$C$33)^3</f>
        <v>173643.75000000003</v>
      </c>
      <c r="AT7" s="41">
        <f>Assumptions!$C$32*(1+Assumptions!$C$33)^3</f>
        <v>173643.75000000003</v>
      </c>
      <c r="AU7" s="41">
        <f>Assumptions!$C$32*(1+Assumptions!$C$33)^3</f>
        <v>173643.75000000003</v>
      </c>
      <c r="AV7" s="41">
        <f>Assumptions!$C$32*(1+Assumptions!$C$33)^3</f>
        <v>173643.75000000003</v>
      </c>
      <c r="AW7" s="41">
        <f>Assumptions!$C$32*(1+Assumptions!$C$33)^3</f>
        <v>173643.75000000003</v>
      </c>
      <c r="AX7" s="41">
        <f>Assumptions!$C$32*(1+Assumptions!$C$33)^3</f>
        <v>173643.75000000003</v>
      </c>
      <c r="AY7" s="41">
        <f>Assumptions!$C$32*(1+Assumptions!$C$33)^3</f>
        <v>173643.75000000003</v>
      </c>
      <c r="AZ7" s="41">
        <f>Assumptions!$C$32*(1+Assumptions!$C$33)^3</f>
        <v>173643.75000000003</v>
      </c>
      <c r="BA7" s="37">
        <f t="shared" si="3"/>
        <v>2083725.0000000002</v>
      </c>
      <c r="BB7" s="41">
        <f>Assumptions!$C$32*(1+Assumptions!$C$33)^4</f>
        <v>182325.9375</v>
      </c>
      <c r="BC7" s="41">
        <f>Assumptions!$C$32*(1+Assumptions!$C$33)^4</f>
        <v>182325.9375</v>
      </c>
      <c r="BD7" s="41">
        <f>Assumptions!$C$32*(1+Assumptions!$C$33)^4</f>
        <v>182325.9375</v>
      </c>
      <c r="BE7" s="41">
        <f>Assumptions!$C$32*(1+Assumptions!$C$33)^4</f>
        <v>182325.9375</v>
      </c>
      <c r="BF7" s="41">
        <f>Assumptions!$C$32*(1+Assumptions!$C$33)^4</f>
        <v>182325.9375</v>
      </c>
      <c r="BG7" s="41">
        <f>Assumptions!$C$32*(1+Assumptions!$C$33)^4</f>
        <v>182325.9375</v>
      </c>
      <c r="BH7" s="41">
        <f>Assumptions!$C$32*(1+Assumptions!$C$33)^4</f>
        <v>182325.9375</v>
      </c>
      <c r="BI7" s="41">
        <f>Assumptions!$C$32*(1+Assumptions!$C$33)^4</f>
        <v>182325.9375</v>
      </c>
      <c r="BJ7" s="41">
        <f>Assumptions!$C$32*(1+Assumptions!$C$33)^4</f>
        <v>182325.9375</v>
      </c>
      <c r="BK7" s="41">
        <f>Assumptions!$C$32*(1+Assumptions!$C$33)^4</f>
        <v>182325.9375</v>
      </c>
      <c r="BL7" s="41">
        <f>Assumptions!$C$32*(1+Assumptions!$C$33)^4</f>
        <v>182325.9375</v>
      </c>
      <c r="BM7" s="41">
        <f>Assumptions!$C$32*(1+Assumptions!$C$33)^4</f>
        <v>182325.9375</v>
      </c>
      <c r="BN7" s="37">
        <f t="shared" si="4"/>
        <v>2187911.25</v>
      </c>
    </row>
    <row r="8" spans="1:66" ht="15" customHeight="1" x14ac:dyDescent="0.25">
      <c r="A8" s="13" t="s">
        <v>318</v>
      </c>
      <c r="B8" s="38">
        <f>Production!B6*(Assumptions!$C$29*(1+Assumptions!$C$30)^0)</f>
        <v>115200.00000000003</v>
      </c>
      <c r="C8" s="38">
        <f>Production!C6*(Assumptions!$C$29*(1+Assumptions!$C$30)^0)</f>
        <v>115200.00000000003</v>
      </c>
      <c r="D8" s="38">
        <f>Production!D6*(Assumptions!$C$29*(1+Assumptions!$C$30)^0)</f>
        <v>115200.00000000003</v>
      </c>
      <c r="E8" s="38">
        <f>Production!E6*(Assumptions!$C$29*(1+Assumptions!$C$30)^0)</f>
        <v>129600.00000000006</v>
      </c>
      <c r="F8" s="38">
        <f>Production!F6*(Assumptions!$C$29*(1+Assumptions!$C$30)^0)</f>
        <v>129600.00000000006</v>
      </c>
      <c r="G8" s="38">
        <f>Production!G6*(Assumptions!$C$29*(1+Assumptions!$C$30)^0)</f>
        <v>129600.00000000006</v>
      </c>
      <c r="H8" s="38">
        <f>Production!H6*(Assumptions!$C$29*(1+Assumptions!$C$30)^0)</f>
        <v>115200.00000000003</v>
      </c>
      <c r="I8" s="38">
        <f>Production!I6*(Assumptions!$C$29*(1+Assumptions!$C$30)^0)</f>
        <v>115200.00000000003</v>
      </c>
      <c r="J8" s="38">
        <f>Production!J6*(Assumptions!$C$29*(1+Assumptions!$C$30)^0)</f>
        <v>115200.00000000003</v>
      </c>
      <c r="K8" s="38">
        <f>Production!K6*(Assumptions!$C$29*(1+Assumptions!$C$30)^0)</f>
        <v>129600.00000000006</v>
      </c>
      <c r="L8" s="38">
        <f>Production!L6*(Assumptions!$C$29*(1+Assumptions!$C$30)^0)</f>
        <v>129600.00000000006</v>
      </c>
      <c r="M8" s="38">
        <f>Production!M6*(Assumptions!$C$29*(1+Assumptions!$C$30)^0)</f>
        <v>100800.00000000004</v>
      </c>
      <c r="N8" s="37">
        <f t="shared" si="0"/>
        <v>1440000.0000000002</v>
      </c>
      <c r="O8" s="38">
        <f>Production!O6*(Assumptions!$C$29*(1+Assumptions!$C$30)^1)</f>
        <v>129792.00000000003</v>
      </c>
      <c r="P8" s="38">
        <f>Production!P6*(Assumptions!$C$29*(1+Assumptions!$C$30)^1)</f>
        <v>129792.00000000003</v>
      </c>
      <c r="Q8" s="38">
        <f>Production!Q6*(Assumptions!$C$29*(1+Assumptions!$C$30)^1)</f>
        <v>129792.00000000003</v>
      </c>
      <c r="R8" s="38">
        <f>Production!R6*(Assumptions!$C$29*(1+Assumptions!$C$30)^1)</f>
        <v>146016.00000000006</v>
      </c>
      <c r="S8" s="38">
        <f>Production!S6*(Assumptions!$C$29*(1+Assumptions!$C$30)^1)</f>
        <v>146016.00000000006</v>
      </c>
      <c r="T8" s="38">
        <f>Production!T6*(Assumptions!$C$29*(1+Assumptions!$C$30)^1)</f>
        <v>146016.00000000006</v>
      </c>
      <c r="U8" s="38">
        <f>Production!U6*(Assumptions!$C$29*(1+Assumptions!$C$30)^1)</f>
        <v>129792.00000000003</v>
      </c>
      <c r="V8" s="38">
        <f>Production!V6*(Assumptions!$C$29*(1+Assumptions!$C$30)^1)</f>
        <v>129792.00000000003</v>
      </c>
      <c r="W8" s="38">
        <f>Production!W6*(Assumptions!$C$29*(1+Assumptions!$C$30)^1)</f>
        <v>129792.00000000003</v>
      </c>
      <c r="X8" s="38">
        <f>Production!X6*(Assumptions!$C$29*(1+Assumptions!$C$30)^1)</f>
        <v>146016.00000000006</v>
      </c>
      <c r="Y8" s="38">
        <f>Production!Y6*(Assumptions!$C$29*(1+Assumptions!$C$30)^1)</f>
        <v>146016.00000000006</v>
      </c>
      <c r="Z8" s="38">
        <f>Production!Z6*(Assumptions!$C$29*(1+Assumptions!$C$30)^1)</f>
        <v>113568.00000000006</v>
      </c>
      <c r="AA8" s="37">
        <f t="shared" si="1"/>
        <v>1622400.0000000002</v>
      </c>
      <c r="AB8" s="38">
        <f>Production!AB6*(Assumptions!$C$29*(1+Assumptions!$C$30)^2)</f>
        <v>145367.04000000007</v>
      </c>
      <c r="AC8" s="38">
        <f>Production!AC6*(Assumptions!$C$29*(1+Assumptions!$C$30)^2)</f>
        <v>145367.04000000007</v>
      </c>
      <c r="AD8" s="38">
        <f>Production!AD6*(Assumptions!$C$29*(1+Assumptions!$C$30)^2)</f>
        <v>145367.04000000007</v>
      </c>
      <c r="AE8" s="38">
        <f>Production!AE6*(Assumptions!$C$29*(1+Assumptions!$C$30)^2)</f>
        <v>163537.92000000007</v>
      </c>
      <c r="AF8" s="38">
        <f>Production!AF6*(Assumptions!$C$29*(1+Assumptions!$C$30)^2)</f>
        <v>163537.92000000007</v>
      </c>
      <c r="AG8" s="38">
        <f>Production!AG6*(Assumptions!$C$29*(1+Assumptions!$C$30)^2)</f>
        <v>163537.92000000007</v>
      </c>
      <c r="AH8" s="38">
        <f>Production!AH6*(Assumptions!$C$29*(1+Assumptions!$C$30)^2)</f>
        <v>145367.04000000007</v>
      </c>
      <c r="AI8" s="38">
        <f>Production!AI6*(Assumptions!$C$29*(1+Assumptions!$C$30)^2)</f>
        <v>145367.04000000007</v>
      </c>
      <c r="AJ8" s="38">
        <f>Production!AJ6*(Assumptions!$C$29*(1+Assumptions!$C$30)^2)</f>
        <v>145367.04000000007</v>
      </c>
      <c r="AK8" s="38">
        <f>Production!AK6*(Assumptions!$C$29*(1+Assumptions!$C$30)^2)</f>
        <v>163537.92000000007</v>
      </c>
      <c r="AL8" s="38">
        <f>Production!AL6*(Assumptions!$C$29*(1+Assumptions!$C$30)^2)</f>
        <v>163537.92000000007</v>
      </c>
      <c r="AM8" s="38">
        <f>Production!AM6*(Assumptions!$C$29*(1+Assumptions!$C$30)^2)</f>
        <v>127196.16000000008</v>
      </c>
      <c r="AN8" s="37">
        <f t="shared" si="2"/>
        <v>1817088.0000000009</v>
      </c>
      <c r="AO8" s="38">
        <f>Production!AO6*(Assumptions!$C$29*(1+Assumptions!$C$30)^3)</f>
        <v>161980.41600000006</v>
      </c>
      <c r="AP8" s="38">
        <f>Production!AP6*(Assumptions!$C$29*(1+Assumptions!$C$30)^3)</f>
        <v>161980.41600000006</v>
      </c>
      <c r="AQ8" s="38">
        <f>Production!AQ6*(Assumptions!$C$29*(1+Assumptions!$C$30)^3)</f>
        <v>161980.41600000006</v>
      </c>
      <c r="AR8" s="38">
        <f>Production!AR6*(Assumptions!$C$29*(1+Assumptions!$C$30)^3)</f>
        <v>182227.96800000008</v>
      </c>
      <c r="AS8" s="38">
        <f>Production!AS6*(Assumptions!$C$29*(1+Assumptions!$C$30)^3)</f>
        <v>182227.96800000008</v>
      </c>
      <c r="AT8" s="38">
        <f>Production!AT6*(Assumptions!$C$29*(1+Assumptions!$C$30)^3)</f>
        <v>182227.96800000008</v>
      </c>
      <c r="AU8" s="38">
        <f>Production!AU6*(Assumptions!$C$29*(1+Assumptions!$C$30)^3)</f>
        <v>161980.41600000006</v>
      </c>
      <c r="AV8" s="38">
        <f>Production!AV6*(Assumptions!$C$29*(1+Assumptions!$C$30)^3)</f>
        <v>161980.41600000006</v>
      </c>
      <c r="AW8" s="38">
        <f>Production!AW6*(Assumptions!$C$29*(1+Assumptions!$C$30)^3)</f>
        <v>161980.41600000006</v>
      </c>
      <c r="AX8" s="38">
        <f>Production!AX6*(Assumptions!$C$29*(1+Assumptions!$C$30)^3)</f>
        <v>182227.96800000008</v>
      </c>
      <c r="AY8" s="38">
        <f>Production!AY6*(Assumptions!$C$29*(1+Assumptions!$C$30)^3)</f>
        <v>182227.96800000008</v>
      </c>
      <c r="AZ8" s="38">
        <f>Production!AZ6*(Assumptions!$C$29*(1+Assumptions!$C$30)^3)</f>
        <v>141732.86400000006</v>
      </c>
      <c r="BA8" s="37">
        <f t="shared" si="3"/>
        <v>2024755.2000000007</v>
      </c>
      <c r="BB8" s="38">
        <f>Production!BB6*(Assumptions!$C$29*(1+Assumptions!$C$30)^4)</f>
        <v>179690.27481600008</v>
      </c>
      <c r="BC8" s="38">
        <f>Production!BC6*(Assumptions!$C$29*(1+Assumptions!$C$30)^4)</f>
        <v>179690.27481600008</v>
      </c>
      <c r="BD8" s="38">
        <f>Production!BD6*(Assumptions!$C$29*(1+Assumptions!$C$30)^4)</f>
        <v>179690.27481600008</v>
      </c>
      <c r="BE8" s="38">
        <f>Production!BE6*(Assumptions!$C$29*(1+Assumptions!$C$30)^4)</f>
        <v>202151.55916800009</v>
      </c>
      <c r="BF8" s="38">
        <f>Production!BF6*(Assumptions!$C$29*(1+Assumptions!$C$30)^4)</f>
        <v>202151.55916800009</v>
      </c>
      <c r="BG8" s="38">
        <f>Production!BG6*(Assumptions!$C$29*(1+Assumptions!$C$30)^4)</f>
        <v>202151.55916800009</v>
      </c>
      <c r="BH8" s="38">
        <f>Production!BH6*(Assumptions!$C$29*(1+Assumptions!$C$30)^4)</f>
        <v>179690.27481600008</v>
      </c>
      <c r="BI8" s="38">
        <f>Production!BI6*(Assumptions!$C$29*(1+Assumptions!$C$30)^4)</f>
        <v>179690.27481600008</v>
      </c>
      <c r="BJ8" s="38">
        <f>Production!BJ6*(Assumptions!$C$29*(1+Assumptions!$C$30)^4)</f>
        <v>179690.27481600008</v>
      </c>
      <c r="BK8" s="38">
        <f>Production!BK6*(Assumptions!$C$29*(1+Assumptions!$C$30)^4)</f>
        <v>202151.55916800009</v>
      </c>
      <c r="BL8" s="38">
        <f>Production!BL6*(Assumptions!$C$29*(1+Assumptions!$C$30)^4)</f>
        <v>202151.55916800009</v>
      </c>
      <c r="BM8" s="38">
        <f>Production!BM6*(Assumptions!$C$29*(1+Assumptions!$C$30)^4)</f>
        <v>157228.99046400009</v>
      </c>
      <c r="BN8" s="37">
        <f t="shared" si="4"/>
        <v>2246128.4352000011</v>
      </c>
    </row>
    <row r="9" spans="1:66" ht="15" customHeight="1" x14ac:dyDescent="0.25">
      <c r="A9" s="13" t="str">
        <f>IFERROR(VLOOKUP(Assumptions!$J$5,Assumptions!$S$5:$Z$21,8,FALSE()),"Factory overheads")</f>
        <v>Factory overheads</v>
      </c>
      <c r="B9" s="41">
        <f>Assumptions!$C$34*(1+Assumptions!$C$35)^0</f>
        <v>100000</v>
      </c>
      <c r="C9" s="41">
        <f>Assumptions!$C$34*(1+Assumptions!$C$35)^0</f>
        <v>100000</v>
      </c>
      <c r="D9" s="41">
        <f>Assumptions!$C$34*(1+Assumptions!$C$35)^0</f>
        <v>100000</v>
      </c>
      <c r="E9" s="41">
        <f>Assumptions!$C$34*(1+Assumptions!$C$35)^0</f>
        <v>100000</v>
      </c>
      <c r="F9" s="41">
        <f>Assumptions!$C$34*(1+Assumptions!$C$35)^0</f>
        <v>100000</v>
      </c>
      <c r="G9" s="41">
        <f>Assumptions!$C$34*(1+Assumptions!$C$35)^0</f>
        <v>100000</v>
      </c>
      <c r="H9" s="41">
        <f>Assumptions!$C$34*(1+Assumptions!$C$35)^0</f>
        <v>100000</v>
      </c>
      <c r="I9" s="41">
        <f>Assumptions!$C$34*(1+Assumptions!$C$35)^0</f>
        <v>100000</v>
      </c>
      <c r="J9" s="41">
        <f>Assumptions!$C$34*(1+Assumptions!$C$35)^0</f>
        <v>100000</v>
      </c>
      <c r="K9" s="41">
        <f>Assumptions!$C$34*(1+Assumptions!$C$35)^0</f>
        <v>100000</v>
      </c>
      <c r="L9" s="41">
        <f>Assumptions!$C$34*(1+Assumptions!$C$35)^0</f>
        <v>100000</v>
      </c>
      <c r="M9" s="41">
        <f>Assumptions!$C$34*(1+Assumptions!$C$35)^0</f>
        <v>100000</v>
      </c>
      <c r="N9" s="37">
        <f t="shared" si="0"/>
        <v>1200000</v>
      </c>
      <c r="O9" s="41">
        <f>Assumptions!$C$34*(1+Assumptions!$C$35)^1</f>
        <v>105000</v>
      </c>
      <c r="P9" s="41">
        <f>Assumptions!$C$34*(1+Assumptions!$C$35)^1</f>
        <v>105000</v>
      </c>
      <c r="Q9" s="41">
        <f>Assumptions!$C$34*(1+Assumptions!$C$35)^1</f>
        <v>105000</v>
      </c>
      <c r="R9" s="41">
        <f>Assumptions!$C$34*(1+Assumptions!$C$35)^1</f>
        <v>105000</v>
      </c>
      <c r="S9" s="41">
        <f>Assumptions!$C$34*(1+Assumptions!$C$35)^1</f>
        <v>105000</v>
      </c>
      <c r="T9" s="41">
        <f>Assumptions!$C$34*(1+Assumptions!$C$35)^1</f>
        <v>105000</v>
      </c>
      <c r="U9" s="41">
        <f>Assumptions!$C$34*(1+Assumptions!$C$35)^1</f>
        <v>105000</v>
      </c>
      <c r="V9" s="41">
        <f>Assumptions!$C$34*(1+Assumptions!$C$35)^1</f>
        <v>105000</v>
      </c>
      <c r="W9" s="41">
        <f>Assumptions!$C$34*(1+Assumptions!$C$35)^1</f>
        <v>105000</v>
      </c>
      <c r="X9" s="41">
        <f>Assumptions!$C$34*(1+Assumptions!$C$35)^1</f>
        <v>105000</v>
      </c>
      <c r="Y9" s="41">
        <f>Assumptions!$C$34*(1+Assumptions!$C$35)^1</f>
        <v>105000</v>
      </c>
      <c r="Z9" s="41">
        <f>Assumptions!$C$34*(1+Assumptions!$C$35)^1</f>
        <v>105000</v>
      </c>
      <c r="AA9" s="37">
        <f t="shared" si="1"/>
        <v>1260000</v>
      </c>
      <c r="AB9" s="41">
        <f>Assumptions!$C$34*(1+Assumptions!$C$35)^2</f>
        <v>110250</v>
      </c>
      <c r="AC9" s="41">
        <f>Assumptions!$C$34*(1+Assumptions!$C$35)^2</f>
        <v>110250</v>
      </c>
      <c r="AD9" s="41">
        <f>Assumptions!$C$34*(1+Assumptions!$C$35)^2</f>
        <v>110250</v>
      </c>
      <c r="AE9" s="41">
        <f>Assumptions!$C$34*(1+Assumptions!$C$35)^2</f>
        <v>110250</v>
      </c>
      <c r="AF9" s="41">
        <f>Assumptions!$C$34*(1+Assumptions!$C$35)^2</f>
        <v>110250</v>
      </c>
      <c r="AG9" s="41">
        <f>Assumptions!$C$34*(1+Assumptions!$C$35)^2</f>
        <v>110250</v>
      </c>
      <c r="AH9" s="41">
        <f>Assumptions!$C$34*(1+Assumptions!$C$35)^2</f>
        <v>110250</v>
      </c>
      <c r="AI9" s="41">
        <f>Assumptions!$C$34*(1+Assumptions!$C$35)^2</f>
        <v>110250</v>
      </c>
      <c r="AJ9" s="41">
        <f>Assumptions!$C$34*(1+Assumptions!$C$35)^2</f>
        <v>110250</v>
      </c>
      <c r="AK9" s="41">
        <f>Assumptions!$C$34*(1+Assumptions!$C$35)^2</f>
        <v>110250</v>
      </c>
      <c r="AL9" s="41">
        <f>Assumptions!$C$34*(1+Assumptions!$C$35)^2</f>
        <v>110250</v>
      </c>
      <c r="AM9" s="41">
        <f>Assumptions!$C$34*(1+Assumptions!$C$35)^2</f>
        <v>110250</v>
      </c>
      <c r="AN9" s="37">
        <f t="shared" si="2"/>
        <v>1323000</v>
      </c>
      <c r="AO9" s="41">
        <f>Assumptions!$C$34*(1+Assumptions!$C$35)^3</f>
        <v>115762.50000000001</v>
      </c>
      <c r="AP9" s="41">
        <f>Assumptions!$C$34*(1+Assumptions!$C$35)^3</f>
        <v>115762.50000000001</v>
      </c>
      <c r="AQ9" s="41">
        <f>Assumptions!$C$34*(1+Assumptions!$C$35)^3</f>
        <v>115762.50000000001</v>
      </c>
      <c r="AR9" s="41">
        <f>Assumptions!$C$34*(1+Assumptions!$C$35)^3</f>
        <v>115762.50000000001</v>
      </c>
      <c r="AS9" s="41">
        <f>Assumptions!$C$34*(1+Assumptions!$C$35)^3</f>
        <v>115762.50000000001</v>
      </c>
      <c r="AT9" s="41">
        <f>Assumptions!$C$34*(1+Assumptions!$C$35)^3</f>
        <v>115762.50000000001</v>
      </c>
      <c r="AU9" s="41">
        <f>Assumptions!$C$34*(1+Assumptions!$C$35)^3</f>
        <v>115762.50000000001</v>
      </c>
      <c r="AV9" s="41">
        <f>Assumptions!$C$34*(1+Assumptions!$C$35)^3</f>
        <v>115762.50000000001</v>
      </c>
      <c r="AW9" s="41">
        <f>Assumptions!$C$34*(1+Assumptions!$C$35)^3</f>
        <v>115762.50000000001</v>
      </c>
      <c r="AX9" s="41">
        <f>Assumptions!$C$34*(1+Assumptions!$C$35)^3</f>
        <v>115762.50000000001</v>
      </c>
      <c r="AY9" s="41">
        <f>Assumptions!$C$34*(1+Assumptions!$C$35)^3</f>
        <v>115762.50000000001</v>
      </c>
      <c r="AZ9" s="41">
        <f>Assumptions!$C$34*(1+Assumptions!$C$35)^3</f>
        <v>115762.50000000001</v>
      </c>
      <c r="BA9" s="37">
        <f t="shared" si="3"/>
        <v>1389150.0000000002</v>
      </c>
      <c r="BB9" s="41">
        <f>Assumptions!$C$34*(1+Assumptions!$C$35)^4</f>
        <v>121550.625</v>
      </c>
      <c r="BC9" s="41">
        <f>Assumptions!$C$34*(1+Assumptions!$C$35)^4</f>
        <v>121550.625</v>
      </c>
      <c r="BD9" s="41">
        <f>Assumptions!$C$34*(1+Assumptions!$C$35)^4</f>
        <v>121550.625</v>
      </c>
      <c r="BE9" s="41">
        <f>Assumptions!$C$34*(1+Assumptions!$C$35)^4</f>
        <v>121550.625</v>
      </c>
      <c r="BF9" s="41">
        <f>Assumptions!$C$34*(1+Assumptions!$C$35)^4</f>
        <v>121550.625</v>
      </c>
      <c r="BG9" s="41">
        <f>Assumptions!$C$34*(1+Assumptions!$C$35)^4</f>
        <v>121550.625</v>
      </c>
      <c r="BH9" s="41">
        <f>Assumptions!$C$34*(1+Assumptions!$C$35)^4</f>
        <v>121550.625</v>
      </c>
      <c r="BI9" s="41">
        <f>Assumptions!$C$34*(1+Assumptions!$C$35)^4</f>
        <v>121550.625</v>
      </c>
      <c r="BJ9" s="41">
        <f>Assumptions!$C$34*(1+Assumptions!$C$35)^4</f>
        <v>121550.625</v>
      </c>
      <c r="BK9" s="41">
        <f>Assumptions!$C$34*(1+Assumptions!$C$35)^4</f>
        <v>121550.625</v>
      </c>
      <c r="BL9" s="41">
        <f>Assumptions!$C$34*(1+Assumptions!$C$35)^4</f>
        <v>121550.625</v>
      </c>
      <c r="BM9" s="41">
        <f>Assumptions!$C$34*(1+Assumptions!$C$35)^4</f>
        <v>121550.625</v>
      </c>
      <c r="BN9" s="37">
        <f t="shared" si="4"/>
        <v>1458607.5</v>
      </c>
    </row>
    <row r="10" spans="1:66" ht="15" customHeight="1" x14ac:dyDescent="0.25">
      <c r="A10" s="13" t="s">
        <v>319</v>
      </c>
      <c r="B10" s="41">
        <f>Assumptions!$C$36*(1+Assumptions!$C$37)^0</f>
        <v>30000</v>
      </c>
      <c r="C10" s="41">
        <f>Assumptions!$C$36*(1+Assumptions!$C$37)^0</f>
        <v>30000</v>
      </c>
      <c r="D10" s="41">
        <f>Assumptions!$C$36*(1+Assumptions!$C$37)^0</f>
        <v>30000</v>
      </c>
      <c r="E10" s="41">
        <f>Assumptions!$C$36*(1+Assumptions!$C$37)^0</f>
        <v>30000</v>
      </c>
      <c r="F10" s="41">
        <f>Assumptions!$C$36*(1+Assumptions!$C$37)^0</f>
        <v>30000</v>
      </c>
      <c r="G10" s="41">
        <f>Assumptions!$C$36*(1+Assumptions!$C$37)^0</f>
        <v>30000</v>
      </c>
      <c r="H10" s="41">
        <f>Assumptions!$C$36*(1+Assumptions!$C$37)^0</f>
        <v>30000</v>
      </c>
      <c r="I10" s="41">
        <f>Assumptions!$C$36*(1+Assumptions!$C$37)^0</f>
        <v>30000</v>
      </c>
      <c r="J10" s="41">
        <f>Assumptions!$C$36*(1+Assumptions!$C$37)^0</f>
        <v>30000</v>
      </c>
      <c r="K10" s="41">
        <f>Assumptions!$C$36*(1+Assumptions!$C$37)^0</f>
        <v>30000</v>
      </c>
      <c r="L10" s="41">
        <f>Assumptions!$C$36*(1+Assumptions!$C$37)^0</f>
        <v>30000</v>
      </c>
      <c r="M10" s="41">
        <f>Assumptions!$C$36*(1+Assumptions!$C$37)^0</f>
        <v>30000</v>
      </c>
      <c r="N10" s="37">
        <f t="shared" si="0"/>
        <v>360000</v>
      </c>
      <c r="O10" s="41">
        <f>Assumptions!$C$36*(1+Assumptions!$C$37)^1</f>
        <v>31200</v>
      </c>
      <c r="P10" s="41">
        <f>Assumptions!$C$36*(1+Assumptions!$C$37)^1</f>
        <v>31200</v>
      </c>
      <c r="Q10" s="41">
        <f>Assumptions!$C$36*(1+Assumptions!$C$37)^1</f>
        <v>31200</v>
      </c>
      <c r="R10" s="41">
        <f>Assumptions!$C$36*(1+Assumptions!$C$37)^1</f>
        <v>31200</v>
      </c>
      <c r="S10" s="41">
        <f>Assumptions!$C$36*(1+Assumptions!$C$37)^1</f>
        <v>31200</v>
      </c>
      <c r="T10" s="41">
        <f>Assumptions!$C$36*(1+Assumptions!$C$37)^1</f>
        <v>31200</v>
      </c>
      <c r="U10" s="41">
        <f>Assumptions!$C$36*(1+Assumptions!$C$37)^1</f>
        <v>31200</v>
      </c>
      <c r="V10" s="41">
        <f>Assumptions!$C$36*(1+Assumptions!$C$37)^1</f>
        <v>31200</v>
      </c>
      <c r="W10" s="41">
        <f>Assumptions!$C$36*(1+Assumptions!$C$37)^1</f>
        <v>31200</v>
      </c>
      <c r="X10" s="41">
        <f>Assumptions!$C$36*(1+Assumptions!$C$37)^1</f>
        <v>31200</v>
      </c>
      <c r="Y10" s="41">
        <f>Assumptions!$C$36*(1+Assumptions!$C$37)^1</f>
        <v>31200</v>
      </c>
      <c r="Z10" s="41">
        <f>Assumptions!$C$36*(1+Assumptions!$C$37)^1</f>
        <v>31200</v>
      </c>
      <c r="AA10" s="37">
        <f t="shared" si="1"/>
        <v>374400</v>
      </c>
      <c r="AB10" s="41">
        <f>Assumptions!$C$36*(1+Assumptions!$C$37)^2</f>
        <v>32448.000000000004</v>
      </c>
      <c r="AC10" s="41">
        <f>Assumptions!$C$36*(1+Assumptions!$C$37)^2</f>
        <v>32448.000000000004</v>
      </c>
      <c r="AD10" s="41">
        <f>Assumptions!$C$36*(1+Assumptions!$C$37)^2</f>
        <v>32448.000000000004</v>
      </c>
      <c r="AE10" s="41">
        <f>Assumptions!$C$36*(1+Assumptions!$C$37)^2</f>
        <v>32448.000000000004</v>
      </c>
      <c r="AF10" s="41">
        <f>Assumptions!$C$36*(1+Assumptions!$C$37)^2</f>
        <v>32448.000000000004</v>
      </c>
      <c r="AG10" s="41">
        <f>Assumptions!$C$36*(1+Assumptions!$C$37)^2</f>
        <v>32448.000000000004</v>
      </c>
      <c r="AH10" s="41">
        <f>Assumptions!$C$36*(1+Assumptions!$C$37)^2</f>
        <v>32448.000000000004</v>
      </c>
      <c r="AI10" s="41">
        <f>Assumptions!$C$36*(1+Assumptions!$C$37)^2</f>
        <v>32448.000000000004</v>
      </c>
      <c r="AJ10" s="41">
        <f>Assumptions!$C$36*(1+Assumptions!$C$37)^2</f>
        <v>32448.000000000004</v>
      </c>
      <c r="AK10" s="41">
        <f>Assumptions!$C$36*(1+Assumptions!$C$37)^2</f>
        <v>32448.000000000004</v>
      </c>
      <c r="AL10" s="41">
        <f>Assumptions!$C$36*(1+Assumptions!$C$37)^2</f>
        <v>32448.000000000004</v>
      </c>
      <c r="AM10" s="41">
        <f>Assumptions!$C$36*(1+Assumptions!$C$37)^2</f>
        <v>32448.000000000004</v>
      </c>
      <c r="AN10" s="37">
        <f t="shared" si="2"/>
        <v>389376.00000000006</v>
      </c>
      <c r="AO10" s="41">
        <f>Assumptions!$C$36*(1+Assumptions!$C$37)^3</f>
        <v>33745.920000000006</v>
      </c>
      <c r="AP10" s="41">
        <f>Assumptions!$C$36*(1+Assumptions!$C$37)^3</f>
        <v>33745.920000000006</v>
      </c>
      <c r="AQ10" s="41">
        <f>Assumptions!$C$36*(1+Assumptions!$C$37)^3</f>
        <v>33745.920000000006</v>
      </c>
      <c r="AR10" s="41">
        <f>Assumptions!$C$36*(1+Assumptions!$C$37)^3</f>
        <v>33745.920000000006</v>
      </c>
      <c r="AS10" s="41">
        <f>Assumptions!$C$36*(1+Assumptions!$C$37)^3</f>
        <v>33745.920000000006</v>
      </c>
      <c r="AT10" s="41">
        <f>Assumptions!$C$36*(1+Assumptions!$C$37)^3</f>
        <v>33745.920000000006</v>
      </c>
      <c r="AU10" s="41">
        <f>Assumptions!$C$36*(1+Assumptions!$C$37)^3</f>
        <v>33745.920000000006</v>
      </c>
      <c r="AV10" s="41">
        <f>Assumptions!$C$36*(1+Assumptions!$C$37)^3</f>
        <v>33745.920000000006</v>
      </c>
      <c r="AW10" s="41">
        <f>Assumptions!$C$36*(1+Assumptions!$C$37)^3</f>
        <v>33745.920000000006</v>
      </c>
      <c r="AX10" s="41">
        <f>Assumptions!$C$36*(1+Assumptions!$C$37)^3</f>
        <v>33745.920000000006</v>
      </c>
      <c r="AY10" s="41">
        <f>Assumptions!$C$36*(1+Assumptions!$C$37)^3</f>
        <v>33745.920000000006</v>
      </c>
      <c r="AZ10" s="41">
        <f>Assumptions!$C$36*(1+Assumptions!$C$37)^3</f>
        <v>33745.920000000006</v>
      </c>
      <c r="BA10" s="37">
        <f t="shared" si="3"/>
        <v>404951.03999999998</v>
      </c>
      <c r="BB10" s="41">
        <f>Assumptions!$C$36*(1+Assumptions!$C$37)^4</f>
        <v>35095.756800000003</v>
      </c>
      <c r="BC10" s="41">
        <f>Assumptions!$C$36*(1+Assumptions!$C$37)^4</f>
        <v>35095.756800000003</v>
      </c>
      <c r="BD10" s="41">
        <f>Assumptions!$C$36*(1+Assumptions!$C$37)^4</f>
        <v>35095.756800000003</v>
      </c>
      <c r="BE10" s="41">
        <f>Assumptions!$C$36*(1+Assumptions!$C$37)^4</f>
        <v>35095.756800000003</v>
      </c>
      <c r="BF10" s="41">
        <f>Assumptions!$C$36*(1+Assumptions!$C$37)^4</f>
        <v>35095.756800000003</v>
      </c>
      <c r="BG10" s="41">
        <f>Assumptions!$C$36*(1+Assumptions!$C$37)^4</f>
        <v>35095.756800000003</v>
      </c>
      <c r="BH10" s="41">
        <f>Assumptions!$C$36*(1+Assumptions!$C$37)^4</f>
        <v>35095.756800000003</v>
      </c>
      <c r="BI10" s="41">
        <f>Assumptions!$C$36*(1+Assumptions!$C$37)^4</f>
        <v>35095.756800000003</v>
      </c>
      <c r="BJ10" s="41">
        <f>Assumptions!$C$36*(1+Assumptions!$C$37)^4</f>
        <v>35095.756800000003</v>
      </c>
      <c r="BK10" s="41">
        <f>Assumptions!$C$36*(1+Assumptions!$C$37)^4</f>
        <v>35095.756800000003</v>
      </c>
      <c r="BL10" s="41">
        <f>Assumptions!$C$36*(1+Assumptions!$C$37)^4</f>
        <v>35095.756800000003</v>
      </c>
      <c r="BM10" s="41">
        <f>Assumptions!$C$36*(1+Assumptions!$C$37)^4</f>
        <v>35095.756800000003</v>
      </c>
      <c r="BN10" s="37">
        <f t="shared" si="4"/>
        <v>421149.08159999992</v>
      </c>
    </row>
    <row r="11" spans="1:66" ht="15" customHeight="1" x14ac:dyDescent="0.25">
      <c r="A11" s="13" t="s">
        <v>320</v>
      </c>
      <c r="B11" s="41">
        <f>Assumptions!$C$38*(1+Assumptions!$C$39)^0</f>
        <v>50000</v>
      </c>
      <c r="C11" s="41">
        <f>Assumptions!$C$38*(1+Assumptions!$C$39)^0</f>
        <v>50000</v>
      </c>
      <c r="D11" s="41">
        <f>Assumptions!$C$38*(1+Assumptions!$C$39)^0</f>
        <v>50000</v>
      </c>
      <c r="E11" s="41">
        <f>Assumptions!$C$38*(1+Assumptions!$C$39)^0</f>
        <v>50000</v>
      </c>
      <c r="F11" s="41">
        <f>Assumptions!$C$38*(1+Assumptions!$C$39)^0</f>
        <v>50000</v>
      </c>
      <c r="G11" s="41">
        <f>Assumptions!$C$38*(1+Assumptions!$C$39)^0</f>
        <v>50000</v>
      </c>
      <c r="H11" s="41">
        <f>Assumptions!$C$38*(1+Assumptions!$C$39)^0</f>
        <v>50000</v>
      </c>
      <c r="I11" s="41">
        <f>Assumptions!$C$38*(1+Assumptions!$C$39)^0</f>
        <v>50000</v>
      </c>
      <c r="J11" s="41">
        <f>Assumptions!$C$38*(1+Assumptions!$C$39)^0</f>
        <v>50000</v>
      </c>
      <c r="K11" s="41">
        <f>Assumptions!$C$38*(1+Assumptions!$C$39)^0</f>
        <v>50000</v>
      </c>
      <c r="L11" s="41">
        <f>Assumptions!$C$38*(1+Assumptions!$C$39)^0</f>
        <v>50000</v>
      </c>
      <c r="M11" s="41">
        <f>Assumptions!$C$38*(1+Assumptions!$C$39)^0</f>
        <v>50000</v>
      </c>
      <c r="N11" s="37">
        <f t="shared" si="0"/>
        <v>600000</v>
      </c>
      <c r="O11" s="41">
        <f>Assumptions!$C$38*(1+Assumptions!$C$39)^1</f>
        <v>52000</v>
      </c>
      <c r="P11" s="41">
        <f>Assumptions!$C$38*(1+Assumptions!$C$39)^1</f>
        <v>52000</v>
      </c>
      <c r="Q11" s="41">
        <f>Assumptions!$C$38*(1+Assumptions!$C$39)^1</f>
        <v>52000</v>
      </c>
      <c r="R11" s="41">
        <f>Assumptions!$C$38*(1+Assumptions!$C$39)^1</f>
        <v>52000</v>
      </c>
      <c r="S11" s="41">
        <f>Assumptions!$C$38*(1+Assumptions!$C$39)^1</f>
        <v>52000</v>
      </c>
      <c r="T11" s="41">
        <f>Assumptions!$C$38*(1+Assumptions!$C$39)^1</f>
        <v>52000</v>
      </c>
      <c r="U11" s="41">
        <f>Assumptions!$C$38*(1+Assumptions!$C$39)^1</f>
        <v>52000</v>
      </c>
      <c r="V11" s="41">
        <f>Assumptions!$C$38*(1+Assumptions!$C$39)^1</f>
        <v>52000</v>
      </c>
      <c r="W11" s="41">
        <f>Assumptions!$C$38*(1+Assumptions!$C$39)^1</f>
        <v>52000</v>
      </c>
      <c r="X11" s="41">
        <f>Assumptions!$C$38*(1+Assumptions!$C$39)^1</f>
        <v>52000</v>
      </c>
      <c r="Y11" s="41">
        <f>Assumptions!$C$38*(1+Assumptions!$C$39)^1</f>
        <v>52000</v>
      </c>
      <c r="Z11" s="41">
        <f>Assumptions!$C$38*(1+Assumptions!$C$39)^1</f>
        <v>52000</v>
      </c>
      <c r="AA11" s="37">
        <f t="shared" si="1"/>
        <v>624000</v>
      </c>
      <c r="AB11" s="41">
        <f>Assumptions!$C$38*(1+Assumptions!$C$39)^2</f>
        <v>54080.000000000007</v>
      </c>
      <c r="AC11" s="41">
        <f>Assumptions!$C$38*(1+Assumptions!$C$39)^2</f>
        <v>54080.000000000007</v>
      </c>
      <c r="AD11" s="41">
        <f>Assumptions!$C$38*(1+Assumptions!$C$39)^2</f>
        <v>54080.000000000007</v>
      </c>
      <c r="AE11" s="41">
        <f>Assumptions!$C$38*(1+Assumptions!$C$39)^2</f>
        <v>54080.000000000007</v>
      </c>
      <c r="AF11" s="41">
        <f>Assumptions!$C$38*(1+Assumptions!$C$39)^2</f>
        <v>54080.000000000007</v>
      </c>
      <c r="AG11" s="41">
        <f>Assumptions!$C$38*(1+Assumptions!$C$39)^2</f>
        <v>54080.000000000007</v>
      </c>
      <c r="AH11" s="41">
        <f>Assumptions!$C$38*(1+Assumptions!$C$39)^2</f>
        <v>54080.000000000007</v>
      </c>
      <c r="AI11" s="41">
        <f>Assumptions!$C$38*(1+Assumptions!$C$39)^2</f>
        <v>54080.000000000007</v>
      </c>
      <c r="AJ11" s="41">
        <f>Assumptions!$C$38*(1+Assumptions!$C$39)^2</f>
        <v>54080.000000000007</v>
      </c>
      <c r="AK11" s="41">
        <f>Assumptions!$C$38*(1+Assumptions!$C$39)^2</f>
        <v>54080.000000000007</v>
      </c>
      <c r="AL11" s="41">
        <f>Assumptions!$C$38*(1+Assumptions!$C$39)^2</f>
        <v>54080.000000000007</v>
      </c>
      <c r="AM11" s="41">
        <f>Assumptions!$C$38*(1+Assumptions!$C$39)^2</f>
        <v>54080.000000000007</v>
      </c>
      <c r="AN11" s="37">
        <f t="shared" si="2"/>
        <v>648960.00000000012</v>
      </c>
      <c r="AO11" s="41">
        <f>Assumptions!$C$38*(1+Assumptions!$C$39)^3</f>
        <v>56243.200000000004</v>
      </c>
      <c r="AP11" s="41">
        <f>Assumptions!$C$38*(1+Assumptions!$C$39)^3</f>
        <v>56243.200000000004</v>
      </c>
      <c r="AQ11" s="41">
        <f>Assumptions!$C$38*(1+Assumptions!$C$39)^3</f>
        <v>56243.200000000004</v>
      </c>
      <c r="AR11" s="41">
        <f>Assumptions!$C$38*(1+Assumptions!$C$39)^3</f>
        <v>56243.200000000004</v>
      </c>
      <c r="AS11" s="41">
        <f>Assumptions!$C$38*(1+Assumptions!$C$39)^3</f>
        <v>56243.200000000004</v>
      </c>
      <c r="AT11" s="41">
        <f>Assumptions!$C$38*(1+Assumptions!$C$39)^3</f>
        <v>56243.200000000004</v>
      </c>
      <c r="AU11" s="41">
        <f>Assumptions!$C$38*(1+Assumptions!$C$39)^3</f>
        <v>56243.200000000004</v>
      </c>
      <c r="AV11" s="41">
        <f>Assumptions!$C$38*(1+Assumptions!$C$39)^3</f>
        <v>56243.200000000004</v>
      </c>
      <c r="AW11" s="41">
        <f>Assumptions!$C$38*(1+Assumptions!$C$39)^3</f>
        <v>56243.200000000004</v>
      </c>
      <c r="AX11" s="41">
        <f>Assumptions!$C$38*(1+Assumptions!$C$39)^3</f>
        <v>56243.200000000004</v>
      </c>
      <c r="AY11" s="41">
        <f>Assumptions!$C$38*(1+Assumptions!$C$39)^3</f>
        <v>56243.200000000004</v>
      </c>
      <c r="AZ11" s="41">
        <f>Assumptions!$C$38*(1+Assumptions!$C$39)^3</f>
        <v>56243.200000000004</v>
      </c>
      <c r="BA11" s="37">
        <f t="shared" si="3"/>
        <v>674918.39999999991</v>
      </c>
      <c r="BB11" s="41">
        <f>Assumptions!$C$38*(1+Assumptions!$C$39)^4</f>
        <v>58492.928000000007</v>
      </c>
      <c r="BC11" s="41">
        <f>Assumptions!$C$38*(1+Assumptions!$C$39)^4</f>
        <v>58492.928000000007</v>
      </c>
      <c r="BD11" s="41">
        <f>Assumptions!$C$38*(1+Assumptions!$C$39)^4</f>
        <v>58492.928000000007</v>
      </c>
      <c r="BE11" s="41">
        <f>Assumptions!$C$38*(1+Assumptions!$C$39)^4</f>
        <v>58492.928000000007</v>
      </c>
      <c r="BF11" s="41">
        <f>Assumptions!$C$38*(1+Assumptions!$C$39)^4</f>
        <v>58492.928000000007</v>
      </c>
      <c r="BG11" s="41">
        <f>Assumptions!$C$38*(1+Assumptions!$C$39)^4</f>
        <v>58492.928000000007</v>
      </c>
      <c r="BH11" s="41">
        <f>Assumptions!$C$38*(1+Assumptions!$C$39)^4</f>
        <v>58492.928000000007</v>
      </c>
      <c r="BI11" s="41">
        <f>Assumptions!$C$38*(1+Assumptions!$C$39)^4</f>
        <v>58492.928000000007</v>
      </c>
      <c r="BJ11" s="41">
        <f>Assumptions!$C$38*(1+Assumptions!$C$39)^4</f>
        <v>58492.928000000007</v>
      </c>
      <c r="BK11" s="41">
        <f>Assumptions!$C$38*(1+Assumptions!$C$39)^4</f>
        <v>58492.928000000007</v>
      </c>
      <c r="BL11" s="41">
        <f>Assumptions!$C$38*(1+Assumptions!$C$39)^4</f>
        <v>58492.928000000007</v>
      </c>
      <c r="BM11" s="41">
        <f>Assumptions!$C$38*(1+Assumptions!$C$39)^4</f>
        <v>58492.928000000007</v>
      </c>
      <c r="BN11" s="37">
        <f t="shared" si="4"/>
        <v>701915.13599999994</v>
      </c>
    </row>
    <row r="12" spans="1:66" ht="15" customHeight="1" x14ac:dyDescent="0.25">
      <c r="A12" s="13" t="s">
        <v>229</v>
      </c>
      <c r="B12" s="38">
        <f>Sales!B7*Assumptions!$C$40</f>
        <v>57600.000000000007</v>
      </c>
      <c r="C12" s="38">
        <f>Sales!C7*Assumptions!$C$40</f>
        <v>57600.000000000007</v>
      </c>
      <c r="D12" s="38">
        <f>Sales!D7*Assumptions!$C$40</f>
        <v>57600.000000000007</v>
      </c>
      <c r="E12" s="38">
        <f>Sales!E7*Assumptions!$C$40</f>
        <v>64800.000000000022</v>
      </c>
      <c r="F12" s="38">
        <f>Sales!F7*Assumptions!$C$40</f>
        <v>64800.000000000022</v>
      </c>
      <c r="G12" s="38">
        <f>Sales!G7*Assumptions!$C$40</f>
        <v>64800.000000000022</v>
      </c>
      <c r="H12" s="38">
        <f>Sales!H7*Assumptions!$C$40</f>
        <v>57600.000000000007</v>
      </c>
      <c r="I12" s="38">
        <f>Sales!I7*Assumptions!$C$40</f>
        <v>57600.000000000007</v>
      </c>
      <c r="J12" s="38">
        <f>Sales!J7*Assumptions!$C$40</f>
        <v>57600.000000000007</v>
      </c>
      <c r="K12" s="38">
        <f>Sales!K7*Assumptions!$C$40</f>
        <v>64800.000000000022</v>
      </c>
      <c r="L12" s="38">
        <f>Sales!L7*Assumptions!$C$40</f>
        <v>64800.000000000022</v>
      </c>
      <c r="M12" s="38">
        <f>Sales!M7*Assumptions!$C$40</f>
        <v>50400.000000000022</v>
      </c>
      <c r="N12" s="37">
        <f t="shared" si="0"/>
        <v>720000.00000000012</v>
      </c>
      <c r="O12" s="38">
        <f>Sales!O7*Assumptions!$C$40</f>
        <v>64896.000000000022</v>
      </c>
      <c r="P12" s="38">
        <f>Sales!P7*Assumptions!$C$40</f>
        <v>64896.000000000022</v>
      </c>
      <c r="Q12" s="38">
        <f>Sales!Q7*Assumptions!$C$40</f>
        <v>64896.000000000022</v>
      </c>
      <c r="R12" s="38">
        <f>Sales!R7*Assumptions!$C$40</f>
        <v>73008.000000000029</v>
      </c>
      <c r="S12" s="38">
        <f>Sales!S7*Assumptions!$C$40</f>
        <v>73008.000000000029</v>
      </c>
      <c r="T12" s="38">
        <f>Sales!T7*Assumptions!$C$40</f>
        <v>73008.000000000029</v>
      </c>
      <c r="U12" s="38">
        <f>Sales!U7*Assumptions!$C$40</f>
        <v>64896.000000000022</v>
      </c>
      <c r="V12" s="38">
        <f>Sales!V7*Assumptions!$C$40</f>
        <v>64896.000000000022</v>
      </c>
      <c r="W12" s="38">
        <f>Sales!W7*Assumptions!$C$40</f>
        <v>64896.000000000022</v>
      </c>
      <c r="X12" s="38">
        <f>Sales!X7*Assumptions!$C$40</f>
        <v>73008.000000000029</v>
      </c>
      <c r="Y12" s="38">
        <f>Sales!Y7*Assumptions!$C$40</f>
        <v>73008.000000000029</v>
      </c>
      <c r="Z12" s="38">
        <f>Sales!Z7*Assumptions!$C$40</f>
        <v>56784.000000000029</v>
      </c>
      <c r="AA12" s="37">
        <f t="shared" si="1"/>
        <v>811200.00000000012</v>
      </c>
      <c r="AB12" s="38">
        <f>Sales!AB7*Assumptions!$C$40</f>
        <v>72683.520000000019</v>
      </c>
      <c r="AC12" s="38">
        <f>Sales!AC7*Assumptions!$C$40</f>
        <v>72683.520000000019</v>
      </c>
      <c r="AD12" s="38">
        <f>Sales!AD7*Assumptions!$C$40</f>
        <v>72683.520000000019</v>
      </c>
      <c r="AE12" s="38">
        <f>Sales!AE7*Assumptions!$C$40</f>
        <v>81768.960000000036</v>
      </c>
      <c r="AF12" s="38">
        <f>Sales!AF7*Assumptions!$C$40</f>
        <v>81768.960000000036</v>
      </c>
      <c r="AG12" s="38">
        <f>Sales!AG7*Assumptions!$C$40</f>
        <v>81768.960000000036</v>
      </c>
      <c r="AH12" s="38">
        <f>Sales!AH7*Assumptions!$C$40</f>
        <v>72683.520000000019</v>
      </c>
      <c r="AI12" s="38">
        <f>Sales!AI7*Assumptions!$C$40</f>
        <v>72683.520000000019</v>
      </c>
      <c r="AJ12" s="38">
        <f>Sales!AJ7*Assumptions!$C$40</f>
        <v>72683.520000000019</v>
      </c>
      <c r="AK12" s="38">
        <f>Sales!AK7*Assumptions!$C$40</f>
        <v>81768.960000000036</v>
      </c>
      <c r="AL12" s="38">
        <f>Sales!AL7*Assumptions!$C$40</f>
        <v>81768.960000000036</v>
      </c>
      <c r="AM12" s="38">
        <f>Sales!AM7*Assumptions!$C$40</f>
        <v>63598.080000000031</v>
      </c>
      <c r="AN12" s="37">
        <f t="shared" si="2"/>
        <v>908544.00000000047</v>
      </c>
      <c r="AO12" s="38">
        <f>Sales!AO7*Assumptions!$C$40</f>
        <v>80990.208000000028</v>
      </c>
      <c r="AP12" s="38">
        <f>Sales!AP7*Assumptions!$C$40</f>
        <v>80990.208000000028</v>
      </c>
      <c r="AQ12" s="38">
        <f>Sales!AQ7*Assumptions!$C$40</f>
        <v>80990.208000000028</v>
      </c>
      <c r="AR12" s="38">
        <f>Sales!AR7*Assumptions!$C$40</f>
        <v>91113.98400000004</v>
      </c>
      <c r="AS12" s="38">
        <f>Sales!AS7*Assumptions!$C$40</f>
        <v>91113.98400000004</v>
      </c>
      <c r="AT12" s="38">
        <f>Sales!AT7*Assumptions!$C$40</f>
        <v>91113.98400000004</v>
      </c>
      <c r="AU12" s="38">
        <f>Sales!AU7*Assumptions!$C$40</f>
        <v>80990.208000000028</v>
      </c>
      <c r="AV12" s="38">
        <f>Sales!AV7*Assumptions!$C$40</f>
        <v>80990.208000000028</v>
      </c>
      <c r="AW12" s="38">
        <f>Sales!AW7*Assumptions!$C$40</f>
        <v>80990.208000000028</v>
      </c>
      <c r="AX12" s="38">
        <f>Sales!AX7*Assumptions!$C$40</f>
        <v>91113.98400000004</v>
      </c>
      <c r="AY12" s="38">
        <f>Sales!AY7*Assumptions!$C$40</f>
        <v>91113.98400000004</v>
      </c>
      <c r="AZ12" s="38">
        <f>Sales!AZ7*Assumptions!$C$40</f>
        <v>70866.432000000044</v>
      </c>
      <c r="BA12" s="37">
        <f t="shared" si="3"/>
        <v>1012377.6000000003</v>
      </c>
      <c r="BB12" s="38">
        <f>Sales!BB7*Assumptions!$C$40</f>
        <v>89845.137408000024</v>
      </c>
      <c r="BC12" s="38">
        <f>Sales!BC7*Assumptions!$C$40</f>
        <v>89845.137408000024</v>
      </c>
      <c r="BD12" s="38">
        <f>Sales!BD7*Assumptions!$C$40</f>
        <v>89845.137408000024</v>
      </c>
      <c r="BE12" s="38">
        <f>Sales!BE7*Assumptions!$C$40</f>
        <v>101075.77958400003</v>
      </c>
      <c r="BF12" s="38">
        <f>Sales!BF7*Assumptions!$C$40</f>
        <v>101075.77958400003</v>
      </c>
      <c r="BG12" s="38">
        <f>Sales!BG7*Assumptions!$C$40</f>
        <v>101075.77958400003</v>
      </c>
      <c r="BH12" s="38">
        <f>Sales!BH7*Assumptions!$C$40</f>
        <v>89845.137408000024</v>
      </c>
      <c r="BI12" s="38">
        <f>Sales!BI7*Assumptions!$C$40</f>
        <v>89845.137408000024</v>
      </c>
      <c r="BJ12" s="38">
        <f>Sales!BJ7*Assumptions!$C$40</f>
        <v>89845.137408000024</v>
      </c>
      <c r="BK12" s="38">
        <f>Sales!BK7*Assumptions!$C$40</f>
        <v>101075.77958400003</v>
      </c>
      <c r="BL12" s="38">
        <f>Sales!BL7*Assumptions!$C$40</f>
        <v>101075.77958400003</v>
      </c>
      <c r="BM12" s="38">
        <f>Sales!BM7*Assumptions!$C$40</f>
        <v>78614.49523200003</v>
      </c>
      <c r="BN12" s="37">
        <f t="shared" si="4"/>
        <v>1123064.2176000003</v>
      </c>
    </row>
    <row r="13" spans="1:66" ht="15" customHeight="1" x14ac:dyDescent="0.25">
      <c r="A13" s="13" t="s">
        <v>321</v>
      </c>
      <c r="B13" s="41">
        <f>(Assumptions!$C$43*Assumptions!$C$44+Assumptions!$C$45*Assumptions!$C$46+Assumptions!$C$47*Assumptions!$C$48)/12</f>
        <v>76666.666666666672</v>
      </c>
      <c r="C13" s="41">
        <f>(Assumptions!$C$43*Assumptions!$C$44+Assumptions!$C$45*Assumptions!$C$46+Assumptions!$C$47*Assumptions!$C$48)/12</f>
        <v>76666.666666666672</v>
      </c>
      <c r="D13" s="41">
        <f>(Assumptions!$C$43*Assumptions!$C$44+Assumptions!$C$45*Assumptions!$C$46+Assumptions!$C$47*Assumptions!$C$48)/12</f>
        <v>76666.666666666672</v>
      </c>
      <c r="E13" s="41">
        <f>(Assumptions!$C$43*Assumptions!$C$44+Assumptions!$C$45*Assumptions!$C$46+Assumptions!$C$47*Assumptions!$C$48)/12</f>
        <v>76666.666666666672</v>
      </c>
      <c r="F13" s="41">
        <f>(Assumptions!$C$43*Assumptions!$C$44+Assumptions!$C$45*Assumptions!$C$46+Assumptions!$C$47*Assumptions!$C$48)/12</f>
        <v>76666.666666666672</v>
      </c>
      <c r="G13" s="41">
        <f>(Assumptions!$C$43*Assumptions!$C$44+Assumptions!$C$45*Assumptions!$C$46+Assumptions!$C$47*Assumptions!$C$48)/12</f>
        <v>76666.666666666672</v>
      </c>
      <c r="H13" s="41">
        <f>(Assumptions!$C$43*Assumptions!$C$44+Assumptions!$C$45*Assumptions!$C$46+Assumptions!$C$47*Assumptions!$C$48)/12</f>
        <v>76666.666666666672</v>
      </c>
      <c r="I13" s="41">
        <f>(Assumptions!$C$43*Assumptions!$C$44+Assumptions!$C$45*Assumptions!$C$46+Assumptions!$C$47*Assumptions!$C$48)/12</f>
        <v>76666.666666666672</v>
      </c>
      <c r="J13" s="41">
        <f>(Assumptions!$C$43*Assumptions!$C$44+Assumptions!$C$45*Assumptions!$C$46+Assumptions!$C$47*Assumptions!$C$48)/12</f>
        <v>76666.666666666672</v>
      </c>
      <c r="K13" s="41">
        <f>(Assumptions!$C$43*Assumptions!$C$44+Assumptions!$C$45*Assumptions!$C$46+Assumptions!$C$47*Assumptions!$C$48)/12</f>
        <v>76666.666666666672</v>
      </c>
      <c r="L13" s="41">
        <f>(Assumptions!$C$43*Assumptions!$C$44+Assumptions!$C$45*Assumptions!$C$46+Assumptions!$C$47*Assumptions!$C$48)/12</f>
        <v>76666.666666666672</v>
      </c>
      <c r="M13" s="41">
        <f>(Assumptions!$C$43*Assumptions!$C$44+Assumptions!$C$45*Assumptions!$C$46+Assumptions!$C$47*Assumptions!$C$48)/12</f>
        <v>76666.666666666672</v>
      </c>
      <c r="N13" s="37">
        <f t="shared" si="0"/>
        <v>919999.99999999988</v>
      </c>
      <c r="O13" s="41">
        <f>(Assumptions!$C$43*Assumptions!$C$44+Assumptions!$C$45*Assumptions!$C$46+Assumptions!$C$47*Assumptions!$C$48)/12</f>
        <v>76666.666666666672</v>
      </c>
      <c r="P13" s="41">
        <f>(Assumptions!$C$43*Assumptions!$C$44+Assumptions!$C$45*Assumptions!$C$46+Assumptions!$C$47*Assumptions!$C$48)/12</f>
        <v>76666.666666666672</v>
      </c>
      <c r="Q13" s="41">
        <f>(Assumptions!$C$43*Assumptions!$C$44+Assumptions!$C$45*Assumptions!$C$46+Assumptions!$C$47*Assumptions!$C$48)/12</f>
        <v>76666.666666666672</v>
      </c>
      <c r="R13" s="41">
        <f>(Assumptions!$C$43*Assumptions!$C$44+Assumptions!$C$45*Assumptions!$C$46+Assumptions!$C$47*Assumptions!$C$48)/12</f>
        <v>76666.666666666672</v>
      </c>
      <c r="S13" s="41">
        <f>(Assumptions!$C$43*Assumptions!$C$44+Assumptions!$C$45*Assumptions!$C$46+Assumptions!$C$47*Assumptions!$C$48)/12</f>
        <v>76666.666666666672</v>
      </c>
      <c r="T13" s="41">
        <f>(Assumptions!$C$43*Assumptions!$C$44+Assumptions!$C$45*Assumptions!$C$46+Assumptions!$C$47*Assumptions!$C$48)/12</f>
        <v>76666.666666666672</v>
      </c>
      <c r="U13" s="41">
        <f>(Assumptions!$C$43*Assumptions!$C$44+Assumptions!$C$45*Assumptions!$C$46+Assumptions!$C$47*Assumptions!$C$48)/12</f>
        <v>76666.666666666672</v>
      </c>
      <c r="V13" s="41">
        <f>(Assumptions!$C$43*Assumptions!$C$44+Assumptions!$C$45*Assumptions!$C$46+Assumptions!$C$47*Assumptions!$C$48)/12</f>
        <v>76666.666666666672</v>
      </c>
      <c r="W13" s="41">
        <f>(Assumptions!$C$43*Assumptions!$C$44+Assumptions!$C$45*Assumptions!$C$46+Assumptions!$C$47*Assumptions!$C$48)/12</f>
        <v>76666.666666666672</v>
      </c>
      <c r="X13" s="41">
        <f>(Assumptions!$C$43*Assumptions!$C$44+Assumptions!$C$45*Assumptions!$C$46+Assumptions!$C$47*Assumptions!$C$48)/12</f>
        <v>76666.666666666672</v>
      </c>
      <c r="Y13" s="41">
        <f>(Assumptions!$C$43*Assumptions!$C$44+Assumptions!$C$45*Assumptions!$C$46+Assumptions!$C$47*Assumptions!$C$48)/12</f>
        <v>76666.666666666672</v>
      </c>
      <c r="Z13" s="41">
        <f>(Assumptions!$C$43*Assumptions!$C$44+Assumptions!$C$45*Assumptions!$C$46+Assumptions!$C$47*Assumptions!$C$48)/12</f>
        <v>76666.666666666672</v>
      </c>
      <c r="AA13" s="37">
        <f t="shared" si="1"/>
        <v>919999.99999999988</v>
      </c>
      <c r="AB13" s="41">
        <f>(Assumptions!$C$43*Assumptions!$C$44+Assumptions!$C$45*Assumptions!$C$46+Assumptions!$C$47*Assumptions!$C$48)/12</f>
        <v>76666.666666666672</v>
      </c>
      <c r="AC13" s="41">
        <f>(Assumptions!$C$43*Assumptions!$C$44+Assumptions!$C$45*Assumptions!$C$46+Assumptions!$C$47*Assumptions!$C$48)/12</f>
        <v>76666.666666666672</v>
      </c>
      <c r="AD13" s="41">
        <f>(Assumptions!$C$43*Assumptions!$C$44+Assumptions!$C$45*Assumptions!$C$46+Assumptions!$C$47*Assumptions!$C$48)/12</f>
        <v>76666.666666666672</v>
      </c>
      <c r="AE13" s="41">
        <f>(Assumptions!$C$43*Assumptions!$C$44+Assumptions!$C$45*Assumptions!$C$46+Assumptions!$C$47*Assumptions!$C$48)/12</f>
        <v>76666.666666666672</v>
      </c>
      <c r="AF13" s="41">
        <f>(Assumptions!$C$43*Assumptions!$C$44+Assumptions!$C$45*Assumptions!$C$46+Assumptions!$C$47*Assumptions!$C$48)/12</f>
        <v>76666.666666666672</v>
      </c>
      <c r="AG13" s="41">
        <f>(Assumptions!$C$43*Assumptions!$C$44+Assumptions!$C$45*Assumptions!$C$46+Assumptions!$C$47*Assumptions!$C$48)/12</f>
        <v>76666.666666666672</v>
      </c>
      <c r="AH13" s="41">
        <f>(Assumptions!$C$43*Assumptions!$C$44+Assumptions!$C$45*Assumptions!$C$46+Assumptions!$C$47*Assumptions!$C$48)/12</f>
        <v>76666.666666666672</v>
      </c>
      <c r="AI13" s="41">
        <f>(Assumptions!$C$43*Assumptions!$C$44+Assumptions!$C$45*Assumptions!$C$46+Assumptions!$C$47*Assumptions!$C$48)/12</f>
        <v>76666.666666666672</v>
      </c>
      <c r="AJ13" s="41">
        <f>(Assumptions!$C$43*Assumptions!$C$44+Assumptions!$C$45*Assumptions!$C$46+Assumptions!$C$47*Assumptions!$C$48)/12</f>
        <v>76666.666666666672</v>
      </c>
      <c r="AK13" s="41">
        <f>(Assumptions!$C$43*Assumptions!$C$44+Assumptions!$C$45*Assumptions!$C$46+Assumptions!$C$47*Assumptions!$C$48)/12</f>
        <v>76666.666666666672</v>
      </c>
      <c r="AL13" s="41">
        <f>(Assumptions!$C$43*Assumptions!$C$44+Assumptions!$C$45*Assumptions!$C$46+Assumptions!$C$47*Assumptions!$C$48)/12</f>
        <v>76666.666666666672</v>
      </c>
      <c r="AM13" s="41">
        <f>(Assumptions!$C$43*Assumptions!$C$44+Assumptions!$C$45*Assumptions!$C$46+Assumptions!$C$47*Assumptions!$C$48)/12</f>
        <v>76666.666666666672</v>
      </c>
      <c r="AN13" s="37">
        <f t="shared" si="2"/>
        <v>919999.99999999988</v>
      </c>
      <c r="AO13" s="41">
        <f>(Assumptions!$C$43*Assumptions!$C$44+Assumptions!$C$45*Assumptions!$C$46+Assumptions!$C$47*Assumptions!$C$48)/12</f>
        <v>76666.666666666672</v>
      </c>
      <c r="AP13" s="41">
        <f>(Assumptions!$C$43*Assumptions!$C$44+Assumptions!$C$45*Assumptions!$C$46+Assumptions!$C$47*Assumptions!$C$48)/12</f>
        <v>76666.666666666672</v>
      </c>
      <c r="AQ13" s="41">
        <f>(Assumptions!$C$43*Assumptions!$C$44+Assumptions!$C$45*Assumptions!$C$46+Assumptions!$C$47*Assumptions!$C$48)/12</f>
        <v>76666.666666666672</v>
      </c>
      <c r="AR13" s="41">
        <f>(Assumptions!$C$43*Assumptions!$C$44+Assumptions!$C$45*Assumptions!$C$46+Assumptions!$C$47*Assumptions!$C$48)/12</f>
        <v>76666.666666666672</v>
      </c>
      <c r="AS13" s="41">
        <f>(Assumptions!$C$43*Assumptions!$C$44+Assumptions!$C$45*Assumptions!$C$46+Assumptions!$C$47*Assumptions!$C$48)/12</f>
        <v>76666.666666666672</v>
      </c>
      <c r="AT13" s="41">
        <f>(Assumptions!$C$43*Assumptions!$C$44+Assumptions!$C$45*Assumptions!$C$46+Assumptions!$C$47*Assumptions!$C$48)/12</f>
        <v>76666.666666666672</v>
      </c>
      <c r="AU13" s="41">
        <f>(Assumptions!$C$43*Assumptions!$C$44+Assumptions!$C$45*Assumptions!$C$46+Assumptions!$C$47*Assumptions!$C$48)/12</f>
        <v>76666.666666666672</v>
      </c>
      <c r="AV13" s="41">
        <f>(Assumptions!$C$43*Assumptions!$C$44+Assumptions!$C$45*Assumptions!$C$46+Assumptions!$C$47*Assumptions!$C$48)/12</f>
        <v>76666.666666666672</v>
      </c>
      <c r="AW13" s="41">
        <f>(Assumptions!$C$43*Assumptions!$C$44+Assumptions!$C$45*Assumptions!$C$46+Assumptions!$C$47*Assumptions!$C$48)/12</f>
        <v>76666.666666666672</v>
      </c>
      <c r="AX13" s="41">
        <f>(Assumptions!$C$43*Assumptions!$C$44+Assumptions!$C$45*Assumptions!$C$46+Assumptions!$C$47*Assumptions!$C$48)/12</f>
        <v>76666.666666666672</v>
      </c>
      <c r="AY13" s="41">
        <f>(Assumptions!$C$43*Assumptions!$C$44+Assumptions!$C$45*Assumptions!$C$46+Assumptions!$C$47*Assumptions!$C$48)/12</f>
        <v>76666.666666666672</v>
      </c>
      <c r="AZ13" s="41">
        <f>(Assumptions!$C$43*Assumptions!$C$44+Assumptions!$C$45*Assumptions!$C$46+Assumptions!$C$47*Assumptions!$C$48)/12</f>
        <v>76666.666666666672</v>
      </c>
      <c r="BA13" s="37">
        <f t="shared" si="3"/>
        <v>919999.99999999988</v>
      </c>
      <c r="BB13" s="41">
        <f>(Assumptions!$C$43*Assumptions!$C$44+Assumptions!$C$45*Assumptions!$C$46+Assumptions!$C$47*Assumptions!$C$48)/12</f>
        <v>76666.666666666672</v>
      </c>
      <c r="BC13" s="41">
        <f>(Assumptions!$C$43*Assumptions!$C$44+Assumptions!$C$45*Assumptions!$C$46+Assumptions!$C$47*Assumptions!$C$48)/12</f>
        <v>76666.666666666672</v>
      </c>
      <c r="BD13" s="41">
        <f>(Assumptions!$C$43*Assumptions!$C$44+Assumptions!$C$45*Assumptions!$C$46+Assumptions!$C$47*Assumptions!$C$48)/12</f>
        <v>76666.666666666672</v>
      </c>
      <c r="BE13" s="41">
        <f>(Assumptions!$C$43*Assumptions!$C$44+Assumptions!$C$45*Assumptions!$C$46+Assumptions!$C$47*Assumptions!$C$48)/12</f>
        <v>76666.666666666672</v>
      </c>
      <c r="BF13" s="41">
        <f>(Assumptions!$C$43*Assumptions!$C$44+Assumptions!$C$45*Assumptions!$C$46+Assumptions!$C$47*Assumptions!$C$48)/12</f>
        <v>76666.666666666672</v>
      </c>
      <c r="BG13" s="41">
        <f>(Assumptions!$C$43*Assumptions!$C$44+Assumptions!$C$45*Assumptions!$C$46+Assumptions!$C$47*Assumptions!$C$48)/12</f>
        <v>76666.666666666672</v>
      </c>
      <c r="BH13" s="41">
        <f>(Assumptions!$C$43*Assumptions!$C$44+Assumptions!$C$45*Assumptions!$C$46+Assumptions!$C$47*Assumptions!$C$48)/12</f>
        <v>76666.666666666672</v>
      </c>
      <c r="BI13" s="41">
        <f>(Assumptions!$C$43*Assumptions!$C$44+Assumptions!$C$45*Assumptions!$C$46+Assumptions!$C$47*Assumptions!$C$48)/12</f>
        <v>76666.666666666672</v>
      </c>
      <c r="BJ13" s="41">
        <f>(Assumptions!$C$43*Assumptions!$C$44+Assumptions!$C$45*Assumptions!$C$46+Assumptions!$C$47*Assumptions!$C$48)/12</f>
        <v>76666.666666666672</v>
      </c>
      <c r="BK13" s="41">
        <f>(Assumptions!$C$43*Assumptions!$C$44+Assumptions!$C$45*Assumptions!$C$46+Assumptions!$C$47*Assumptions!$C$48)/12</f>
        <v>76666.666666666672</v>
      </c>
      <c r="BL13" s="41">
        <f>(Assumptions!$C$43*Assumptions!$C$44+Assumptions!$C$45*Assumptions!$C$46+Assumptions!$C$47*Assumptions!$C$48)/12</f>
        <v>76666.666666666672</v>
      </c>
      <c r="BM13" s="41">
        <f>(Assumptions!$C$43*Assumptions!$C$44+Assumptions!$C$45*Assumptions!$C$46+Assumptions!$C$47*Assumptions!$C$48)/12</f>
        <v>76666.666666666672</v>
      </c>
      <c r="BN13" s="37">
        <f t="shared" si="4"/>
        <v>919999.99999999988</v>
      </c>
    </row>
    <row r="14" spans="1:66" ht="15" customHeight="1" x14ac:dyDescent="0.25">
      <c r="A14" s="13" t="s">
        <v>322</v>
      </c>
      <c r="B14" s="38">
        <f>Repayment!C6/12</f>
        <v>52500</v>
      </c>
      <c r="C14" s="38">
        <f>Repayment!C6/12</f>
        <v>52500</v>
      </c>
      <c r="D14" s="38">
        <f>Repayment!C6/12</f>
        <v>52500</v>
      </c>
      <c r="E14" s="38">
        <f>Repayment!C6/12</f>
        <v>52500</v>
      </c>
      <c r="F14" s="38">
        <f>Repayment!C6/12</f>
        <v>52500</v>
      </c>
      <c r="G14" s="38">
        <f>Repayment!C6/12</f>
        <v>52500</v>
      </c>
      <c r="H14" s="38">
        <f>Repayment!C6/12</f>
        <v>52500</v>
      </c>
      <c r="I14" s="38">
        <f>Repayment!C6/12</f>
        <v>52500</v>
      </c>
      <c r="J14" s="38">
        <f>Repayment!C6/12</f>
        <v>52500</v>
      </c>
      <c r="K14" s="38">
        <f>Repayment!C6/12</f>
        <v>52500</v>
      </c>
      <c r="L14" s="38">
        <f>Repayment!C6/12</f>
        <v>52500</v>
      </c>
      <c r="M14" s="38">
        <f>Repayment!C6/12</f>
        <v>52500</v>
      </c>
      <c r="N14" s="37">
        <f t="shared" si="0"/>
        <v>630000</v>
      </c>
      <c r="O14" s="38">
        <f>Repayment!D6/12</f>
        <v>51617.647058823524</v>
      </c>
      <c r="P14" s="38">
        <f>Repayment!D6/12</f>
        <v>51617.647058823524</v>
      </c>
      <c r="Q14" s="38">
        <f>Repayment!D6/12</f>
        <v>51617.647058823524</v>
      </c>
      <c r="R14" s="38">
        <f>Repayment!D6/12</f>
        <v>51617.647058823524</v>
      </c>
      <c r="S14" s="38">
        <f>Repayment!D6/12</f>
        <v>51617.647058823524</v>
      </c>
      <c r="T14" s="38">
        <f>Repayment!D6/12</f>
        <v>51617.647058823524</v>
      </c>
      <c r="U14" s="38">
        <f>Repayment!D6/12</f>
        <v>51617.647058823524</v>
      </c>
      <c r="V14" s="38">
        <f>Repayment!D6/12</f>
        <v>51617.647058823524</v>
      </c>
      <c r="W14" s="38">
        <f>Repayment!D6/12</f>
        <v>51617.647058823524</v>
      </c>
      <c r="X14" s="38">
        <f>Repayment!D6/12</f>
        <v>51617.647058823524</v>
      </c>
      <c r="Y14" s="38">
        <f>Repayment!D6/12</f>
        <v>51617.647058823524</v>
      </c>
      <c r="Z14" s="38">
        <f>Repayment!D6/12</f>
        <v>51617.647058823524</v>
      </c>
      <c r="AA14" s="37">
        <f t="shared" si="1"/>
        <v>619411.76470588217</v>
      </c>
      <c r="AB14" s="38">
        <f>Repayment!E6/12</f>
        <v>50735.294117647049</v>
      </c>
      <c r="AC14" s="38">
        <f>Repayment!E6/12</f>
        <v>50735.294117647049</v>
      </c>
      <c r="AD14" s="38">
        <f>Repayment!E6/12</f>
        <v>50735.294117647049</v>
      </c>
      <c r="AE14" s="38">
        <f>Repayment!E6/12</f>
        <v>50735.294117647049</v>
      </c>
      <c r="AF14" s="38">
        <f>Repayment!E6/12</f>
        <v>50735.294117647049</v>
      </c>
      <c r="AG14" s="38">
        <f>Repayment!E6/12</f>
        <v>50735.294117647049</v>
      </c>
      <c r="AH14" s="38">
        <f>Repayment!E6/12</f>
        <v>50735.294117647049</v>
      </c>
      <c r="AI14" s="38">
        <f>Repayment!E6/12</f>
        <v>50735.294117647049</v>
      </c>
      <c r="AJ14" s="38">
        <f>Repayment!E6/12</f>
        <v>50735.294117647049</v>
      </c>
      <c r="AK14" s="38">
        <f>Repayment!E6/12</f>
        <v>50735.294117647049</v>
      </c>
      <c r="AL14" s="38">
        <f>Repayment!E6/12</f>
        <v>50735.294117647049</v>
      </c>
      <c r="AM14" s="38">
        <f>Repayment!E6/12</f>
        <v>50735.294117647049</v>
      </c>
      <c r="AN14" s="37">
        <f t="shared" si="2"/>
        <v>608823.52941176458</v>
      </c>
      <c r="AO14" s="38">
        <f>Repayment!F6/12</f>
        <v>49852.941176470573</v>
      </c>
      <c r="AP14" s="38">
        <f>Repayment!F6/12</f>
        <v>49852.941176470573</v>
      </c>
      <c r="AQ14" s="38">
        <f>Repayment!F6/12</f>
        <v>49852.941176470573</v>
      </c>
      <c r="AR14" s="38">
        <f>Repayment!F6/12</f>
        <v>49852.941176470573</v>
      </c>
      <c r="AS14" s="38">
        <f>Repayment!F6/12</f>
        <v>49852.941176470573</v>
      </c>
      <c r="AT14" s="38">
        <f>Repayment!F6/12</f>
        <v>49852.941176470573</v>
      </c>
      <c r="AU14" s="38">
        <f>Repayment!F6/12</f>
        <v>49852.941176470573</v>
      </c>
      <c r="AV14" s="38">
        <f>Repayment!F6/12</f>
        <v>49852.941176470573</v>
      </c>
      <c r="AW14" s="38">
        <f>Repayment!F6/12</f>
        <v>49852.941176470573</v>
      </c>
      <c r="AX14" s="38">
        <f>Repayment!F6/12</f>
        <v>49852.941176470573</v>
      </c>
      <c r="AY14" s="38">
        <f>Repayment!F6/12</f>
        <v>49852.941176470573</v>
      </c>
      <c r="AZ14" s="38">
        <f>Repayment!F6/12</f>
        <v>49852.941176470573</v>
      </c>
      <c r="BA14" s="37">
        <f t="shared" si="3"/>
        <v>598235.29411764699</v>
      </c>
      <c r="BB14" s="38">
        <f>Repayment!G6/12</f>
        <v>48970.588235294097</v>
      </c>
      <c r="BC14" s="38">
        <f>Repayment!G6/12</f>
        <v>48970.588235294097</v>
      </c>
      <c r="BD14" s="38">
        <f>Repayment!G6/12</f>
        <v>48970.588235294097</v>
      </c>
      <c r="BE14" s="38">
        <f>Repayment!G6/12</f>
        <v>48970.588235294097</v>
      </c>
      <c r="BF14" s="38">
        <f>Repayment!G6/12</f>
        <v>48970.588235294097</v>
      </c>
      <c r="BG14" s="38">
        <f>Repayment!G6/12</f>
        <v>48970.588235294097</v>
      </c>
      <c r="BH14" s="38">
        <f>Repayment!G6/12</f>
        <v>48970.588235294097</v>
      </c>
      <c r="BI14" s="38">
        <f>Repayment!G6/12</f>
        <v>48970.588235294097</v>
      </c>
      <c r="BJ14" s="38">
        <f>Repayment!G6/12</f>
        <v>48970.588235294097</v>
      </c>
      <c r="BK14" s="38">
        <f>Repayment!G6/12</f>
        <v>48970.588235294097</v>
      </c>
      <c r="BL14" s="38">
        <f>Repayment!G6/12</f>
        <v>48970.588235294097</v>
      </c>
      <c r="BM14" s="38">
        <f>Repayment!G6/12</f>
        <v>48970.588235294097</v>
      </c>
      <c r="BN14" s="37">
        <f t="shared" si="4"/>
        <v>587647.05882352917</v>
      </c>
    </row>
    <row r="15" spans="1:66" ht="15" customHeight="1" x14ac:dyDescent="0.25">
      <c r="A15" s="13" t="s">
        <v>323</v>
      </c>
      <c r="B15" s="38">
        <f>Form_V_MPBF!C11*Assumptions!$C$13/12</f>
        <v>12365.753424657536</v>
      </c>
      <c r="C15" s="38">
        <f>Form_V_MPBF!C11*Assumptions!$C$13/12</f>
        <v>12365.753424657536</v>
      </c>
      <c r="D15" s="38">
        <f>Form_V_MPBF!C11*Assumptions!$C$13/12</f>
        <v>12365.753424657536</v>
      </c>
      <c r="E15" s="38">
        <f>Form_V_MPBF!C11*Assumptions!$C$13/12</f>
        <v>12365.753424657536</v>
      </c>
      <c r="F15" s="38">
        <f>Form_V_MPBF!C11*Assumptions!$C$13/12</f>
        <v>12365.753424657536</v>
      </c>
      <c r="G15" s="38">
        <f>Form_V_MPBF!C11*Assumptions!$C$13/12</f>
        <v>12365.753424657536</v>
      </c>
      <c r="H15" s="38">
        <f>Form_V_MPBF!C11*Assumptions!$C$13/12</f>
        <v>12365.753424657536</v>
      </c>
      <c r="I15" s="38">
        <f>Form_V_MPBF!C11*Assumptions!$C$13/12</f>
        <v>12365.753424657536</v>
      </c>
      <c r="J15" s="38">
        <f>Form_V_MPBF!C11*Assumptions!$C$13/12</f>
        <v>12365.753424657536</v>
      </c>
      <c r="K15" s="38">
        <f>Form_V_MPBF!C11*Assumptions!$C$13/12</f>
        <v>12365.753424657536</v>
      </c>
      <c r="L15" s="38">
        <f>Form_V_MPBF!C11*Assumptions!$C$13/12</f>
        <v>12365.753424657536</v>
      </c>
      <c r="M15" s="38">
        <f>Form_V_MPBF!C11*Assumptions!$C$13/12</f>
        <v>12365.753424657536</v>
      </c>
      <c r="N15" s="37">
        <f t="shared" si="0"/>
        <v>148389.04109589042</v>
      </c>
      <c r="O15" s="38">
        <f>Form_V_MPBF!D11*Assumptions!$C$13/12</f>
        <v>13533.842465753425</v>
      </c>
      <c r="P15" s="38">
        <f>Form_V_MPBF!D11*Assumptions!$C$13/12</f>
        <v>13533.842465753425</v>
      </c>
      <c r="Q15" s="38">
        <f>Form_V_MPBF!D11*Assumptions!$C$13/12</f>
        <v>13533.842465753425</v>
      </c>
      <c r="R15" s="38">
        <f>Form_V_MPBF!D11*Assumptions!$C$13/12</f>
        <v>13533.842465753425</v>
      </c>
      <c r="S15" s="38">
        <f>Form_V_MPBF!D11*Assumptions!$C$13/12</f>
        <v>13533.842465753425</v>
      </c>
      <c r="T15" s="38">
        <f>Form_V_MPBF!D11*Assumptions!$C$13/12</f>
        <v>13533.842465753425</v>
      </c>
      <c r="U15" s="38">
        <f>Form_V_MPBF!D11*Assumptions!$C$13/12</f>
        <v>13533.842465753425</v>
      </c>
      <c r="V15" s="38">
        <f>Form_V_MPBF!D11*Assumptions!$C$13/12</f>
        <v>13533.842465753425</v>
      </c>
      <c r="W15" s="38">
        <f>Form_V_MPBF!D11*Assumptions!$C$13/12</f>
        <v>13533.842465753425</v>
      </c>
      <c r="X15" s="38">
        <f>Form_V_MPBF!D11*Assumptions!$C$13/12</f>
        <v>13533.842465753425</v>
      </c>
      <c r="Y15" s="38">
        <f>Form_V_MPBF!D11*Assumptions!$C$13/12</f>
        <v>13533.842465753425</v>
      </c>
      <c r="Z15" s="38">
        <f>Form_V_MPBF!D11*Assumptions!$C$13/12</f>
        <v>13533.842465753425</v>
      </c>
      <c r="AA15" s="37">
        <f t="shared" si="1"/>
        <v>162406.10958904109</v>
      </c>
      <c r="AB15" s="38">
        <f>Form_V_MPBF!E11*Assumptions!$C$13/12</f>
        <v>14756.154657534249</v>
      </c>
      <c r="AC15" s="38">
        <f>Form_V_MPBF!E11*Assumptions!$C$13/12</f>
        <v>14756.154657534249</v>
      </c>
      <c r="AD15" s="38">
        <f>Form_V_MPBF!E11*Assumptions!$C$13/12</f>
        <v>14756.154657534249</v>
      </c>
      <c r="AE15" s="38">
        <f>Form_V_MPBF!E11*Assumptions!$C$13/12</f>
        <v>14756.154657534249</v>
      </c>
      <c r="AF15" s="38">
        <f>Form_V_MPBF!E11*Assumptions!$C$13/12</f>
        <v>14756.154657534249</v>
      </c>
      <c r="AG15" s="38">
        <f>Form_V_MPBF!E11*Assumptions!$C$13/12</f>
        <v>14756.154657534249</v>
      </c>
      <c r="AH15" s="38">
        <f>Form_V_MPBF!E11*Assumptions!$C$13/12</f>
        <v>14756.154657534249</v>
      </c>
      <c r="AI15" s="38">
        <f>Form_V_MPBF!E11*Assumptions!$C$13/12</f>
        <v>14756.154657534249</v>
      </c>
      <c r="AJ15" s="38">
        <f>Form_V_MPBF!E11*Assumptions!$C$13/12</f>
        <v>14756.154657534249</v>
      </c>
      <c r="AK15" s="38">
        <f>Form_V_MPBF!E11*Assumptions!$C$13/12</f>
        <v>14756.154657534249</v>
      </c>
      <c r="AL15" s="38">
        <f>Form_V_MPBF!E11*Assumptions!$C$13/12</f>
        <v>14756.154657534249</v>
      </c>
      <c r="AM15" s="38">
        <f>Form_V_MPBF!E11*Assumptions!$C$13/12</f>
        <v>14756.154657534249</v>
      </c>
      <c r="AN15" s="37">
        <f t="shared" si="2"/>
        <v>177073.85589041095</v>
      </c>
      <c r="AO15" s="38">
        <f>Form_V_MPBF!F11*Assumptions!$C$13/12</f>
        <v>16033.971717123297</v>
      </c>
      <c r="AP15" s="38">
        <f>Form_V_MPBF!F11*Assumptions!$C$13/12</f>
        <v>16033.971717123297</v>
      </c>
      <c r="AQ15" s="38">
        <f>Form_V_MPBF!F11*Assumptions!$C$13/12</f>
        <v>16033.971717123297</v>
      </c>
      <c r="AR15" s="38">
        <f>Form_V_MPBF!F11*Assumptions!$C$13/12</f>
        <v>16033.971717123297</v>
      </c>
      <c r="AS15" s="38">
        <f>Form_V_MPBF!F11*Assumptions!$C$13/12</f>
        <v>16033.971717123297</v>
      </c>
      <c r="AT15" s="38">
        <f>Form_V_MPBF!F11*Assumptions!$C$13/12</f>
        <v>16033.971717123297</v>
      </c>
      <c r="AU15" s="38">
        <f>Form_V_MPBF!F11*Assumptions!$C$13/12</f>
        <v>16033.971717123297</v>
      </c>
      <c r="AV15" s="38">
        <f>Form_V_MPBF!F11*Assumptions!$C$13/12</f>
        <v>16033.971717123297</v>
      </c>
      <c r="AW15" s="38">
        <f>Form_V_MPBF!F11*Assumptions!$C$13/12</f>
        <v>16033.971717123297</v>
      </c>
      <c r="AX15" s="38">
        <f>Form_V_MPBF!F11*Assumptions!$C$13/12</f>
        <v>16033.971717123297</v>
      </c>
      <c r="AY15" s="38">
        <f>Form_V_MPBF!F11*Assumptions!$C$13/12</f>
        <v>16033.971717123297</v>
      </c>
      <c r="AZ15" s="38">
        <f>Form_V_MPBF!F11*Assumptions!$C$13/12</f>
        <v>16033.971717123297</v>
      </c>
      <c r="BA15" s="37">
        <f t="shared" si="3"/>
        <v>192407.66060547953</v>
      </c>
      <c r="BB15" s="38">
        <f>Form_V_MPBF!G11*Assumptions!$C$13/12</f>
        <v>17368.528264027405</v>
      </c>
      <c r="BC15" s="38">
        <f>Form_V_MPBF!G11*Assumptions!$C$13/12</f>
        <v>17368.528264027405</v>
      </c>
      <c r="BD15" s="38">
        <f>Form_V_MPBF!G11*Assumptions!$C$13/12</f>
        <v>17368.528264027405</v>
      </c>
      <c r="BE15" s="38">
        <f>Form_V_MPBF!G11*Assumptions!$C$13/12</f>
        <v>17368.528264027405</v>
      </c>
      <c r="BF15" s="38">
        <f>Form_V_MPBF!G11*Assumptions!$C$13/12</f>
        <v>17368.528264027405</v>
      </c>
      <c r="BG15" s="38">
        <f>Form_V_MPBF!G11*Assumptions!$C$13/12</f>
        <v>17368.528264027405</v>
      </c>
      <c r="BH15" s="38">
        <f>Form_V_MPBF!G11*Assumptions!$C$13/12</f>
        <v>17368.528264027405</v>
      </c>
      <c r="BI15" s="38">
        <f>Form_V_MPBF!G11*Assumptions!$C$13/12</f>
        <v>17368.528264027405</v>
      </c>
      <c r="BJ15" s="38">
        <f>Form_V_MPBF!G11*Assumptions!$C$13/12</f>
        <v>17368.528264027405</v>
      </c>
      <c r="BK15" s="38">
        <f>Form_V_MPBF!G11*Assumptions!$C$13/12</f>
        <v>17368.528264027405</v>
      </c>
      <c r="BL15" s="38">
        <f>Form_V_MPBF!G11*Assumptions!$C$13/12</f>
        <v>17368.528264027405</v>
      </c>
      <c r="BM15" s="38">
        <f>Form_V_MPBF!G11*Assumptions!$C$13/12</f>
        <v>17368.528264027405</v>
      </c>
      <c r="BN15" s="37">
        <f t="shared" si="4"/>
        <v>208422.33916832888</v>
      </c>
    </row>
    <row r="16" spans="1:66" ht="15" customHeight="1" x14ac:dyDescent="0.25">
      <c r="A16" s="35" t="s">
        <v>324</v>
      </c>
      <c r="B16" s="37">
        <f t="shared" ref="B16:M16" si="5">SUM(B5:B15)</f>
        <v>2257132.4200913245</v>
      </c>
      <c r="C16" s="37">
        <f t="shared" si="5"/>
        <v>2257132.4200913245</v>
      </c>
      <c r="D16" s="37">
        <f t="shared" si="5"/>
        <v>2257132.4200913245</v>
      </c>
      <c r="E16" s="37">
        <f t="shared" si="5"/>
        <v>2480332.4200913245</v>
      </c>
      <c r="F16" s="37">
        <f t="shared" si="5"/>
        <v>2480332.4200913245</v>
      </c>
      <c r="G16" s="37">
        <f t="shared" si="5"/>
        <v>2480332.4200913245</v>
      </c>
      <c r="H16" s="37">
        <f t="shared" si="5"/>
        <v>2257132.4200913245</v>
      </c>
      <c r="I16" s="37">
        <f t="shared" si="5"/>
        <v>2257132.4200913245</v>
      </c>
      <c r="J16" s="37">
        <f t="shared" si="5"/>
        <v>2257132.4200913245</v>
      </c>
      <c r="K16" s="37">
        <f t="shared" si="5"/>
        <v>2480332.4200913245</v>
      </c>
      <c r="L16" s="37">
        <f t="shared" si="5"/>
        <v>2480332.4200913245</v>
      </c>
      <c r="M16" s="37">
        <f t="shared" si="5"/>
        <v>2033932.4200913247</v>
      </c>
      <c r="N16" s="37">
        <f t="shared" si="0"/>
        <v>27978389.041095886</v>
      </c>
      <c r="O16" s="37">
        <f t="shared" ref="O16:Z16" si="6">SUM(O5:O15)</f>
        <v>2518638.1561912438</v>
      </c>
      <c r="P16" s="37">
        <f t="shared" si="6"/>
        <v>2518638.1561912438</v>
      </c>
      <c r="Q16" s="37">
        <f t="shared" si="6"/>
        <v>2518638.1561912438</v>
      </c>
      <c r="R16" s="37">
        <f t="shared" si="6"/>
        <v>2772528.1561912443</v>
      </c>
      <c r="S16" s="37">
        <f t="shared" si="6"/>
        <v>2772528.1561912443</v>
      </c>
      <c r="T16" s="37">
        <f t="shared" si="6"/>
        <v>2772528.1561912443</v>
      </c>
      <c r="U16" s="37">
        <f t="shared" si="6"/>
        <v>2518638.1561912438</v>
      </c>
      <c r="V16" s="37">
        <f t="shared" si="6"/>
        <v>2518638.1561912438</v>
      </c>
      <c r="W16" s="37">
        <f t="shared" si="6"/>
        <v>2518638.1561912438</v>
      </c>
      <c r="X16" s="37">
        <f t="shared" si="6"/>
        <v>2772528.1561912443</v>
      </c>
      <c r="Y16" s="37">
        <f t="shared" si="6"/>
        <v>2772528.1561912443</v>
      </c>
      <c r="Z16" s="37">
        <f t="shared" si="6"/>
        <v>2264748.1561912443</v>
      </c>
      <c r="AA16" s="37">
        <f t="shared" si="1"/>
        <v>31239217.874294933</v>
      </c>
      <c r="AB16" s="37">
        <f t="shared" ref="AB16:AM16" si="7">SUM(AB5:AB15)</f>
        <v>2801079.4354418488</v>
      </c>
      <c r="AC16" s="37">
        <f t="shared" si="7"/>
        <v>2801079.4354418488</v>
      </c>
      <c r="AD16" s="37">
        <f t="shared" si="7"/>
        <v>2801079.4354418488</v>
      </c>
      <c r="AE16" s="37">
        <f t="shared" si="7"/>
        <v>3088175.4754418489</v>
      </c>
      <c r="AF16" s="37">
        <f t="shared" si="7"/>
        <v>3088175.4754418489</v>
      </c>
      <c r="AG16" s="37">
        <f t="shared" si="7"/>
        <v>3088175.4754418489</v>
      </c>
      <c r="AH16" s="37">
        <f t="shared" si="7"/>
        <v>2801079.4354418488</v>
      </c>
      <c r="AI16" s="37">
        <f t="shared" si="7"/>
        <v>2801079.4354418488</v>
      </c>
      <c r="AJ16" s="37">
        <f t="shared" si="7"/>
        <v>2801079.4354418488</v>
      </c>
      <c r="AK16" s="37">
        <f t="shared" si="7"/>
        <v>3088175.4754418489</v>
      </c>
      <c r="AL16" s="37">
        <f t="shared" si="7"/>
        <v>3088175.4754418489</v>
      </c>
      <c r="AM16" s="37">
        <f t="shared" si="7"/>
        <v>2513983.3954418488</v>
      </c>
      <c r="AN16" s="37">
        <f t="shared" si="2"/>
        <v>34761337.385302186</v>
      </c>
      <c r="AO16" s="37">
        <f t="shared" ref="AO16:AZ16" si="8">SUM(AO5:AO15)</f>
        <v>3105904.0295602614</v>
      </c>
      <c r="AP16" s="37">
        <f t="shared" si="8"/>
        <v>3105904.0295602614</v>
      </c>
      <c r="AQ16" s="37">
        <f t="shared" si="8"/>
        <v>3105904.0295602614</v>
      </c>
      <c r="AR16" s="37">
        <f t="shared" si="8"/>
        <v>3428898.4145602616</v>
      </c>
      <c r="AS16" s="37">
        <f t="shared" si="8"/>
        <v>3428898.4145602616</v>
      </c>
      <c r="AT16" s="37">
        <f t="shared" si="8"/>
        <v>3428898.4145602616</v>
      </c>
      <c r="AU16" s="37">
        <f t="shared" si="8"/>
        <v>3105904.0295602614</v>
      </c>
      <c r="AV16" s="37">
        <f t="shared" si="8"/>
        <v>3105904.0295602614</v>
      </c>
      <c r="AW16" s="37">
        <f t="shared" si="8"/>
        <v>3105904.0295602614</v>
      </c>
      <c r="AX16" s="37">
        <f t="shared" si="8"/>
        <v>3428898.4145602616</v>
      </c>
      <c r="AY16" s="37">
        <f t="shared" si="8"/>
        <v>3428898.4145602616</v>
      </c>
      <c r="AZ16" s="37">
        <f t="shared" si="8"/>
        <v>2782909.6445602616</v>
      </c>
      <c r="BA16" s="37">
        <f t="shared" si="3"/>
        <v>38562825.89472314</v>
      </c>
      <c r="BB16" s="37">
        <f t="shared" ref="BB16:BM16" si="9">SUM(BB5:BB15)</f>
        <v>3434653.1342739882</v>
      </c>
      <c r="BC16" s="37">
        <f t="shared" si="9"/>
        <v>3434653.1342739882</v>
      </c>
      <c r="BD16" s="37">
        <f t="shared" si="9"/>
        <v>3434653.1342739882</v>
      </c>
      <c r="BE16" s="37">
        <f t="shared" si="9"/>
        <v>3796425.8972499887</v>
      </c>
      <c r="BF16" s="37">
        <f t="shared" si="9"/>
        <v>3796425.8972499887</v>
      </c>
      <c r="BG16" s="37">
        <f t="shared" si="9"/>
        <v>3796425.8972499887</v>
      </c>
      <c r="BH16" s="37">
        <f t="shared" si="9"/>
        <v>3434653.1342739882</v>
      </c>
      <c r="BI16" s="37">
        <f t="shared" si="9"/>
        <v>3434653.1342739882</v>
      </c>
      <c r="BJ16" s="37">
        <f t="shared" si="9"/>
        <v>3434653.1342739882</v>
      </c>
      <c r="BK16" s="37">
        <f t="shared" si="9"/>
        <v>3796425.8972499887</v>
      </c>
      <c r="BL16" s="37">
        <f t="shared" si="9"/>
        <v>3796425.8972499887</v>
      </c>
      <c r="BM16" s="37">
        <f t="shared" si="9"/>
        <v>3072880.371297989</v>
      </c>
      <c r="BN16" s="37">
        <f t="shared" si="4"/>
        <v>42662928.663191855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7">
    <mergeCell ref="A1:BN1"/>
    <mergeCell ref="A2:BN2"/>
    <mergeCell ref="B3:N3"/>
    <mergeCell ref="O3:AA3"/>
    <mergeCell ref="AB3:AN3"/>
    <mergeCell ref="AO3:BA3"/>
    <mergeCell ref="BB3:BN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N1"/>
    </sheetView>
  </sheetViews>
  <sheetFormatPr defaultColWidth="8.7109375" defaultRowHeight="15" x14ac:dyDescent="0.25"/>
  <cols>
    <col min="1" max="1" width="34" customWidth="1"/>
    <col min="2" max="13" width="10" customWidth="1"/>
    <col min="14" max="14" width="13" customWidth="1"/>
    <col min="15" max="26" width="10" customWidth="1"/>
    <col min="27" max="27" width="13" customWidth="1"/>
    <col min="28" max="39" width="10" customWidth="1"/>
    <col min="40" max="40" width="13" customWidth="1"/>
    <col min="41" max="52" width="10" customWidth="1"/>
    <col min="53" max="53" width="13" customWidth="1"/>
    <col min="54" max="65" width="10" customWidth="1"/>
    <col min="66" max="66" width="13" customWidth="1"/>
  </cols>
  <sheetData>
    <row r="1" spans="1:66" ht="25.5" customHeight="1" x14ac:dyDescent="0.25">
      <c r="A1" s="9" t="s">
        <v>325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15" customHeight="1" x14ac:dyDescent="0.25">
      <c r="A2" s="8" t="s">
        <v>326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</row>
    <row r="3" spans="1:66" ht="15.75" customHeight="1" x14ac:dyDescent="0.25">
      <c r="A3" s="29"/>
      <c r="B3" s="1" t="s">
        <v>250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252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253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254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.75" customHeight="1" x14ac:dyDescent="0.25">
      <c r="A4" s="31" t="s">
        <v>255</v>
      </c>
      <c r="B4" s="30" t="s">
        <v>184</v>
      </c>
      <c r="C4" s="30" t="s">
        <v>185</v>
      </c>
      <c r="D4" s="30" t="s">
        <v>186</v>
      </c>
      <c r="E4" s="30" t="s">
        <v>187</v>
      </c>
      <c r="F4" s="30" t="s">
        <v>188</v>
      </c>
      <c r="G4" s="30" t="s">
        <v>189</v>
      </c>
      <c r="H4" s="30" t="s">
        <v>190</v>
      </c>
      <c r="I4" s="30" t="s">
        <v>191</v>
      </c>
      <c r="J4" s="30" t="s">
        <v>192</v>
      </c>
      <c r="K4" s="30" t="s">
        <v>193</v>
      </c>
      <c r="L4" s="30" t="s">
        <v>194</v>
      </c>
      <c r="M4" s="30" t="s">
        <v>195</v>
      </c>
      <c r="N4" s="32" t="s">
        <v>256</v>
      </c>
      <c r="O4" s="30" t="s">
        <v>257</v>
      </c>
      <c r="P4" s="30" t="s">
        <v>258</v>
      </c>
      <c r="Q4" s="30" t="s">
        <v>259</v>
      </c>
      <c r="R4" s="30" t="s">
        <v>260</v>
      </c>
      <c r="S4" s="30" t="s">
        <v>261</v>
      </c>
      <c r="T4" s="30" t="s">
        <v>262</v>
      </c>
      <c r="U4" s="30" t="s">
        <v>263</v>
      </c>
      <c r="V4" s="30" t="s">
        <v>264</v>
      </c>
      <c r="W4" s="30" t="s">
        <v>265</v>
      </c>
      <c r="X4" s="30" t="s">
        <v>266</v>
      </c>
      <c r="Y4" s="30" t="s">
        <v>267</v>
      </c>
      <c r="Z4" s="30" t="s">
        <v>268</v>
      </c>
      <c r="AA4" s="32" t="s">
        <v>269</v>
      </c>
      <c r="AB4" s="30" t="s">
        <v>270</v>
      </c>
      <c r="AC4" s="30" t="s">
        <v>271</v>
      </c>
      <c r="AD4" s="30" t="s">
        <v>272</v>
      </c>
      <c r="AE4" s="30" t="s">
        <v>273</v>
      </c>
      <c r="AF4" s="30" t="s">
        <v>274</v>
      </c>
      <c r="AG4" s="30" t="s">
        <v>275</v>
      </c>
      <c r="AH4" s="30" t="s">
        <v>276</v>
      </c>
      <c r="AI4" s="30" t="s">
        <v>277</v>
      </c>
      <c r="AJ4" s="30" t="s">
        <v>278</v>
      </c>
      <c r="AK4" s="30" t="s">
        <v>279</v>
      </c>
      <c r="AL4" s="30" t="s">
        <v>280</v>
      </c>
      <c r="AM4" s="30" t="s">
        <v>281</v>
      </c>
      <c r="AN4" s="32" t="s">
        <v>282</v>
      </c>
      <c r="AO4" s="30" t="s">
        <v>283</v>
      </c>
      <c r="AP4" s="30" t="s">
        <v>284</v>
      </c>
      <c r="AQ4" s="30" t="s">
        <v>285</v>
      </c>
      <c r="AR4" s="30" t="s">
        <v>286</v>
      </c>
      <c r="AS4" s="30" t="s">
        <v>287</v>
      </c>
      <c r="AT4" s="30" t="s">
        <v>288</v>
      </c>
      <c r="AU4" s="30" t="s">
        <v>289</v>
      </c>
      <c r="AV4" s="30" t="s">
        <v>290</v>
      </c>
      <c r="AW4" s="30" t="s">
        <v>291</v>
      </c>
      <c r="AX4" s="30" t="s">
        <v>292</v>
      </c>
      <c r="AY4" s="30" t="s">
        <v>293</v>
      </c>
      <c r="AZ4" s="30" t="s">
        <v>294</v>
      </c>
      <c r="BA4" s="32" t="s">
        <v>295</v>
      </c>
      <c r="BB4" s="30" t="s">
        <v>296</v>
      </c>
      <c r="BC4" s="30" t="s">
        <v>297</v>
      </c>
      <c r="BD4" s="30" t="s">
        <v>298</v>
      </c>
      <c r="BE4" s="30" t="s">
        <v>299</v>
      </c>
      <c r="BF4" s="30" t="s">
        <v>300</v>
      </c>
      <c r="BG4" s="30" t="s">
        <v>301</v>
      </c>
      <c r="BH4" s="30" t="s">
        <v>302</v>
      </c>
      <c r="BI4" s="30" t="s">
        <v>303</v>
      </c>
      <c r="BJ4" s="30" t="s">
        <v>304</v>
      </c>
      <c r="BK4" s="30" t="s">
        <v>305</v>
      </c>
      <c r="BL4" s="30" t="s">
        <v>306</v>
      </c>
      <c r="BM4" s="30" t="s">
        <v>307</v>
      </c>
      <c r="BN4" s="32" t="s">
        <v>308</v>
      </c>
    </row>
    <row r="5" spans="1:66" ht="15" customHeight="1" x14ac:dyDescent="0.25">
      <c r="A5" s="35" t="s">
        <v>327</v>
      </c>
      <c r="B5" s="38">
        <f>Sales!B7</f>
        <v>2880000.0000000005</v>
      </c>
      <c r="C5" s="38">
        <f>Sales!C7</f>
        <v>2880000.0000000005</v>
      </c>
      <c r="D5" s="38">
        <f>Sales!D7</f>
        <v>2880000.0000000005</v>
      </c>
      <c r="E5" s="38">
        <f>Sales!E7</f>
        <v>3240000.0000000009</v>
      </c>
      <c r="F5" s="38">
        <f>Sales!F7</f>
        <v>3240000.0000000009</v>
      </c>
      <c r="G5" s="38">
        <f>Sales!G7</f>
        <v>3240000.0000000009</v>
      </c>
      <c r="H5" s="38">
        <f>Sales!H7</f>
        <v>2880000.0000000005</v>
      </c>
      <c r="I5" s="38">
        <f>Sales!I7</f>
        <v>2880000.0000000005</v>
      </c>
      <c r="J5" s="38">
        <f>Sales!J7</f>
        <v>2880000.0000000005</v>
      </c>
      <c r="K5" s="38">
        <f>Sales!K7</f>
        <v>3240000.0000000009</v>
      </c>
      <c r="L5" s="38">
        <f>Sales!L7</f>
        <v>3240000.0000000009</v>
      </c>
      <c r="M5" s="38">
        <f>Sales!M7</f>
        <v>2520000.0000000009</v>
      </c>
      <c r="N5" s="37">
        <f t="shared" ref="N5:N22" si="0">SUM(B5:M5)</f>
        <v>36000000.000000007</v>
      </c>
      <c r="O5" s="38">
        <f>Sales!O7</f>
        <v>3244800.0000000009</v>
      </c>
      <c r="P5" s="38">
        <f>Sales!P7</f>
        <v>3244800.0000000009</v>
      </c>
      <c r="Q5" s="38">
        <f>Sales!Q7</f>
        <v>3244800.0000000009</v>
      </c>
      <c r="R5" s="38">
        <f>Sales!R7</f>
        <v>3650400.0000000014</v>
      </c>
      <c r="S5" s="38">
        <f>Sales!S7</f>
        <v>3650400.0000000014</v>
      </c>
      <c r="T5" s="38">
        <f>Sales!T7</f>
        <v>3650400.0000000014</v>
      </c>
      <c r="U5" s="38">
        <f>Sales!U7</f>
        <v>3244800.0000000009</v>
      </c>
      <c r="V5" s="38">
        <f>Sales!V7</f>
        <v>3244800.0000000009</v>
      </c>
      <c r="W5" s="38">
        <f>Sales!W7</f>
        <v>3244800.0000000009</v>
      </c>
      <c r="X5" s="38">
        <f>Sales!X7</f>
        <v>3650400.0000000014</v>
      </c>
      <c r="Y5" s="38">
        <f>Sales!Y7</f>
        <v>3650400.0000000014</v>
      </c>
      <c r="Z5" s="38">
        <f>Sales!Z7</f>
        <v>2839200.0000000014</v>
      </c>
      <c r="AA5" s="37">
        <f t="shared" ref="AA5:AA22" si="1">SUM(O5:Z5)</f>
        <v>40560000.000000007</v>
      </c>
      <c r="AB5" s="38">
        <f>Sales!AB7</f>
        <v>3634176.0000000009</v>
      </c>
      <c r="AC5" s="38">
        <f>Sales!AC7</f>
        <v>3634176.0000000009</v>
      </c>
      <c r="AD5" s="38">
        <f>Sales!AD7</f>
        <v>3634176.0000000009</v>
      </c>
      <c r="AE5" s="38">
        <f>Sales!AE7</f>
        <v>4088448.0000000014</v>
      </c>
      <c r="AF5" s="38">
        <f>Sales!AF7</f>
        <v>4088448.0000000014</v>
      </c>
      <c r="AG5" s="38">
        <f>Sales!AG7</f>
        <v>4088448.0000000014</v>
      </c>
      <c r="AH5" s="38">
        <f>Sales!AH7</f>
        <v>3634176.0000000009</v>
      </c>
      <c r="AI5" s="38">
        <f>Sales!AI7</f>
        <v>3634176.0000000009</v>
      </c>
      <c r="AJ5" s="38">
        <f>Sales!AJ7</f>
        <v>3634176.0000000009</v>
      </c>
      <c r="AK5" s="38">
        <f>Sales!AK7</f>
        <v>4088448.0000000014</v>
      </c>
      <c r="AL5" s="38">
        <f>Sales!AL7</f>
        <v>4088448.0000000014</v>
      </c>
      <c r="AM5" s="38">
        <f>Sales!AM7</f>
        <v>3179904.0000000014</v>
      </c>
      <c r="AN5" s="37">
        <f t="shared" ref="AN5:AN22" si="2">SUM(AB5:AM5)</f>
        <v>45427200.000000007</v>
      </c>
      <c r="AO5" s="38">
        <f>Sales!AO7</f>
        <v>4049510.4000000013</v>
      </c>
      <c r="AP5" s="38">
        <f>Sales!AP7</f>
        <v>4049510.4000000013</v>
      </c>
      <c r="AQ5" s="38">
        <f>Sales!AQ7</f>
        <v>4049510.4000000013</v>
      </c>
      <c r="AR5" s="38">
        <f>Sales!AR7</f>
        <v>4555699.200000002</v>
      </c>
      <c r="AS5" s="38">
        <f>Sales!AS7</f>
        <v>4555699.200000002</v>
      </c>
      <c r="AT5" s="38">
        <f>Sales!AT7</f>
        <v>4555699.200000002</v>
      </c>
      <c r="AU5" s="38">
        <f>Sales!AU7</f>
        <v>4049510.4000000013</v>
      </c>
      <c r="AV5" s="38">
        <f>Sales!AV7</f>
        <v>4049510.4000000013</v>
      </c>
      <c r="AW5" s="38">
        <f>Sales!AW7</f>
        <v>4049510.4000000013</v>
      </c>
      <c r="AX5" s="38">
        <f>Sales!AX7</f>
        <v>4555699.200000002</v>
      </c>
      <c r="AY5" s="38">
        <f>Sales!AY7</f>
        <v>4555699.200000002</v>
      </c>
      <c r="AZ5" s="38">
        <f>Sales!AZ7</f>
        <v>3543321.600000002</v>
      </c>
      <c r="BA5" s="37">
        <f t="shared" ref="BA5:BA22" si="3">SUM(AO5:AZ5)</f>
        <v>50618880.000000022</v>
      </c>
      <c r="BB5" s="38">
        <f>Sales!BB7</f>
        <v>4492256.8704000013</v>
      </c>
      <c r="BC5" s="38">
        <f>Sales!BC7</f>
        <v>4492256.8704000013</v>
      </c>
      <c r="BD5" s="38">
        <f>Sales!BD7</f>
        <v>4492256.8704000013</v>
      </c>
      <c r="BE5" s="38">
        <f>Sales!BE7</f>
        <v>5053788.9792000018</v>
      </c>
      <c r="BF5" s="38">
        <f>Sales!BF7</f>
        <v>5053788.9792000018</v>
      </c>
      <c r="BG5" s="38">
        <f>Sales!BG7</f>
        <v>5053788.9792000018</v>
      </c>
      <c r="BH5" s="38">
        <f>Sales!BH7</f>
        <v>4492256.8704000013</v>
      </c>
      <c r="BI5" s="38">
        <f>Sales!BI7</f>
        <v>4492256.8704000013</v>
      </c>
      <c r="BJ5" s="38">
        <f>Sales!BJ7</f>
        <v>4492256.8704000013</v>
      </c>
      <c r="BK5" s="38">
        <f>Sales!BK7</f>
        <v>5053788.9792000018</v>
      </c>
      <c r="BL5" s="38">
        <f>Sales!BL7</f>
        <v>5053788.9792000018</v>
      </c>
      <c r="BM5" s="38">
        <f>Sales!BM7</f>
        <v>3930724.7616000017</v>
      </c>
      <c r="BN5" s="37">
        <f t="shared" ref="BN5:BN22" si="4">SUM(BB5:BM5)</f>
        <v>56153210.880000025</v>
      </c>
    </row>
    <row r="6" spans="1:66" ht="15" customHeight="1" x14ac:dyDescent="0.25">
      <c r="A6" s="42" t="str">
        <f>IFERROR("(-) "&amp;VLOOKUP(Assumptions!$J$5,Assumptions!$S$5:$Z$21,5,FALSE()),"(-) Raw materials")</f>
        <v>(-) Raw materials</v>
      </c>
      <c r="B6" s="38">
        <f>Expenses!B5</f>
        <v>1440000.0000000002</v>
      </c>
      <c r="C6" s="38">
        <f>Expenses!C5</f>
        <v>1440000.0000000002</v>
      </c>
      <c r="D6" s="38">
        <f>Expenses!D5</f>
        <v>1440000.0000000002</v>
      </c>
      <c r="E6" s="38">
        <f>Expenses!E5</f>
        <v>1620000.0000000005</v>
      </c>
      <c r="F6" s="38">
        <f>Expenses!F5</f>
        <v>1620000.0000000005</v>
      </c>
      <c r="G6" s="38">
        <f>Expenses!G5</f>
        <v>1620000.0000000005</v>
      </c>
      <c r="H6" s="38">
        <f>Expenses!H5</f>
        <v>1440000.0000000002</v>
      </c>
      <c r="I6" s="38">
        <f>Expenses!I5</f>
        <v>1440000.0000000002</v>
      </c>
      <c r="J6" s="38">
        <f>Expenses!J5</f>
        <v>1440000.0000000002</v>
      </c>
      <c r="K6" s="38">
        <f>Expenses!K5</f>
        <v>1620000.0000000005</v>
      </c>
      <c r="L6" s="38">
        <f>Expenses!L5</f>
        <v>1620000.0000000005</v>
      </c>
      <c r="M6" s="38">
        <f>Expenses!M5</f>
        <v>1260000.0000000005</v>
      </c>
      <c r="N6" s="37">
        <f t="shared" si="0"/>
        <v>18000000.000000004</v>
      </c>
      <c r="O6" s="38">
        <f>Expenses!O5</f>
        <v>1638000.0000000002</v>
      </c>
      <c r="P6" s="38">
        <f>Expenses!P5</f>
        <v>1638000.0000000002</v>
      </c>
      <c r="Q6" s="38">
        <f>Expenses!Q5</f>
        <v>1638000.0000000002</v>
      </c>
      <c r="R6" s="38">
        <f>Expenses!R5</f>
        <v>1842750.0000000007</v>
      </c>
      <c r="S6" s="38">
        <f>Expenses!S5</f>
        <v>1842750.0000000007</v>
      </c>
      <c r="T6" s="38">
        <f>Expenses!T5</f>
        <v>1842750.0000000007</v>
      </c>
      <c r="U6" s="38">
        <f>Expenses!U5</f>
        <v>1638000.0000000002</v>
      </c>
      <c r="V6" s="38">
        <f>Expenses!V5</f>
        <v>1638000.0000000002</v>
      </c>
      <c r="W6" s="38">
        <f>Expenses!W5</f>
        <v>1638000.0000000002</v>
      </c>
      <c r="X6" s="38">
        <f>Expenses!X5</f>
        <v>1842750.0000000007</v>
      </c>
      <c r="Y6" s="38">
        <f>Expenses!Y5</f>
        <v>1842750.0000000007</v>
      </c>
      <c r="Z6" s="38">
        <f>Expenses!Z5</f>
        <v>1433250.0000000007</v>
      </c>
      <c r="AA6" s="37">
        <f t="shared" si="1"/>
        <v>20475000.000000004</v>
      </c>
      <c r="AB6" s="38">
        <f>Expenses!AB5</f>
        <v>1852200.0000000005</v>
      </c>
      <c r="AC6" s="38">
        <f>Expenses!AC5</f>
        <v>1852200.0000000005</v>
      </c>
      <c r="AD6" s="38">
        <f>Expenses!AD5</f>
        <v>1852200.0000000005</v>
      </c>
      <c r="AE6" s="38">
        <f>Expenses!AE5</f>
        <v>2083725.0000000007</v>
      </c>
      <c r="AF6" s="38">
        <f>Expenses!AF5</f>
        <v>2083725.0000000007</v>
      </c>
      <c r="AG6" s="38">
        <f>Expenses!AG5</f>
        <v>2083725.0000000007</v>
      </c>
      <c r="AH6" s="38">
        <f>Expenses!AH5</f>
        <v>1852200.0000000005</v>
      </c>
      <c r="AI6" s="38">
        <f>Expenses!AI5</f>
        <v>1852200.0000000005</v>
      </c>
      <c r="AJ6" s="38">
        <f>Expenses!AJ5</f>
        <v>1852200.0000000005</v>
      </c>
      <c r="AK6" s="38">
        <f>Expenses!AK5</f>
        <v>2083725.0000000007</v>
      </c>
      <c r="AL6" s="38">
        <f>Expenses!AL5</f>
        <v>2083725.0000000007</v>
      </c>
      <c r="AM6" s="38">
        <f>Expenses!AM5</f>
        <v>1620675.0000000007</v>
      </c>
      <c r="AN6" s="37">
        <f t="shared" si="2"/>
        <v>23152500.000000004</v>
      </c>
      <c r="AO6" s="38">
        <f>Expenses!AO5</f>
        <v>2083725.0000000007</v>
      </c>
      <c r="AP6" s="38">
        <f>Expenses!AP5</f>
        <v>2083725.0000000007</v>
      </c>
      <c r="AQ6" s="38">
        <f>Expenses!AQ5</f>
        <v>2083725.0000000007</v>
      </c>
      <c r="AR6" s="38">
        <f>Expenses!AR5</f>
        <v>2344190.6250000009</v>
      </c>
      <c r="AS6" s="38">
        <f>Expenses!AS5</f>
        <v>2344190.6250000009</v>
      </c>
      <c r="AT6" s="38">
        <f>Expenses!AT5</f>
        <v>2344190.6250000009</v>
      </c>
      <c r="AU6" s="38">
        <f>Expenses!AU5</f>
        <v>2083725.0000000007</v>
      </c>
      <c r="AV6" s="38">
        <f>Expenses!AV5</f>
        <v>2083725.0000000007</v>
      </c>
      <c r="AW6" s="38">
        <f>Expenses!AW5</f>
        <v>2083725.0000000007</v>
      </c>
      <c r="AX6" s="38">
        <f>Expenses!AX5</f>
        <v>2344190.6250000009</v>
      </c>
      <c r="AY6" s="38">
        <f>Expenses!AY5</f>
        <v>2344190.6250000009</v>
      </c>
      <c r="AZ6" s="38">
        <f>Expenses!AZ5</f>
        <v>1823259.3750000009</v>
      </c>
      <c r="BA6" s="37">
        <f t="shared" si="3"/>
        <v>26046562.500000004</v>
      </c>
      <c r="BB6" s="38">
        <f>Expenses!BB5</f>
        <v>2333772.0000000005</v>
      </c>
      <c r="BC6" s="38">
        <f>Expenses!BC5</f>
        <v>2333772.0000000005</v>
      </c>
      <c r="BD6" s="38">
        <f>Expenses!BD5</f>
        <v>2333772.0000000005</v>
      </c>
      <c r="BE6" s="38">
        <f>Expenses!BE5</f>
        <v>2625493.5000000005</v>
      </c>
      <c r="BF6" s="38">
        <f>Expenses!BF5</f>
        <v>2625493.5000000005</v>
      </c>
      <c r="BG6" s="38">
        <f>Expenses!BG5</f>
        <v>2625493.5000000005</v>
      </c>
      <c r="BH6" s="38">
        <f>Expenses!BH5</f>
        <v>2333772.0000000005</v>
      </c>
      <c r="BI6" s="38">
        <f>Expenses!BI5</f>
        <v>2333772.0000000005</v>
      </c>
      <c r="BJ6" s="38">
        <f>Expenses!BJ5</f>
        <v>2333772.0000000005</v>
      </c>
      <c r="BK6" s="38">
        <f>Expenses!BK5</f>
        <v>2625493.5000000005</v>
      </c>
      <c r="BL6" s="38">
        <f>Expenses!BL5</f>
        <v>2625493.5000000005</v>
      </c>
      <c r="BM6" s="38">
        <f>Expenses!BM5</f>
        <v>2042050.5000000007</v>
      </c>
      <c r="BN6" s="37">
        <f t="shared" si="4"/>
        <v>29172150.000000004</v>
      </c>
    </row>
    <row r="7" spans="1:66" ht="15" customHeight="1" x14ac:dyDescent="0.25">
      <c r="A7" s="42" t="str">
        <f>IFERROR("(-) "&amp;VLOOKUP(Assumptions!$J$5,Assumptions!$S$5:$Z$21,7,FALSE()),"(-) Power &amp; fuel")</f>
        <v>(-) Power &amp; fuel</v>
      </c>
      <c r="B7" s="38">
        <f>Expenses!B6</f>
        <v>172800.00000000003</v>
      </c>
      <c r="C7" s="38">
        <f>Expenses!C6</f>
        <v>172800.00000000003</v>
      </c>
      <c r="D7" s="38">
        <f>Expenses!D6</f>
        <v>172800.00000000003</v>
      </c>
      <c r="E7" s="38">
        <f>Expenses!E6</f>
        <v>194400.00000000006</v>
      </c>
      <c r="F7" s="38">
        <f>Expenses!F6</f>
        <v>194400.00000000006</v>
      </c>
      <c r="G7" s="38">
        <f>Expenses!G6</f>
        <v>194400.00000000006</v>
      </c>
      <c r="H7" s="38">
        <f>Expenses!H6</f>
        <v>172800.00000000003</v>
      </c>
      <c r="I7" s="38">
        <f>Expenses!I6</f>
        <v>172800.00000000003</v>
      </c>
      <c r="J7" s="38">
        <f>Expenses!J6</f>
        <v>172800.00000000003</v>
      </c>
      <c r="K7" s="38">
        <f>Expenses!K6</f>
        <v>194400.00000000006</v>
      </c>
      <c r="L7" s="38">
        <f>Expenses!L6</f>
        <v>194400.00000000006</v>
      </c>
      <c r="M7" s="38">
        <f>Expenses!M6</f>
        <v>151200.00000000006</v>
      </c>
      <c r="N7" s="37">
        <f t="shared" si="0"/>
        <v>2160000.0000000005</v>
      </c>
      <c r="O7" s="38">
        <f>Expenses!O6</f>
        <v>198432.00000000003</v>
      </c>
      <c r="P7" s="38">
        <f>Expenses!P6</f>
        <v>198432.00000000003</v>
      </c>
      <c r="Q7" s="38">
        <f>Expenses!Q6</f>
        <v>198432.00000000003</v>
      </c>
      <c r="R7" s="38">
        <f>Expenses!R6</f>
        <v>223236.00000000009</v>
      </c>
      <c r="S7" s="38">
        <f>Expenses!S6</f>
        <v>223236.00000000009</v>
      </c>
      <c r="T7" s="38">
        <f>Expenses!T6</f>
        <v>223236.00000000009</v>
      </c>
      <c r="U7" s="38">
        <f>Expenses!U6</f>
        <v>198432.00000000003</v>
      </c>
      <c r="V7" s="38">
        <f>Expenses!V6</f>
        <v>198432.00000000003</v>
      </c>
      <c r="W7" s="38">
        <f>Expenses!W6</f>
        <v>198432.00000000003</v>
      </c>
      <c r="X7" s="38">
        <f>Expenses!X6</f>
        <v>223236.00000000009</v>
      </c>
      <c r="Y7" s="38">
        <f>Expenses!Y6</f>
        <v>223236.00000000009</v>
      </c>
      <c r="Z7" s="38">
        <f>Expenses!Z6</f>
        <v>173628.00000000009</v>
      </c>
      <c r="AA7" s="37">
        <f t="shared" si="1"/>
        <v>2480400.0000000005</v>
      </c>
      <c r="AB7" s="38">
        <f>Expenses!AB6</f>
        <v>226517.76000000007</v>
      </c>
      <c r="AC7" s="38">
        <f>Expenses!AC6</f>
        <v>226517.76000000007</v>
      </c>
      <c r="AD7" s="38">
        <f>Expenses!AD6</f>
        <v>226517.76000000007</v>
      </c>
      <c r="AE7" s="38">
        <f>Expenses!AE6</f>
        <v>254832.48000000013</v>
      </c>
      <c r="AF7" s="38">
        <f>Expenses!AF6</f>
        <v>254832.48000000013</v>
      </c>
      <c r="AG7" s="38">
        <f>Expenses!AG6</f>
        <v>254832.48000000013</v>
      </c>
      <c r="AH7" s="38">
        <f>Expenses!AH6</f>
        <v>226517.76000000007</v>
      </c>
      <c r="AI7" s="38">
        <f>Expenses!AI6</f>
        <v>226517.76000000007</v>
      </c>
      <c r="AJ7" s="38">
        <f>Expenses!AJ6</f>
        <v>226517.76000000007</v>
      </c>
      <c r="AK7" s="38">
        <f>Expenses!AK6</f>
        <v>254832.48000000013</v>
      </c>
      <c r="AL7" s="38">
        <f>Expenses!AL6</f>
        <v>254832.48000000013</v>
      </c>
      <c r="AM7" s="38">
        <f>Expenses!AM6</f>
        <v>198203.0400000001</v>
      </c>
      <c r="AN7" s="37">
        <f t="shared" si="2"/>
        <v>2831472.0000000009</v>
      </c>
      <c r="AO7" s="38">
        <f>Expenses!AO6</f>
        <v>257259.45600000009</v>
      </c>
      <c r="AP7" s="38">
        <f>Expenses!AP6</f>
        <v>257259.45600000009</v>
      </c>
      <c r="AQ7" s="38">
        <f>Expenses!AQ6</f>
        <v>257259.45600000009</v>
      </c>
      <c r="AR7" s="38">
        <f>Expenses!AR6</f>
        <v>289416.88800000015</v>
      </c>
      <c r="AS7" s="38">
        <f>Expenses!AS6</f>
        <v>289416.88800000015</v>
      </c>
      <c r="AT7" s="38">
        <f>Expenses!AT6</f>
        <v>289416.88800000015</v>
      </c>
      <c r="AU7" s="38">
        <f>Expenses!AU6</f>
        <v>257259.45600000009</v>
      </c>
      <c r="AV7" s="38">
        <f>Expenses!AV6</f>
        <v>257259.45600000009</v>
      </c>
      <c r="AW7" s="38">
        <f>Expenses!AW6</f>
        <v>257259.45600000009</v>
      </c>
      <c r="AX7" s="38">
        <f>Expenses!AX6</f>
        <v>289416.88800000015</v>
      </c>
      <c r="AY7" s="38">
        <f>Expenses!AY6</f>
        <v>289416.88800000015</v>
      </c>
      <c r="AZ7" s="38">
        <f>Expenses!AZ6</f>
        <v>225102.02400000015</v>
      </c>
      <c r="BA7" s="37">
        <f t="shared" si="3"/>
        <v>3215743.200000002</v>
      </c>
      <c r="BB7" s="38">
        <f>Expenses!BB6</f>
        <v>290874.69158400007</v>
      </c>
      <c r="BC7" s="38">
        <f>Expenses!BC6</f>
        <v>290874.69158400007</v>
      </c>
      <c r="BD7" s="38">
        <f>Expenses!BD6</f>
        <v>290874.69158400007</v>
      </c>
      <c r="BE7" s="38">
        <f>Expenses!BE6</f>
        <v>327234.02803200012</v>
      </c>
      <c r="BF7" s="38">
        <f>Expenses!BF6</f>
        <v>327234.02803200012</v>
      </c>
      <c r="BG7" s="38">
        <f>Expenses!BG6</f>
        <v>327234.02803200012</v>
      </c>
      <c r="BH7" s="38">
        <f>Expenses!BH6</f>
        <v>290874.69158400007</v>
      </c>
      <c r="BI7" s="38">
        <f>Expenses!BI6</f>
        <v>290874.69158400007</v>
      </c>
      <c r="BJ7" s="38">
        <f>Expenses!BJ6</f>
        <v>290874.69158400007</v>
      </c>
      <c r="BK7" s="38">
        <f>Expenses!BK6</f>
        <v>327234.02803200012</v>
      </c>
      <c r="BL7" s="38">
        <f>Expenses!BL6</f>
        <v>327234.02803200012</v>
      </c>
      <c r="BM7" s="38">
        <f>Expenses!BM6</f>
        <v>254515.35513600011</v>
      </c>
      <c r="BN7" s="37">
        <f t="shared" si="4"/>
        <v>3635933.6448000008</v>
      </c>
    </row>
    <row r="8" spans="1:66" ht="15" customHeight="1" x14ac:dyDescent="0.25">
      <c r="A8" s="42" t="s">
        <v>328</v>
      </c>
      <c r="B8" s="38">
        <f>Expenses!B7</f>
        <v>150000</v>
      </c>
      <c r="C8" s="38">
        <f>Expenses!C7</f>
        <v>150000</v>
      </c>
      <c r="D8" s="38">
        <f>Expenses!D7</f>
        <v>150000</v>
      </c>
      <c r="E8" s="38">
        <f>Expenses!E7</f>
        <v>150000</v>
      </c>
      <c r="F8" s="38">
        <f>Expenses!F7</f>
        <v>150000</v>
      </c>
      <c r="G8" s="38">
        <f>Expenses!G7</f>
        <v>150000</v>
      </c>
      <c r="H8" s="38">
        <f>Expenses!H7</f>
        <v>150000</v>
      </c>
      <c r="I8" s="38">
        <f>Expenses!I7</f>
        <v>150000</v>
      </c>
      <c r="J8" s="38">
        <f>Expenses!J7</f>
        <v>150000</v>
      </c>
      <c r="K8" s="38">
        <f>Expenses!K7</f>
        <v>150000</v>
      </c>
      <c r="L8" s="38">
        <f>Expenses!L7</f>
        <v>150000</v>
      </c>
      <c r="M8" s="38">
        <f>Expenses!M7</f>
        <v>150000</v>
      </c>
      <c r="N8" s="37">
        <f t="shared" si="0"/>
        <v>1800000</v>
      </c>
      <c r="O8" s="38">
        <f>Expenses!O7</f>
        <v>157500</v>
      </c>
      <c r="P8" s="38">
        <f>Expenses!P7</f>
        <v>157500</v>
      </c>
      <c r="Q8" s="38">
        <f>Expenses!Q7</f>
        <v>157500</v>
      </c>
      <c r="R8" s="38">
        <f>Expenses!R7</f>
        <v>157500</v>
      </c>
      <c r="S8" s="38">
        <f>Expenses!S7</f>
        <v>157500</v>
      </c>
      <c r="T8" s="38">
        <f>Expenses!T7</f>
        <v>157500</v>
      </c>
      <c r="U8" s="38">
        <f>Expenses!U7</f>
        <v>157500</v>
      </c>
      <c r="V8" s="38">
        <f>Expenses!V7</f>
        <v>157500</v>
      </c>
      <c r="W8" s="38">
        <f>Expenses!W7</f>
        <v>157500</v>
      </c>
      <c r="X8" s="38">
        <f>Expenses!X7</f>
        <v>157500</v>
      </c>
      <c r="Y8" s="38">
        <f>Expenses!Y7</f>
        <v>157500</v>
      </c>
      <c r="Z8" s="38">
        <f>Expenses!Z7</f>
        <v>157500</v>
      </c>
      <c r="AA8" s="37">
        <f t="shared" si="1"/>
        <v>1890000</v>
      </c>
      <c r="AB8" s="38">
        <f>Expenses!AB7</f>
        <v>165375</v>
      </c>
      <c r="AC8" s="38">
        <f>Expenses!AC7</f>
        <v>165375</v>
      </c>
      <c r="AD8" s="38">
        <f>Expenses!AD7</f>
        <v>165375</v>
      </c>
      <c r="AE8" s="38">
        <f>Expenses!AE7</f>
        <v>165375</v>
      </c>
      <c r="AF8" s="38">
        <f>Expenses!AF7</f>
        <v>165375</v>
      </c>
      <c r="AG8" s="38">
        <f>Expenses!AG7</f>
        <v>165375</v>
      </c>
      <c r="AH8" s="38">
        <f>Expenses!AH7</f>
        <v>165375</v>
      </c>
      <c r="AI8" s="38">
        <f>Expenses!AI7</f>
        <v>165375</v>
      </c>
      <c r="AJ8" s="38">
        <f>Expenses!AJ7</f>
        <v>165375</v>
      </c>
      <c r="AK8" s="38">
        <f>Expenses!AK7</f>
        <v>165375</v>
      </c>
      <c r="AL8" s="38">
        <f>Expenses!AL7</f>
        <v>165375</v>
      </c>
      <c r="AM8" s="38">
        <f>Expenses!AM7</f>
        <v>165375</v>
      </c>
      <c r="AN8" s="37">
        <f t="shared" si="2"/>
        <v>1984500</v>
      </c>
      <c r="AO8" s="38">
        <f>Expenses!AO7</f>
        <v>173643.75000000003</v>
      </c>
      <c r="AP8" s="38">
        <f>Expenses!AP7</f>
        <v>173643.75000000003</v>
      </c>
      <c r="AQ8" s="38">
        <f>Expenses!AQ7</f>
        <v>173643.75000000003</v>
      </c>
      <c r="AR8" s="38">
        <f>Expenses!AR7</f>
        <v>173643.75000000003</v>
      </c>
      <c r="AS8" s="38">
        <f>Expenses!AS7</f>
        <v>173643.75000000003</v>
      </c>
      <c r="AT8" s="38">
        <f>Expenses!AT7</f>
        <v>173643.75000000003</v>
      </c>
      <c r="AU8" s="38">
        <f>Expenses!AU7</f>
        <v>173643.75000000003</v>
      </c>
      <c r="AV8" s="38">
        <f>Expenses!AV7</f>
        <v>173643.75000000003</v>
      </c>
      <c r="AW8" s="38">
        <f>Expenses!AW7</f>
        <v>173643.75000000003</v>
      </c>
      <c r="AX8" s="38">
        <f>Expenses!AX7</f>
        <v>173643.75000000003</v>
      </c>
      <c r="AY8" s="38">
        <f>Expenses!AY7</f>
        <v>173643.75000000003</v>
      </c>
      <c r="AZ8" s="38">
        <f>Expenses!AZ7</f>
        <v>173643.75000000003</v>
      </c>
      <c r="BA8" s="37">
        <f t="shared" si="3"/>
        <v>2083725.0000000002</v>
      </c>
      <c r="BB8" s="38">
        <f>Expenses!BB7</f>
        <v>182325.9375</v>
      </c>
      <c r="BC8" s="38">
        <f>Expenses!BC7</f>
        <v>182325.9375</v>
      </c>
      <c r="BD8" s="38">
        <f>Expenses!BD7</f>
        <v>182325.9375</v>
      </c>
      <c r="BE8" s="38">
        <f>Expenses!BE7</f>
        <v>182325.9375</v>
      </c>
      <c r="BF8" s="38">
        <f>Expenses!BF7</f>
        <v>182325.9375</v>
      </c>
      <c r="BG8" s="38">
        <f>Expenses!BG7</f>
        <v>182325.9375</v>
      </c>
      <c r="BH8" s="38">
        <f>Expenses!BH7</f>
        <v>182325.9375</v>
      </c>
      <c r="BI8" s="38">
        <f>Expenses!BI7</f>
        <v>182325.9375</v>
      </c>
      <c r="BJ8" s="38">
        <f>Expenses!BJ7</f>
        <v>182325.9375</v>
      </c>
      <c r="BK8" s="38">
        <f>Expenses!BK7</f>
        <v>182325.9375</v>
      </c>
      <c r="BL8" s="38">
        <f>Expenses!BL7</f>
        <v>182325.9375</v>
      </c>
      <c r="BM8" s="38">
        <f>Expenses!BM7</f>
        <v>182325.9375</v>
      </c>
      <c r="BN8" s="37">
        <f t="shared" si="4"/>
        <v>2187911.25</v>
      </c>
    </row>
    <row r="9" spans="1:66" ht="15" customHeight="1" x14ac:dyDescent="0.25">
      <c r="A9" s="42" t="s">
        <v>329</v>
      </c>
      <c r="B9" s="38">
        <f>Expenses!B8</f>
        <v>115200.00000000003</v>
      </c>
      <c r="C9" s="38">
        <f>Expenses!C8</f>
        <v>115200.00000000003</v>
      </c>
      <c r="D9" s="38">
        <f>Expenses!D8</f>
        <v>115200.00000000003</v>
      </c>
      <c r="E9" s="38">
        <f>Expenses!E8</f>
        <v>129600.00000000006</v>
      </c>
      <c r="F9" s="38">
        <f>Expenses!F8</f>
        <v>129600.00000000006</v>
      </c>
      <c r="G9" s="38">
        <f>Expenses!G8</f>
        <v>129600.00000000006</v>
      </c>
      <c r="H9" s="38">
        <f>Expenses!H8</f>
        <v>115200.00000000003</v>
      </c>
      <c r="I9" s="38">
        <f>Expenses!I8</f>
        <v>115200.00000000003</v>
      </c>
      <c r="J9" s="38">
        <f>Expenses!J8</f>
        <v>115200.00000000003</v>
      </c>
      <c r="K9" s="38">
        <f>Expenses!K8</f>
        <v>129600.00000000006</v>
      </c>
      <c r="L9" s="38">
        <f>Expenses!L8</f>
        <v>129600.00000000006</v>
      </c>
      <c r="M9" s="38">
        <f>Expenses!M8</f>
        <v>100800.00000000004</v>
      </c>
      <c r="N9" s="37">
        <f t="shared" si="0"/>
        <v>1440000.0000000002</v>
      </c>
      <c r="O9" s="38">
        <f>Expenses!O8</f>
        <v>129792.00000000003</v>
      </c>
      <c r="P9" s="38">
        <f>Expenses!P8</f>
        <v>129792.00000000003</v>
      </c>
      <c r="Q9" s="38">
        <f>Expenses!Q8</f>
        <v>129792.00000000003</v>
      </c>
      <c r="R9" s="38">
        <f>Expenses!R8</f>
        <v>146016.00000000006</v>
      </c>
      <c r="S9" s="38">
        <f>Expenses!S8</f>
        <v>146016.00000000006</v>
      </c>
      <c r="T9" s="38">
        <f>Expenses!T8</f>
        <v>146016.00000000006</v>
      </c>
      <c r="U9" s="38">
        <f>Expenses!U8</f>
        <v>129792.00000000003</v>
      </c>
      <c r="V9" s="38">
        <f>Expenses!V8</f>
        <v>129792.00000000003</v>
      </c>
      <c r="W9" s="38">
        <f>Expenses!W8</f>
        <v>129792.00000000003</v>
      </c>
      <c r="X9" s="38">
        <f>Expenses!X8</f>
        <v>146016.00000000006</v>
      </c>
      <c r="Y9" s="38">
        <f>Expenses!Y8</f>
        <v>146016.00000000006</v>
      </c>
      <c r="Z9" s="38">
        <f>Expenses!Z8</f>
        <v>113568.00000000006</v>
      </c>
      <c r="AA9" s="37">
        <f t="shared" si="1"/>
        <v>1622400.0000000002</v>
      </c>
      <c r="AB9" s="38">
        <f>Expenses!AB8</f>
        <v>145367.04000000007</v>
      </c>
      <c r="AC9" s="38">
        <f>Expenses!AC8</f>
        <v>145367.04000000007</v>
      </c>
      <c r="AD9" s="38">
        <f>Expenses!AD8</f>
        <v>145367.04000000007</v>
      </c>
      <c r="AE9" s="38">
        <f>Expenses!AE8</f>
        <v>163537.92000000007</v>
      </c>
      <c r="AF9" s="38">
        <f>Expenses!AF8</f>
        <v>163537.92000000007</v>
      </c>
      <c r="AG9" s="38">
        <f>Expenses!AG8</f>
        <v>163537.92000000007</v>
      </c>
      <c r="AH9" s="38">
        <f>Expenses!AH8</f>
        <v>145367.04000000007</v>
      </c>
      <c r="AI9" s="38">
        <f>Expenses!AI8</f>
        <v>145367.04000000007</v>
      </c>
      <c r="AJ9" s="38">
        <f>Expenses!AJ8</f>
        <v>145367.04000000007</v>
      </c>
      <c r="AK9" s="38">
        <f>Expenses!AK8</f>
        <v>163537.92000000007</v>
      </c>
      <c r="AL9" s="38">
        <f>Expenses!AL8</f>
        <v>163537.92000000007</v>
      </c>
      <c r="AM9" s="38">
        <f>Expenses!AM8</f>
        <v>127196.16000000008</v>
      </c>
      <c r="AN9" s="37">
        <f t="shared" si="2"/>
        <v>1817088.0000000009</v>
      </c>
      <c r="AO9" s="38">
        <f>Expenses!AO8</f>
        <v>161980.41600000006</v>
      </c>
      <c r="AP9" s="38">
        <f>Expenses!AP8</f>
        <v>161980.41600000006</v>
      </c>
      <c r="AQ9" s="38">
        <f>Expenses!AQ8</f>
        <v>161980.41600000006</v>
      </c>
      <c r="AR9" s="38">
        <f>Expenses!AR8</f>
        <v>182227.96800000008</v>
      </c>
      <c r="AS9" s="38">
        <f>Expenses!AS8</f>
        <v>182227.96800000008</v>
      </c>
      <c r="AT9" s="38">
        <f>Expenses!AT8</f>
        <v>182227.96800000008</v>
      </c>
      <c r="AU9" s="38">
        <f>Expenses!AU8</f>
        <v>161980.41600000006</v>
      </c>
      <c r="AV9" s="38">
        <f>Expenses!AV8</f>
        <v>161980.41600000006</v>
      </c>
      <c r="AW9" s="38">
        <f>Expenses!AW8</f>
        <v>161980.41600000006</v>
      </c>
      <c r="AX9" s="38">
        <f>Expenses!AX8</f>
        <v>182227.96800000008</v>
      </c>
      <c r="AY9" s="38">
        <f>Expenses!AY8</f>
        <v>182227.96800000008</v>
      </c>
      <c r="AZ9" s="38">
        <f>Expenses!AZ8</f>
        <v>141732.86400000006</v>
      </c>
      <c r="BA9" s="37">
        <f t="shared" si="3"/>
        <v>2024755.2000000007</v>
      </c>
      <c r="BB9" s="38">
        <f>Expenses!BB8</f>
        <v>179690.27481600008</v>
      </c>
      <c r="BC9" s="38">
        <f>Expenses!BC8</f>
        <v>179690.27481600008</v>
      </c>
      <c r="BD9" s="38">
        <f>Expenses!BD8</f>
        <v>179690.27481600008</v>
      </c>
      <c r="BE9" s="38">
        <f>Expenses!BE8</f>
        <v>202151.55916800009</v>
      </c>
      <c r="BF9" s="38">
        <f>Expenses!BF8</f>
        <v>202151.55916800009</v>
      </c>
      <c r="BG9" s="38">
        <f>Expenses!BG8</f>
        <v>202151.55916800009</v>
      </c>
      <c r="BH9" s="38">
        <f>Expenses!BH8</f>
        <v>179690.27481600008</v>
      </c>
      <c r="BI9" s="38">
        <f>Expenses!BI8</f>
        <v>179690.27481600008</v>
      </c>
      <c r="BJ9" s="38">
        <f>Expenses!BJ8</f>
        <v>179690.27481600008</v>
      </c>
      <c r="BK9" s="38">
        <f>Expenses!BK8</f>
        <v>202151.55916800009</v>
      </c>
      <c r="BL9" s="38">
        <f>Expenses!BL8</f>
        <v>202151.55916800009</v>
      </c>
      <c r="BM9" s="38">
        <f>Expenses!BM8</f>
        <v>157228.99046400009</v>
      </c>
      <c r="BN9" s="37">
        <f t="shared" si="4"/>
        <v>2246128.4352000011</v>
      </c>
    </row>
    <row r="10" spans="1:66" ht="15" customHeight="1" x14ac:dyDescent="0.25">
      <c r="A10" s="42" t="str">
        <f>IFERROR("(-) "&amp;VLOOKUP(Assumptions!$J$5,Assumptions!$S$5:$Z$21,8,FALSE()),"(-) Factory overheads")</f>
        <v>(-) Factory overheads</v>
      </c>
      <c r="B10" s="38">
        <f>Expenses!B9</f>
        <v>100000</v>
      </c>
      <c r="C10" s="38">
        <f>Expenses!C9</f>
        <v>100000</v>
      </c>
      <c r="D10" s="38">
        <f>Expenses!D9</f>
        <v>100000</v>
      </c>
      <c r="E10" s="38">
        <f>Expenses!E9</f>
        <v>100000</v>
      </c>
      <c r="F10" s="38">
        <f>Expenses!F9</f>
        <v>100000</v>
      </c>
      <c r="G10" s="38">
        <f>Expenses!G9</f>
        <v>100000</v>
      </c>
      <c r="H10" s="38">
        <f>Expenses!H9</f>
        <v>100000</v>
      </c>
      <c r="I10" s="38">
        <f>Expenses!I9</f>
        <v>100000</v>
      </c>
      <c r="J10" s="38">
        <f>Expenses!J9</f>
        <v>100000</v>
      </c>
      <c r="K10" s="38">
        <f>Expenses!K9</f>
        <v>100000</v>
      </c>
      <c r="L10" s="38">
        <f>Expenses!L9</f>
        <v>100000</v>
      </c>
      <c r="M10" s="38">
        <f>Expenses!M9</f>
        <v>100000</v>
      </c>
      <c r="N10" s="37">
        <f t="shared" si="0"/>
        <v>1200000</v>
      </c>
      <c r="O10" s="38">
        <f>Expenses!O9</f>
        <v>105000</v>
      </c>
      <c r="P10" s="38">
        <f>Expenses!P9</f>
        <v>105000</v>
      </c>
      <c r="Q10" s="38">
        <f>Expenses!Q9</f>
        <v>105000</v>
      </c>
      <c r="R10" s="38">
        <f>Expenses!R9</f>
        <v>105000</v>
      </c>
      <c r="S10" s="38">
        <f>Expenses!S9</f>
        <v>105000</v>
      </c>
      <c r="T10" s="38">
        <f>Expenses!T9</f>
        <v>105000</v>
      </c>
      <c r="U10" s="38">
        <f>Expenses!U9</f>
        <v>105000</v>
      </c>
      <c r="V10" s="38">
        <f>Expenses!V9</f>
        <v>105000</v>
      </c>
      <c r="W10" s="38">
        <f>Expenses!W9</f>
        <v>105000</v>
      </c>
      <c r="X10" s="38">
        <f>Expenses!X9</f>
        <v>105000</v>
      </c>
      <c r="Y10" s="38">
        <f>Expenses!Y9</f>
        <v>105000</v>
      </c>
      <c r="Z10" s="38">
        <f>Expenses!Z9</f>
        <v>105000</v>
      </c>
      <c r="AA10" s="37">
        <f t="shared" si="1"/>
        <v>1260000</v>
      </c>
      <c r="AB10" s="38">
        <f>Expenses!AB9</f>
        <v>110250</v>
      </c>
      <c r="AC10" s="38">
        <f>Expenses!AC9</f>
        <v>110250</v>
      </c>
      <c r="AD10" s="38">
        <f>Expenses!AD9</f>
        <v>110250</v>
      </c>
      <c r="AE10" s="38">
        <f>Expenses!AE9</f>
        <v>110250</v>
      </c>
      <c r="AF10" s="38">
        <f>Expenses!AF9</f>
        <v>110250</v>
      </c>
      <c r="AG10" s="38">
        <f>Expenses!AG9</f>
        <v>110250</v>
      </c>
      <c r="AH10" s="38">
        <f>Expenses!AH9</f>
        <v>110250</v>
      </c>
      <c r="AI10" s="38">
        <f>Expenses!AI9</f>
        <v>110250</v>
      </c>
      <c r="AJ10" s="38">
        <f>Expenses!AJ9</f>
        <v>110250</v>
      </c>
      <c r="AK10" s="38">
        <f>Expenses!AK9</f>
        <v>110250</v>
      </c>
      <c r="AL10" s="38">
        <f>Expenses!AL9</f>
        <v>110250</v>
      </c>
      <c r="AM10" s="38">
        <f>Expenses!AM9</f>
        <v>110250</v>
      </c>
      <c r="AN10" s="37">
        <f t="shared" si="2"/>
        <v>1323000</v>
      </c>
      <c r="AO10" s="38">
        <f>Expenses!AO9</f>
        <v>115762.50000000001</v>
      </c>
      <c r="AP10" s="38">
        <f>Expenses!AP9</f>
        <v>115762.50000000001</v>
      </c>
      <c r="AQ10" s="38">
        <f>Expenses!AQ9</f>
        <v>115762.50000000001</v>
      </c>
      <c r="AR10" s="38">
        <f>Expenses!AR9</f>
        <v>115762.50000000001</v>
      </c>
      <c r="AS10" s="38">
        <f>Expenses!AS9</f>
        <v>115762.50000000001</v>
      </c>
      <c r="AT10" s="38">
        <f>Expenses!AT9</f>
        <v>115762.50000000001</v>
      </c>
      <c r="AU10" s="38">
        <f>Expenses!AU9</f>
        <v>115762.50000000001</v>
      </c>
      <c r="AV10" s="38">
        <f>Expenses!AV9</f>
        <v>115762.50000000001</v>
      </c>
      <c r="AW10" s="38">
        <f>Expenses!AW9</f>
        <v>115762.50000000001</v>
      </c>
      <c r="AX10" s="38">
        <f>Expenses!AX9</f>
        <v>115762.50000000001</v>
      </c>
      <c r="AY10" s="38">
        <f>Expenses!AY9</f>
        <v>115762.50000000001</v>
      </c>
      <c r="AZ10" s="38">
        <f>Expenses!AZ9</f>
        <v>115762.50000000001</v>
      </c>
      <c r="BA10" s="37">
        <f t="shared" si="3"/>
        <v>1389150.0000000002</v>
      </c>
      <c r="BB10" s="38">
        <f>Expenses!BB9</f>
        <v>121550.625</v>
      </c>
      <c r="BC10" s="38">
        <f>Expenses!BC9</f>
        <v>121550.625</v>
      </c>
      <c r="BD10" s="38">
        <f>Expenses!BD9</f>
        <v>121550.625</v>
      </c>
      <c r="BE10" s="38">
        <f>Expenses!BE9</f>
        <v>121550.625</v>
      </c>
      <c r="BF10" s="38">
        <f>Expenses!BF9</f>
        <v>121550.625</v>
      </c>
      <c r="BG10" s="38">
        <f>Expenses!BG9</f>
        <v>121550.625</v>
      </c>
      <c r="BH10" s="38">
        <f>Expenses!BH9</f>
        <v>121550.625</v>
      </c>
      <c r="BI10" s="38">
        <f>Expenses!BI9</f>
        <v>121550.625</v>
      </c>
      <c r="BJ10" s="38">
        <f>Expenses!BJ9</f>
        <v>121550.625</v>
      </c>
      <c r="BK10" s="38">
        <f>Expenses!BK9</f>
        <v>121550.625</v>
      </c>
      <c r="BL10" s="38">
        <f>Expenses!BL9</f>
        <v>121550.625</v>
      </c>
      <c r="BM10" s="38">
        <f>Expenses!BM9</f>
        <v>121550.625</v>
      </c>
      <c r="BN10" s="37">
        <f t="shared" si="4"/>
        <v>1458607.5</v>
      </c>
    </row>
    <row r="11" spans="1:66" ht="15" customHeight="1" x14ac:dyDescent="0.25">
      <c r="A11" s="42" t="s">
        <v>330</v>
      </c>
      <c r="B11" s="38">
        <f>Expenses!B10</f>
        <v>30000</v>
      </c>
      <c r="C11" s="38">
        <f>Expenses!C10</f>
        <v>30000</v>
      </c>
      <c r="D11" s="38">
        <f>Expenses!D10</f>
        <v>30000</v>
      </c>
      <c r="E11" s="38">
        <f>Expenses!E10</f>
        <v>30000</v>
      </c>
      <c r="F11" s="38">
        <f>Expenses!F10</f>
        <v>30000</v>
      </c>
      <c r="G11" s="38">
        <f>Expenses!G10</f>
        <v>30000</v>
      </c>
      <c r="H11" s="38">
        <f>Expenses!H10</f>
        <v>30000</v>
      </c>
      <c r="I11" s="38">
        <f>Expenses!I10</f>
        <v>30000</v>
      </c>
      <c r="J11" s="38">
        <f>Expenses!J10</f>
        <v>30000</v>
      </c>
      <c r="K11" s="38">
        <f>Expenses!K10</f>
        <v>30000</v>
      </c>
      <c r="L11" s="38">
        <f>Expenses!L10</f>
        <v>30000</v>
      </c>
      <c r="M11" s="38">
        <f>Expenses!M10</f>
        <v>30000</v>
      </c>
      <c r="N11" s="37">
        <f t="shared" si="0"/>
        <v>360000</v>
      </c>
      <c r="O11" s="38">
        <f>Expenses!O10</f>
        <v>31200</v>
      </c>
      <c r="P11" s="38">
        <f>Expenses!P10</f>
        <v>31200</v>
      </c>
      <c r="Q11" s="38">
        <f>Expenses!Q10</f>
        <v>31200</v>
      </c>
      <c r="R11" s="38">
        <f>Expenses!R10</f>
        <v>31200</v>
      </c>
      <c r="S11" s="38">
        <f>Expenses!S10</f>
        <v>31200</v>
      </c>
      <c r="T11" s="38">
        <f>Expenses!T10</f>
        <v>31200</v>
      </c>
      <c r="U11" s="38">
        <f>Expenses!U10</f>
        <v>31200</v>
      </c>
      <c r="V11" s="38">
        <f>Expenses!V10</f>
        <v>31200</v>
      </c>
      <c r="W11" s="38">
        <f>Expenses!W10</f>
        <v>31200</v>
      </c>
      <c r="X11" s="38">
        <f>Expenses!X10</f>
        <v>31200</v>
      </c>
      <c r="Y11" s="38">
        <f>Expenses!Y10</f>
        <v>31200</v>
      </c>
      <c r="Z11" s="38">
        <f>Expenses!Z10</f>
        <v>31200</v>
      </c>
      <c r="AA11" s="37">
        <f t="shared" si="1"/>
        <v>374400</v>
      </c>
      <c r="AB11" s="38">
        <f>Expenses!AB10</f>
        <v>32448.000000000004</v>
      </c>
      <c r="AC11" s="38">
        <f>Expenses!AC10</f>
        <v>32448.000000000004</v>
      </c>
      <c r="AD11" s="38">
        <f>Expenses!AD10</f>
        <v>32448.000000000004</v>
      </c>
      <c r="AE11" s="38">
        <f>Expenses!AE10</f>
        <v>32448.000000000004</v>
      </c>
      <c r="AF11" s="38">
        <f>Expenses!AF10</f>
        <v>32448.000000000004</v>
      </c>
      <c r="AG11" s="38">
        <f>Expenses!AG10</f>
        <v>32448.000000000004</v>
      </c>
      <c r="AH11" s="38">
        <f>Expenses!AH10</f>
        <v>32448.000000000004</v>
      </c>
      <c r="AI11" s="38">
        <f>Expenses!AI10</f>
        <v>32448.000000000004</v>
      </c>
      <c r="AJ11" s="38">
        <f>Expenses!AJ10</f>
        <v>32448.000000000004</v>
      </c>
      <c r="AK11" s="38">
        <f>Expenses!AK10</f>
        <v>32448.000000000004</v>
      </c>
      <c r="AL11" s="38">
        <f>Expenses!AL10</f>
        <v>32448.000000000004</v>
      </c>
      <c r="AM11" s="38">
        <f>Expenses!AM10</f>
        <v>32448.000000000004</v>
      </c>
      <c r="AN11" s="37">
        <f t="shared" si="2"/>
        <v>389376.00000000006</v>
      </c>
      <c r="AO11" s="38">
        <f>Expenses!AO10</f>
        <v>33745.920000000006</v>
      </c>
      <c r="AP11" s="38">
        <f>Expenses!AP10</f>
        <v>33745.920000000006</v>
      </c>
      <c r="AQ11" s="38">
        <f>Expenses!AQ10</f>
        <v>33745.920000000006</v>
      </c>
      <c r="AR11" s="38">
        <f>Expenses!AR10</f>
        <v>33745.920000000006</v>
      </c>
      <c r="AS11" s="38">
        <f>Expenses!AS10</f>
        <v>33745.920000000006</v>
      </c>
      <c r="AT11" s="38">
        <f>Expenses!AT10</f>
        <v>33745.920000000006</v>
      </c>
      <c r="AU11" s="38">
        <f>Expenses!AU10</f>
        <v>33745.920000000006</v>
      </c>
      <c r="AV11" s="38">
        <f>Expenses!AV10</f>
        <v>33745.920000000006</v>
      </c>
      <c r="AW11" s="38">
        <f>Expenses!AW10</f>
        <v>33745.920000000006</v>
      </c>
      <c r="AX11" s="38">
        <f>Expenses!AX10</f>
        <v>33745.920000000006</v>
      </c>
      <c r="AY11" s="38">
        <f>Expenses!AY10</f>
        <v>33745.920000000006</v>
      </c>
      <c r="AZ11" s="38">
        <f>Expenses!AZ10</f>
        <v>33745.920000000006</v>
      </c>
      <c r="BA11" s="37">
        <f t="shared" si="3"/>
        <v>404951.03999999998</v>
      </c>
      <c r="BB11" s="38">
        <f>Expenses!BB10</f>
        <v>35095.756800000003</v>
      </c>
      <c r="BC11" s="38">
        <f>Expenses!BC10</f>
        <v>35095.756800000003</v>
      </c>
      <c r="BD11" s="38">
        <f>Expenses!BD10</f>
        <v>35095.756800000003</v>
      </c>
      <c r="BE11" s="38">
        <f>Expenses!BE10</f>
        <v>35095.756800000003</v>
      </c>
      <c r="BF11" s="38">
        <f>Expenses!BF10</f>
        <v>35095.756800000003</v>
      </c>
      <c r="BG11" s="38">
        <f>Expenses!BG10</f>
        <v>35095.756800000003</v>
      </c>
      <c r="BH11" s="38">
        <f>Expenses!BH10</f>
        <v>35095.756800000003</v>
      </c>
      <c r="BI11" s="38">
        <f>Expenses!BI10</f>
        <v>35095.756800000003</v>
      </c>
      <c r="BJ11" s="38">
        <f>Expenses!BJ10</f>
        <v>35095.756800000003</v>
      </c>
      <c r="BK11" s="38">
        <f>Expenses!BK10</f>
        <v>35095.756800000003</v>
      </c>
      <c r="BL11" s="38">
        <f>Expenses!BL10</f>
        <v>35095.756800000003</v>
      </c>
      <c r="BM11" s="38">
        <f>Expenses!BM10</f>
        <v>35095.756800000003</v>
      </c>
      <c r="BN11" s="37">
        <f t="shared" si="4"/>
        <v>421149.08159999992</v>
      </c>
    </row>
    <row r="12" spans="1:66" ht="15" customHeight="1" x14ac:dyDescent="0.25">
      <c r="A12" s="42" t="s">
        <v>331</v>
      </c>
      <c r="B12" s="38">
        <f>Expenses!B11</f>
        <v>50000</v>
      </c>
      <c r="C12" s="38">
        <f>Expenses!C11</f>
        <v>50000</v>
      </c>
      <c r="D12" s="38">
        <f>Expenses!D11</f>
        <v>50000</v>
      </c>
      <c r="E12" s="38">
        <f>Expenses!E11</f>
        <v>50000</v>
      </c>
      <c r="F12" s="38">
        <f>Expenses!F11</f>
        <v>50000</v>
      </c>
      <c r="G12" s="38">
        <f>Expenses!G11</f>
        <v>50000</v>
      </c>
      <c r="H12" s="38">
        <f>Expenses!H11</f>
        <v>50000</v>
      </c>
      <c r="I12" s="38">
        <f>Expenses!I11</f>
        <v>50000</v>
      </c>
      <c r="J12" s="38">
        <f>Expenses!J11</f>
        <v>50000</v>
      </c>
      <c r="K12" s="38">
        <f>Expenses!K11</f>
        <v>50000</v>
      </c>
      <c r="L12" s="38">
        <f>Expenses!L11</f>
        <v>50000</v>
      </c>
      <c r="M12" s="38">
        <f>Expenses!M11</f>
        <v>50000</v>
      </c>
      <c r="N12" s="37">
        <f t="shared" si="0"/>
        <v>600000</v>
      </c>
      <c r="O12" s="38">
        <f>Expenses!O11</f>
        <v>52000</v>
      </c>
      <c r="P12" s="38">
        <f>Expenses!P11</f>
        <v>52000</v>
      </c>
      <c r="Q12" s="38">
        <f>Expenses!Q11</f>
        <v>52000</v>
      </c>
      <c r="R12" s="38">
        <f>Expenses!R11</f>
        <v>52000</v>
      </c>
      <c r="S12" s="38">
        <f>Expenses!S11</f>
        <v>52000</v>
      </c>
      <c r="T12" s="38">
        <f>Expenses!T11</f>
        <v>52000</v>
      </c>
      <c r="U12" s="38">
        <f>Expenses!U11</f>
        <v>52000</v>
      </c>
      <c r="V12" s="38">
        <f>Expenses!V11</f>
        <v>52000</v>
      </c>
      <c r="W12" s="38">
        <f>Expenses!W11</f>
        <v>52000</v>
      </c>
      <c r="X12" s="38">
        <f>Expenses!X11</f>
        <v>52000</v>
      </c>
      <c r="Y12" s="38">
        <f>Expenses!Y11</f>
        <v>52000</v>
      </c>
      <c r="Z12" s="38">
        <f>Expenses!Z11</f>
        <v>52000</v>
      </c>
      <c r="AA12" s="37">
        <f t="shared" si="1"/>
        <v>624000</v>
      </c>
      <c r="AB12" s="38">
        <f>Expenses!AB11</f>
        <v>54080.000000000007</v>
      </c>
      <c r="AC12" s="38">
        <f>Expenses!AC11</f>
        <v>54080.000000000007</v>
      </c>
      <c r="AD12" s="38">
        <f>Expenses!AD11</f>
        <v>54080.000000000007</v>
      </c>
      <c r="AE12" s="38">
        <f>Expenses!AE11</f>
        <v>54080.000000000007</v>
      </c>
      <c r="AF12" s="38">
        <f>Expenses!AF11</f>
        <v>54080.000000000007</v>
      </c>
      <c r="AG12" s="38">
        <f>Expenses!AG11</f>
        <v>54080.000000000007</v>
      </c>
      <c r="AH12" s="38">
        <f>Expenses!AH11</f>
        <v>54080.000000000007</v>
      </c>
      <c r="AI12" s="38">
        <f>Expenses!AI11</f>
        <v>54080.000000000007</v>
      </c>
      <c r="AJ12" s="38">
        <f>Expenses!AJ11</f>
        <v>54080.000000000007</v>
      </c>
      <c r="AK12" s="38">
        <f>Expenses!AK11</f>
        <v>54080.000000000007</v>
      </c>
      <c r="AL12" s="38">
        <f>Expenses!AL11</f>
        <v>54080.000000000007</v>
      </c>
      <c r="AM12" s="38">
        <f>Expenses!AM11</f>
        <v>54080.000000000007</v>
      </c>
      <c r="AN12" s="37">
        <f t="shared" si="2"/>
        <v>648960.00000000012</v>
      </c>
      <c r="AO12" s="38">
        <f>Expenses!AO11</f>
        <v>56243.200000000004</v>
      </c>
      <c r="AP12" s="38">
        <f>Expenses!AP11</f>
        <v>56243.200000000004</v>
      </c>
      <c r="AQ12" s="38">
        <f>Expenses!AQ11</f>
        <v>56243.200000000004</v>
      </c>
      <c r="AR12" s="38">
        <f>Expenses!AR11</f>
        <v>56243.200000000004</v>
      </c>
      <c r="AS12" s="38">
        <f>Expenses!AS11</f>
        <v>56243.200000000004</v>
      </c>
      <c r="AT12" s="38">
        <f>Expenses!AT11</f>
        <v>56243.200000000004</v>
      </c>
      <c r="AU12" s="38">
        <f>Expenses!AU11</f>
        <v>56243.200000000004</v>
      </c>
      <c r="AV12" s="38">
        <f>Expenses!AV11</f>
        <v>56243.200000000004</v>
      </c>
      <c r="AW12" s="38">
        <f>Expenses!AW11</f>
        <v>56243.200000000004</v>
      </c>
      <c r="AX12" s="38">
        <f>Expenses!AX11</f>
        <v>56243.200000000004</v>
      </c>
      <c r="AY12" s="38">
        <f>Expenses!AY11</f>
        <v>56243.200000000004</v>
      </c>
      <c r="AZ12" s="38">
        <f>Expenses!AZ11</f>
        <v>56243.200000000004</v>
      </c>
      <c r="BA12" s="37">
        <f t="shared" si="3"/>
        <v>674918.39999999991</v>
      </c>
      <c r="BB12" s="38">
        <f>Expenses!BB11</f>
        <v>58492.928000000007</v>
      </c>
      <c r="BC12" s="38">
        <f>Expenses!BC11</f>
        <v>58492.928000000007</v>
      </c>
      <c r="BD12" s="38">
        <f>Expenses!BD11</f>
        <v>58492.928000000007</v>
      </c>
      <c r="BE12" s="38">
        <f>Expenses!BE11</f>
        <v>58492.928000000007</v>
      </c>
      <c r="BF12" s="38">
        <f>Expenses!BF11</f>
        <v>58492.928000000007</v>
      </c>
      <c r="BG12" s="38">
        <f>Expenses!BG11</f>
        <v>58492.928000000007</v>
      </c>
      <c r="BH12" s="38">
        <f>Expenses!BH11</f>
        <v>58492.928000000007</v>
      </c>
      <c r="BI12" s="38">
        <f>Expenses!BI11</f>
        <v>58492.928000000007</v>
      </c>
      <c r="BJ12" s="38">
        <f>Expenses!BJ11</f>
        <v>58492.928000000007</v>
      </c>
      <c r="BK12" s="38">
        <f>Expenses!BK11</f>
        <v>58492.928000000007</v>
      </c>
      <c r="BL12" s="38">
        <f>Expenses!BL11</f>
        <v>58492.928000000007</v>
      </c>
      <c r="BM12" s="38">
        <f>Expenses!BM11</f>
        <v>58492.928000000007</v>
      </c>
      <c r="BN12" s="37">
        <f t="shared" si="4"/>
        <v>701915.13599999994</v>
      </c>
    </row>
    <row r="13" spans="1:66" ht="15" customHeight="1" x14ac:dyDescent="0.25">
      <c r="A13" s="42" t="s">
        <v>332</v>
      </c>
      <c r="B13" s="38">
        <f>Expenses!B12</f>
        <v>57600.000000000007</v>
      </c>
      <c r="C13" s="38">
        <f>Expenses!C12</f>
        <v>57600.000000000007</v>
      </c>
      <c r="D13" s="38">
        <f>Expenses!D12</f>
        <v>57600.000000000007</v>
      </c>
      <c r="E13" s="38">
        <f>Expenses!E12</f>
        <v>64800.000000000022</v>
      </c>
      <c r="F13" s="38">
        <f>Expenses!F12</f>
        <v>64800.000000000022</v>
      </c>
      <c r="G13" s="38">
        <f>Expenses!G12</f>
        <v>64800.000000000022</v>
      </c>
      <c r="H13" s="38">
        <f>Expenses!H12</f>
        <v>57600.000000000007</v>
      </c>
      <c r="I13" s="38">
        <f>Expenses!I12</f>
        <v>57600.000000000007</v>
      </c>
      <c r="J13" s="38">
        <f>Expenses!J12</f>
        <v>57600.000000000007</v>
      </c>
      <c r="K13" s="38">
        <f>Expenses!K12</f>
        <v>64800.000000000022</v>
      </c>
      <c r="L13" s="38">
        <f>Expenses!L12</f>
        <v>64800.000000000022</v>
      </c>
      <c r="M13" s="38">
        <f>Expenses!M12</f>
        <v>50400.000000000022</v>
      </c>
      <c r="N13" s="37">
        <f t="shared" si="0"/>
        <v>720000.00000000012</v>
      </c>
      <c r="O13" s="38">
        <f>Expenses!O12</f>
        <v>64896.000000000022</v>
      </c>
      <c r="P13" s="38">
        <f>Expenses!P12</f>
        <v>64896.000000000022</v>
      </c>
      <c r="Q13" s="38">
        <f>Expenses!Q12</f>
        <v>64896.000000000022</v>
      </c>
      <c r="R13" s="38">
        <f>Expenses!R12</f>
        <v>73008.000000000029</v>
      </c>
      <c r="S13" s="38">
        <f>Expenses!S12</f>
        <v>73008.000000000029</v>
      </c>
      <c r="T13" s="38">
        <f>Expenses!T12</f>
        <v>73008.000000000029</v>
      </c>
      <c r="U13" s="38">
        <f>Expenses!U12</f>
        <v>64896.000000000022</v>
      </c>
      <c r="V13" s="38">
        <f>Expenses!V12</f>
        <v>64896.000000000022</v>
      </c>
      <c r="W13" s="38">
        <f>Expenses!W12</f>
        <v>64896.000000000022</v>
      </c>
      <c r="X13" s="38">
        <f>Expenses!X12</f>
        <v>73008.000000000029</v>
      </c>
      <c r="Y13" s="38">
        <f>Expenses!Y12</f>
        <v>73008.000000000029</v>
      </c>
      <c r="Z13" s="38">
        <f>Expenses!Z12</f>
        <v>56784.000000000029</v>
      </c>
      <c r="AA13" s="37">
        <f t="shared" si="1"/>
        <v>811200.00000000012</v>
      </c>
      <c r="AB13" s="38">
        <f>Expenses!AB12</f>
        <v>72683.520000000019</v>
      </c>
      <c r="AC13" s="38">
        <f>Expenses!AC12</f>
        <v>72683.520000000019</v>
      </c>
      <c r="AD13" s="38">
        <f>Expenses!AD12</f>
        <v>72683.520000000019</v>
      </c>
      <c r="AE13" s="38">
        <f>Expenses!AE12</f>
        <v>81768.960000000036</v>
      </c>
      <c r="AF13" s="38">
        <f>Expenses!AF12</f>
        <v>81768.960000000036</v>
      </c>
      <c r="AG13" s="38">
        <f>Expenses!AG12</f>
        <v>81768.960000000036</v>
      </c>
      <c r="AH13" s="38">
        <f>Expenses!AH12</f>
        <v>72683.520000000019</v>
      </c>
      <c r="AI13" s="38">
        <f>Expenses!AI12</f>
        <v>72683.520000000019</v>
      </c>
      <c r="AJ13" s="38">
        <f>Expenses!AJ12</f>
        <v>72683.520000000019</v>
      </c>
      <c r="AK13" s="38">
        <f>Expenses!AK12</f>
        <v>81768.960000000036</v>
      </c>
      <c r="AL13" s="38">
        <f>Expenses!AL12</f>
        <v>81768.960000000036</v>
      </c>
      <c r="AM13" s="38">
        <f>Expenses!AM12</f>
        <v>63598.080000000031</v>
      </c>
      <c r="AN13" s="37">
        <f t="shared" si="2"/>
        <v>908544.00000000047</v>
      </c>
      <c r="AO13" s="38">
        <f>Expenses!AO12</f>
        <v>80990.208000000028</v>
      </c>
      <c r="AP13" s="38">
        <f>Expenses!AP12</f>
        <v>80990.208000000028</v>
      </c>
      <c r="AQ13" s="38">
        <f>Expenses!AQ12</f>
        <v>80990.208000000028</v>
      </c>
      <c r="AR13" s="38">
        <f>Expenses!AR12</f>
        <v>91113.98400000004</v>
      </c>
      <c r="AS13" s="38">
        <f>Expenses!AS12</f>
        <v>91113.98400000004</v>
      </c>
      <c r="AT13" s="38">
        <f>Expenses!AT12</f>
        <v>91113.98400000004</v>
      </c>
      <c r="AU13" s="38">
        <f>Expenses!AU12</f>
        <v>80990.208000000028</v>
      </c>
      <c r="AV13" s="38">
        <f>Expenses!AV12</f>
        <v>80990.208000000028</v>
      </c>
      <c r="AW13" s="38">
        <f>Expenses!AW12</f>
        <v>80990.208000000028</v>
      </c>
      <c r="AX13" s="38">
        <f>Expenses!AX12</f>
        <v>91113.98400000004</v>
      </c>
      <c r="AY13" s="38">
        <f>Expenses!AY12</f>
        <v>91113.98400000004</v>
      </c>
      <c r="AZ13" s="38">
        <f>Expenses!AZ12</f>
        <v>70866.432000000044</v>
      </c>
      <c r="BA13" s="37">
        <f t="shared" si="3"/>
        <v>1012377.6000000003</v>
      </c>
      <c r="BB13" s="38">
        <f>Expenses!BB12</f>
        <v>89845.137408000024</v>
      </c>
      <c r="BC13" s="38">
        <f>Expenses!BC12</f>
        <v>89845.137408000024</v>
      </c>
      <c r="BD13" s="38">
        <f>Expenses!BD12</f>
        <v>89845.137408000024</v>
      </c>
      <c r="BE13" s="38">
        <f>Expenses!BE12</f>
        <v>101075.77958400003</v>
      </c>
      <c r="BF13" s="38">
        <f>Expenses!BF12</f>
        <v>101075.77958400003</v>
      </c>
      <c r="BG13" s="38">
        <f>Expenses!BG12</f>
        <v>101075.77958400003</v>
      </c>
      <c r="BH13" s="38">
        <f>Expenses!BH12</f>
        <v>89845.137408000024</v>
      </c>
      <c r="BI13" s="38">
        <f>Expenses!BI12</f>
        <v>89845.137408000024</v>
      </c>
      <c r="BJ13" s="38">
        <f>Expenses!BJ12</f>
        <v>89845.137408000024</v>
      </c>
      <c r="BK13" s="38">
        <f>Expenses!BK12</f>
        <v>101075.77958400003</v>
      </c>
      <c r="BL13" s="38">
        <f>Expenses!BL12</f>
        <v>101075.77958400003</v>
      </c>
      <c r="BM13" s="38">
        <f>Expenses!BM12</f>
        <v>78614.49523200003</v>
      </c>
      <c r="BN13" s="37">
        <f t="shared" si="4"/>
        <v>1123064.2176000003</v>
      </c>
    </row>
    <row r="14" spans="1:66" ht="15" customHeight="1" x14ac:dyDescent="0.25">
      <c r="A14" s="35" t="s">
        <v>333</v>
      </c>
      <c r="B14" s="37">
        <f t="shared" ref="B14:M14" si="5">B5-SUM(B6:B13)</f>
        <v>764400</v>
      </c>
      <c r="C14" s="37">
        <f t="shared" si="5"/>
        <v>764400</v>
      </c>
      <c r="D14" s="37">
        <f t="shared" si="5"/>
        <v>764400</v>
      </c>
      <c r="E14" s="37">
        <f t="shared" si="5"/>
        <v>901200.00000000047</v>
      </c>
      <c r="F14" s="37">
        <f t="shared" si="5"/>
        <v>901200.00000000047</v>
      </c>
      <c r="G14" s="37">
        <f t="shared" si="5"/>
        <v>901200.00000000047</v>
      </c>
      <c r="H14" s="37">
        <f t="shared" si="5"/>
        <v>764400</v>
      </c>
      <c r="I14" s="37">
        <f t="shared" si="5"/>
        <v>764400</v>
      </c>
      <c r="J14" s="37">
        <f t="shared" si="5"/>
        <v>764400</v>
      </c>
      <c r="K14" s="37">
        <f t="shared" si="5"/>
        <v>901200.00000000047</v>
      </c>
      <c r="L14" s="37">
        <f t="shared" si="5"/>
        <v>901200.00000000047</v>
      </c>
      <c r="M14" s="37">
        <f t="shared" si="5"/>
        <v>627600.00000000047</v>
      </c>
      <c r="N14" s="37">
        <f t="shared" si="0"/>
        <v>9720000.0000000019</v>
      </c>
      <c r="O14" s="37">
        <f t="shared" ref="O14:Z14" si="6">O5-SUM(O6:O13)</f>
        <v>867980.00000000047</v>
      </c>
      <c r="P14" s="37">
        <f t="shared" si="6"/>
        <v>867980.00000000047</v>
      </c>
      <c r="Q14" s="37">
        <f t="shared" si="6"/>
        <v>867980.00000000047</v>
      </c>
      <c r="R14" s="37">
        <f t="shared" si="6"/>
        <v>1019690.0000000005</v>
      </c>
      <c r="S14" s="37">
        <f t="shared" si="6"/>
        <v>1019690.0000000005</v>
      </c>
      <c r="T14" s="37">
        <f t="shared" si="6"/>
        <v>1019690.0000000005</v>
      </c>
      <c r="U14" s="37">
        <f t="shared" si="6"/>
        <v>867980.00000000047</v>
      </c>
      <c r="V14" s="37">
        <f t="shared" si="6"/>
        <v>867980.00000000047</v>
      </c>
      <c r="W14" s="37">
        <f t="shared" si="6"/>
        <v>867980.00000000047</v>
      </c>
      <c r="X14" s="37">
        <f t="shared" si="6"/>
        <v>1019690.0000000005</v>
      </c>
      <c r="Y14" s="37">
        <f t="shared" si="6"/>
        <v>1019690.0000000005</v>
      </c>
      <c r="Z14" s="37">
        <f t="shared" si="6"/>
        <v>716270.00000000047</v>
      </c>
      <c r="AA14" s="37">
        <f t="shared" si="1"/>
        <v>11022600.000000002</v>
      </c>
      <c r="AB14" s="37">
        <f t="shared" ref="AB14:AM14" si="7">AB5-SUM(AB6:AB13)</f>
        <v>975254.68000000017</v>
      </c>
      <c r="AC14" s="37">
        <f t="shared" si="7"/>
        <v>975254.68000000017</v>
      </c>
      <c r="AD14" s="37">
        <f t="shared" si="7"/>
        <v>975254.68000000017</v>
      </c>
      <c r="AE14" s="37">
        <f t="shared" si="7"/>
        <v>1142430.6400000006</v>
      </c>
      <c r="AF14" s="37">
        <f t="shared" si="7"/>
        <v>1142430.6400000006</v>
      </c>
      <c r="AG14" s="37">
        <f t="shared" si="7"/>
        <v>1142430.6400000006</v>
      </c>
      <c r="AH14" s="37">
        <f t="shared" si="7"/>
        <v>975254.68000000017</v>
      </c>
      <c r="AI14" s="37">
        <f t="shared" si="7"/>
        <v>975254.68000000017</v>
      </c>
      <c r="AJ14" s="37">
        <f t="shared" si="7"/>
        <v>975254.68000000017</v>
      </c>
      <c r="AK14" s="37">
        <f t="shared" si="7"/>
        <v>1142430.6400000006</v>
      </c>
      <c r="AL14" s="37">
        <f t="shared" si="7"/>
        <v>1142430.6400000006</v>
      </c>
      <c r="AM14" s="37">
        <f t="shared" si="7"/>
        <v>808078.72000000067</v>
      </c>
      <c r="AN14" s="37">
        <f t="shared" si="2"/>
        <v>12371760.000000004</v>
      </c>
      <c r="AO14" s="37">
        <f t="shared" ref="AO14:AZ14" si="8">AO5-SUM(AO6:AO13)</f>
        <v>1086159.9500000002</v>
      </c>
      <c r="AP14" s="37">
        <f t="shared" si="8"/>
        <v>1086159.9500000002</v>
      </c>
      <c r="AQ14" s="37">
        <f t="shared" si="8"/>
        <v>1086159.9500000002</v>
      </c>
      <c r="AR14" s="37">
        <f t="shared" si="8"/>
        <v>1269354.3650000007</v>
      </c>
      <c r="AS14" s="37">
        <f t="shared" si="8"/>
        <v>1269354.3650000007</v>
      </c>
      <c r="AT14" s="37">
        <f t="shared" si="8"/>
        <v>1269354.3650000007</v>
      </c>
      <c r="AU14" s="37">
        <f t="shared" si="8"/>
        <v>1086159.9500000002</v>
      </c>
      <c r="AV14" s="37">
        <f t="shared" si="8"/>
        <v>1086159.9500000002</v>
      </c>
      <c r="AW14" s="37">
        <f t="shared" si="8"/>
        <v>1086159.9500000002</v>
      </c>
      <c r="AX14" s="37">
        <f t="shared" si="8"/>
        <v>1269354.3650000007</v>
      </c>
      <c r="AY14" s="37">
        <f t="shared" si="8"/>
        <v>1269354.3650000007</v>
      </c>
      <c r="AZ14" s="37">
        <f t="shared" si="8"/>
        <v>902965.53500000061</v>
      </c>
      <c r="BA14" s="37">
        <f t="shared" si="3"/>
        <v>13766697.060000002</v>
      </c>
      <c r="BB14" s="37">
        <f t="shared" ref="BB14:BM14" si="9">BB5-SUM(BB6:BB13)</f>
        <v>1200609.5192920011</v>
      </c>
      <c r="BC14" s="37">
        <f t="shared" si="9"/>
        <v>1200609.5192920011</v>
      </c>
      <c r="BD14" s="37">
        <f t="shared" si="9"/>
        <v>1200609.5192920011</v>
      </c>
      <c r="BE14" s="37">
        <f t="shared" si="9"/>
        <v>1400368.8651160011</v>
      </c>
      <c r="BF14" s="37">
        <f t="shared" si="9"/>
        <v>1400368.8651160011</v>
      </c>
      <c r="BG14" s="37">
        <f t="shared" si="9"/>
        <v>1400368.8651160011</v>
      </c>
      <c r="BH14" s="37">
        <f t="shared" si="9"/>
        <v>1200609.5192920011</v>
      </c>
      <c r="BI14" s="37">
        <f t="shared" si="9"/>
        <v>1200609.5192920011</v>
      </c>
      <c r="BJ14" s="37">
        <f t="shared" si="9"/>
        <v>1200609.5192920011</v>
      </c>
      <c r="BK14" s="37">
        <f t="shared" si="9"/>
        <v>1400368.8651160011</v>
      </c>
      <c r="BL14" s="37">
        <f t="shared" si="9"/>
        <v>1400368.8651160011</v>
      </c>
      <c r="BM14" s="37">
        <f t="shared" si="9"/>
        <v>1000850.1734680007</v>
      </c>
      <c r="BN14" s="37">
        <f t="shared" si="4"/>
        <v>15206351.61480001</v>
      </c>
    </row>
    <row r="15" spans="1:66" ht="15" customHeight="1" x14ac:dyDescent="0.25">
      <c r="A15" s="42" t="s">
        <v>334</v>
      </c>
      <c r="B15" s="38">
        <f>Expenses!B13</f>
        <v>76666.666666666672</v>
      </c>
      <c r="C15" s="38">
        <f>Expenses!C13</f>
        <v>76666.666666666672</v>
      </c>
      <c r="D15" s="38">
        <f>Expenses!D13</f>
        <v>76666.666666666672</v>
      </c>
      <c r="E15" s="38">
        <f>Expenses!E13</f>
        <v>76666.666666666672</v>
      </c>
      <c r="F15" s="38">
        <f>Expenses!F13</f>
        <v>76666.666666666672</v>
      </c>
      <c r="G15" s="38">
        <f>Expenses!G13</f>
        <v>76666.666666666672</v>
      </c>
      <c r="H15" s="38">
        <f>Expenses!H13</f>
        <v>76666.666666666672</v>
      </c>
      <c r="I15" s="38">
        <f>Expenses!I13</f>
        <v>76666.666666666672</v>
      </c>
      <c r="J15" s="38">
        <f>Expenses!J13</f>
        <v>76666.666666666672</v>
      </c>
      <c r="K15" s="38">
        <f>Expenses!K13</f>
        <v>76666.666666666672</v>
      </c>
      <c r="L15" s="38">
        <f>Expenses!L13</f>
        <v>76666.666666666672</v>
      </c>
      <c r="M15" s="38">
        <f>Expenses!M13</f>
        <v>76666.666666666672</v>
      </c>
      <c r="N15" s="37">
        <f t="shared" si="0"/>
        <v>919999.99999999988</v>
      </c>
      <c r="O15" s="38">
        <f>Expenses!O13</f>
        <v>76666.666666666672</v>
      </c>
      <c r="P15" s="38">
        <f>Expenses!P13</f>
        <v>76666.666666666672</v>
      </c>
      <c r="Q15" s="38">
        <f>Expenses!Q13</f>
        <v>76666.666666666672</v>
      </c>
      <c r="R15" s="38">
        <f>Expenses!R13</f>
        <v>76666.666666666672</v>
      </c>
      <c r="S15" s="38">
        <f>Expenses!S13</f>
        <v>76666.666666666672</v>
      </c>
      <c r="T15" s="38">
        <f>Expenses!T13</f>
        <v>76666.666666666672</v>
      </c>
      <c r="U15" s="38">
        <f>Expenses!U13</f>
        <v>76666.666666666672</v>
      </c>
      <c r="V15" s="38">
        <f>Expenses!V13</f>
        <v>76666.666666666672</v>
      </c>
      <c r="W15" s="38">
        <f>Expenses!W13</f>
        <v>76666.666666666672</v>
      </c>
      <c r="X15" s="38">
        <f>Expenses!X13</f>
        <v>76666.666666666672</v>
      </c>
      <c r="Y15" s="38">
        <f>Expenses!Y13</f>
        <v>76666.666666666672</v>
      </c>
      <c r="Z15" s="38">
        <f>Expenses!Z13</f>
        <v>76666.666666666672</v>
      </c>
      <c r="AA15" s="37">
        <f t="shared" si="1"/>
        <v>919999.99999999988</v>
      </c>
      <c r="AB15" s="38">
        <f>Expenses!AB13</f>
        <v>76666.666666666672</v>
      </c>
      <c r="AC15" s="38">
        <f>Expenses!AC13</f>
        <v>76666.666666666672</v>
      </c>
      <c r="AD15" s="38">
        <f>Expenses!AD13</f>
        <v>76666.666666666672</v>
      </c>
      <c r="AE15" s="38">
        <f>Expenses!AE13</f>
        <v>76666.666666666672</v>
      </c>
      <c r="AF15" s="38">
        <f>Expenses!AF13</f>
        <v>76666.666666666672</v>
      </c>
      <c r="AG15" s="38">
        <f>Expenses!AG13</f>
        <v>76666.666666666672</v>
      </c>
      <c r="AH15" s="38">
        <f>Expenses!AH13</f>
        <v>76666.666666666672</v>
      </c>
      <c r="AI15" s="38">
        <f>Expenses!AI13</f>
        <v>76666.666666666672</v>
      </c>
      <c r="AJ15" s="38">
        <f>Expenses!AJ13</f>
        <v>76666.666666666672</v>
      </c>
      <c r="AK15" s="38">
        <f>Expenses!AK13</f>
        <v>76666.666666666672</v>
      </c>
      <c r="AL15" s="38">
        <f>Expenses!AL13</f>
        <v>76666.666666666672</v>
      </c>
      <c r="AM15" s="38">
        <f>Expenses!AM13</f>
        <v>76666.666666666672</v>
      </c>
      <c r="AN15" s="37">
        <f t="shared" si="2"/>
        <v>919999.99999999988</v>
      </c>
      <c r="AO15" s="38">
        <f>Expenses!AO13</f>
        <v>76666.666666666672</v>
      </c>
      <c r="AP15" s="38">
        <f>Expenses!AP13</f>
        <v>76666.666666666672</v>
      </c>
      <c r="AQ15" s="38">
        <f>Expenses!AQ13</f>
        <v>76666.666666666672</v>
      </c>
      <c r="AR15" s="38">
        <f>Expenses!AR13</f>
        <v>76666.666666666672</v>
      </c>
      <c r="AS15" s="38">
        <f>Expenses!AS13</f>
        <v>76666.666666666672</v>
      </c>
      <c r="AT15" s="38">
        <f>Expenses!AT13</f>
        <v>76666.666666666672</v>
      </c>
      <c r="AU15" s="38">
        <f>Expenses!AU13</f>
        <v>76666.666666666672</v>
      </c>
      <c r="AV15" s="38">
        <f>Expenses!AV13</f>
        <v>76666.666666666672</v>
      </c>
      <c r="AW15" s="38">
        <f>Expenses!AW13</f>
        <v>76666.666666666672</v>
      </c>
      <c r="AX15" s="38">
        <f>Expenses!AX13</f>
        <v>76666.666666666672</v>
      </c>
      <c r="AY15" s="38">
        <f>Expenses!AY13</f>
        <v>76666.666666666672</v>
      </c>
      <c r="AZ15" s="38">
        <f>Expenses!AZ13</f>
        <v>76666.666666666672</v>
      </c>
      <c r="BA15" s="37">
        <f t="shared" si="3"/>
        <v>919999.99999999988</v>
      </c>
      <c r="BB15" s="38">
        <f>Expenses!BB13</f>
        <v>76666.666666666672</v>
      </c>
      <c r="BC15" s="38">
        <f>Expenses!BC13</f>
        <v>76666.666666666672</v>
      </c>
      <c r="BD15" s="38">
        <f>Expenses!BD13</f>
        <v>76666.666666666672</v>
      </c>
      <c r="BE15" s="38">
        <f>Expenses!BE13</f>
        <v>76666.666666666672</v>
      </c>
      <c r="BF15" s="38">
        <f>Expenses!BF13</f>
        <v>76666.666666666672</v>
      </c>
      <c r="BG15" s="38">
        <f>Expenses!BG13</f>
        <v>76666.666666666672</v>
      </c>
      <c r="BH15" s="38">
        <f>Expenses!BH13</f>
        <v>76666.666666666672</v>
      </c>
      <c r="BI15" s="38">
        <f>Expenses!BI13</f>
        <v>76666.666666666672</v>
      </c>
      <c r="BJ15" s="38">
        <f>Expenses!BJ13</f>
        <v>76666.666666666672</v>
      </c>
      <c r="BK15" s="38">
        <f>Expenses!BK13</f>
        <v>76666.666666666672</v>
      </c>
      <c r="BL15" s="38">
        <f>Expenses!BL13</f>
        <v>76666.666666666672</v>
      </c>
      <c r="BM15" s="38">
        <f>Expenses!BM13</f>
        <v>76666.666666666672</v>
      </c>
      <c r="BN15" s="37">
        <f t="shared" si="4"/>
        <v>919999.99999999988</v>
      </c>
    </row>
    <row r="16" spans="1:66" ht="15" customHeight="1" x14ac:dyDescent="0.25">
      <c r="A16" s="35" t="s">
        <v>335</v>
      </c>
      <c r="B16" s="36">
        <f t="shared" ref="B16:M16" si="10">B14-B15</f>
        <v>687733.33333333337</v>
      </c>
      <c r="C16" s="36">
        <f t="shared" si="10"/>
        <v>687733.33333333337</v>
      </c>
      <c r="D16" s="36">
        <f t="shared" si="10"/>
        <v>687733.33333333337</v>
      </c>
      <c r="E16" s="36">
        <f t="shared" si="10"/>
        <v>824533.33333333384</v>
      </c>
      <c r="F16" s="36">
        <f t="shared" si="10"/>
        <v>824533.33333333384</v>
      </c>
      <c r="G16" s="36">
        <f t="shared" si="10"/>
        <v>824533.33333333384</v>
      </c>
      <c r="H16" s="36">
        <f t="shared" si="10"/>
        <v>687733.33333333337</v>
      </c>
      <c r="I16" s="36">
        <f t="shared" si="10"/>
        <v>687733.33333333337</v>
      </c>
      <c r="J16" s="36">
        <f t="shared" si="10"/>
        <v>687733.33333333337</v>
      </c>
      <c r="K16" s="36">
        <f t="shared" si="10"/>
        <v>824533.33333333384</v>
      </c>
      <c r="L16" s="36">
        <f t="shared" si="10"/>
        <v>824533.33333333384</v>
      </c>
      <c r="M16" s="36">
        <f t="shared" si="10"/>
        <v>550933.33333333384</v>
      </c>
      <c r="N16" s="37">
        <f t="shared" si="0"/>
        <v>8800000.0000000019</v>
      </c>
      <c r="O16" s="36">
        <f t="shared" ref="O16:Z16" si="11">O14-O15</f>
        <v>791313.33333333384</v>
      </c>
      <c r="P16" s="36">
        <f t="shared" si="11"/>
        <v>791313.33333333384</v>
      </c>
      <c r="Q16" s="36">
        <f t="shared" si="11"/>
        <v>791313.33333333384</v>
      </c>
      <c r="R16" s="36">
        <f t="shared" si="11"/>
        <v>943023.33333333384</v>
      </c>
      <c r="S16" s="36">
        <f t="shared" si="11"/>
        <v>943023.33333333384</v>
      </c>
      <c r="T16" s="36">
        <f t="shared" si="11"/>
        <v>943023.33333333384</v>
      </c>
      <c r="U16" s="36">
        <f t="shared" si="11"/>
        <v>791313.33333333384</v>
      </c>
      <c r="V16" s="36">
        <f t="shared" si="11"/>
        <v>791313.33333333384</v>
      </c>
      <c r="W16" s="36">
        <f t="shared" si="11"/>
        <v>791313.33333333384</v>
      </c>
      <c r="X16" s="36">
        <f t="shared" si="11"/>
        <v>943023.33333333384</v>
      </c>
      <c r="Y16" s="36">
        <f t="shared" si="11"/>
        <v>943023.33333333384</v>
      </c>
      <c r="Z16" s="36">
        <f t="shared" si="11"/>
        <v>639603.33333333384</v>
      </c>
      <c r="AA16" s="37">
        <f t="shared" si="1"/>
        <v>10102600.000000006</v>
      </c>
      <c r="AB16" s="36">
        <f t="shared" ref="AB16:AM16" si="12">AB14-AB15</f>
        <v>898588.01333333354</v>
      </c>
      <c r="AC16" s="36">
        <f t="shared" si="12"/>
        <v>898588.01333333354</v>
      </c>
      <c r="AD16" s="36">
        <f t="shared" si="12"/>
        <v>898588.01333333354</v>
      </c>
      <c r="AE16" s="36">
        <f t="shared" si="12"/>
        <v>1065763.9733333339</v>
      </c>
      <c r="AF16" s="36">
        <f t="shared" si="12"/>
        <v>1065763.9733333339</v>
      </c>
      <c r="AG16" s="36">
        <f t="shared" si="12"/>
        <v>1065763.9733333339</v>
      </c>
      <c r="AH16" s="36">
        <f t="shared" si="12"/>
        <v>898588.01333333354</v>
      </c>
      <c r="AI16" s="36">
        <f t="shared" si="12"/>
        <v>898588.01333333354</v>
      </c>
      <c r="AJ16" s="36">
        <f t="shared" si="12"/>
        <v>898588.01333333354</v>
      </c>
      <c r="AK16" s="36">
        <f t="shared" si="12"/>
        <v>1065763.9733333339</v>
      </c>
      <c r="AL16" s="36">
        <f t="shared" si="12"/>
        <v>1065763.9733333339</v>
      </c>
      <c r="AM16" s="36">
        <f t="shared" si="12"/>
        <v>731412.05333333404</v>
      </c>
      <c r="AN16" s="37">
        <f t="shared" si="2"/>
        <v>11451760.000000006</v>
      </c>
      <c r="AO16" s="36">
        <f t="shared" ref="AO16:AZ16" si="13">AO14-AO15</f>
        <v>1009493.2833333336</v>
      </c>
      <c r="AP16" s="36">
        <f t="shared" si="13"/>
        <v>1009493.2833333336</v>
      </c>
      <c r="AQ16" s="36">
        <f t="shared" si="13"/>
        <v>1009493.2833333336</v>
      </c>
      <c r="AR16" s="36">
        <f t="shared" si="13"/>
        <v>1192687.6983333339</v>
      </c>
      <c r="AS16" s="36">
        <f t="shared" si="13"/>
        <v>1192687.6983333339</v>
      </c>
      <c r="AT16" s="36">
        <f t="shared" si="13"/>
        <v>1192687.6983333339</v>
      </c>
      <c r="AU16" s="36">
        <f t="shared" si="13"/>
        <v>1009493.2833333336</v>
      </c>
      <c r="AV16" s="36">
        <f t="shared" si="13"/>
        <v>1009493.2833333336</v>
      </c>
      <c r="AW16" s="36">
        <f t="shared" si="13"/>
        <v>1009493.2833333336</v>
      </c>
      <c r="AX16" s="36">
        <f t="shared" si="13"/>
        <v>1192687.6983333339</v>
      </c>
      <c r="AY16" s="36">
        <f t="shared" si="13"/>
        <v>1192687.6983333339</v>
      </c>
      <c r="AZ16" s="36">
        <f t="shared" si="13"/>
        <v>826298.86833333399</v>
      </c>
      <c r="BA16" s="37">
        <f t="shared" si="3"/>
        <v>12846697.060000006</v>
      </c>
      <c r="BB16" s="36">
        <f t="shared" ref="BB16:BM16" si="14">BB14-BB15</f>
        <v>1123942.8526253344</v>
      </c>
      <c r="BC16" s="36">
        <f t="shared" si="14"/>
        <v>1123942.8526253344</v>
      </c>
      <c r="BD16" s="36">
        <f t="shared" si="14"/>
        <v>1123942.8526253344</v>
      </c>
      <c r="BE16" s="36">
        <f t="shared" si="14"/>
        <v>1323702.1984493344</v>
      </c>
      <c r="BF16" s="36">
        <f t="shared" si="14"/>
        <v>1323702.1984493344</v>
      </c>
      <c r="BG16" s="36">
        <f t="shared" si="14"/>
        <v>1323702.1984493344</v>
      </c>
      <c r="BH16" s="36">
        <f t="shared" si="14"/>
        <v>1123942.8526253344</v>
      </c>
      <c r="BI16" s="36">
        <f t="shared" si="14"/>
        <v>1123942.8526253344</v>
      </c>
      <c r="BJ16" s="36">
        <f t="shared" si="14"/>
        <v>1123942.8526253344</v>
      </c>
      <c r="BK16" s="36">
        <f t="shared" si="14"/>
        <v>1323702.1984493344</v>
      </c>
      <c r="BL16" s="36">
        <f t="shared" si="14"/>
        <v>1323702.1984493344</v>
      </c>
      <c r="BM16" s="36">
        <f t="shared" si="14"/>
        <v>924183.50680133409</v>
      </c>
      <c r="BN16" s="37">
        <f t="shared" si="4"/>
        <v>14286351.61480001</v>
      </c>
    </row>
    <row r="17" spans="1:66" ht="15" customHeight="1" x14ac:dyDescent="0.25">
      <c r="A17" s="42" t="s">
        <v>336</v>
      </c>
      <c r="B17" s="38">
        <f>Expenses!B14</f>
        <v>52500</v>
      </c>
      <c r="C17" s="38">
        <f>Expenses!C14</f>
        <v>52500</v>
      </c>
      <c r="D17" s="38">
        <f>Expenses!D14</f>
        <v>52500</v>
      </c>
      <c r="E17" s="38">
        <f>Expenses!E14</f>
        <v>52500</v>
      </c>
      <c r="F17" s="38">
        <f>Expenses!F14</f>
        <v>52500</v>
      </c>
      <c r="G17" s="38">
        <f>Expenses!G14</f>
        <v>52500</v>
      </c>
      <c r="H17" s="38">
        <f>Expenses!H14</f>
        <v>52500</v>
      </c>
      <c r="I17" s="38">
        <f>Expenses!I14</f>
        <v>52500</v>
      </c>
      <c r="J17" s="38">
        <f>Expenses!J14</f>
        <v>52500</v>
      </c>
      <c r="K17" s="38">
        <f>Expenses!K14</f>
        <v>52500</v>
      </c>
      <c r="L17" s="38">
        <f>Expenses!L14</f>
        <v>52500</v>
      </c>
      <c r="M17" s="38">
        <f>Expenses!M14</f>
        <v>52500</v>
      </c>
      <c r="N17" s="37">
        <f t="shared" si="0"/>
        <v>630000</v>
      </c>
      <c r="O17" s="38">
        <f>Expenses!O14</f>
        <v>51617.647058823524</v>
      </c>
      <c r="P17" s="38">
        <f>Expenses!P14</f>
        <v>51617.647058823524</v>
      </c>
      <c r="Q17" s="38">
        <f>Expenses!Q14</f>
        <v>51617.647058823524</v>
      </c>
      <c r="R17" s="38">
        <f>Expenses!R14</f>
        <v>51617.647058823524</v>
      </c>
      <c r="S17" s="38">
        <f>Expenses!S14</f>
        <v>51617.647058823524</v>
      </c>
      <c r="T17" s="38">
        <f>Expenses!T14</f>
        <v>51617.647058823524</v>
      </c>
      <c r="U17" s="38">
        <f>Expenses!U14</f>
        <v>51617.647058823524</v>
      </c>
      <c r="V17" s="38">
        <f>Expenses!V14</f>
        <v>51617.647058823524</v>
      </c>
      <c r="W17" s="38">
        <f>Expenses!W14</f>
        <v>51617.647058823524</v>
      </c>
      <c r="X17" s="38">
        <f>Expenses!X14</f>
        <v>51617.647058823524</v>
      </c>
      <c r="Y17" s="38">
        <f>Expenses!Y14</f>
        <v>51617.647058823524</v>
      </c>
      <c r="Z17" s="38">
        <f>Expenses!Z14</f>
        <v>51617.647058823524</v>
      </c>
      <c r="AA17" s="37">
        <f t="shared" si="1"/>
        <v>619411.76470588217</v>
      </c>
      <c r="AB17" s="38">
        <f>Expenses!AB14</f>
        <v>50735.294117647049</v>
      </c>
      <c r="AC17" s="38">
        <f>Expenses!AC14</f>
        <v>50735.294117647049</v>
      </c>
      <c r="AD17" s="38">
        <f>Expenses!AD14</f>
        <v>50735.294117647049</v>
      </c>
      <c r="AE17" s="38">
        <f>Expenses!AE14</f>
        <v>50735.294117647049</v>
      </c>
      <c r="AF17" s="38">
        <f>Expenses!AF14</f>
        <v>50735.294117647049</v>
      </c>
      <c r="AG17" s="38">
        <f>Expenses!AG14</f>
        <v>50735.294117647049</v>
      </c>
      <c r="AH17" s="38">
        <f>Expenses!AH14</f>
        <v>50735.294117647049</v>
      </c>
      <c r="AI17" s="38">
        <f>Expenses!AI14</f>
        <v>50735.294117647049</v>
      </c>
      <c r="AJ17" s="38">
        <f>Expenses!AJ14</f>
        <v>50735.294117647049</v>
      </c>
      <c r="AK17" s="38">
        <f>Expenses!AK14</f>
        <v>50735.294117647049</v>
      </c>
      <c r="AL17" s="38">
        <f>Expenses!AL14</f>
        <v>50735.294117647049</v>
      </c>
      <c r="AM17" s="38">
        <f>Expenses!AM14</f>
        <v>50735.294117647049</v>
      </c>
      <c r="AN17" s="37">
        <f t="shared" si="2"/>
        <v>608823.52941176458</v>
      </c>
      <c r="AO17" s="38">
        <f>Expenses!AO14</f>
        <v>49852.941176470573</v>
      </c>
      <c r="AP17" s="38">
        <f>Expenses!AP14</f>
        <v>49852.941176470573</v>
      </c>
      <c r="AQ17" s="38">
        <f>Expenses!AQ14</f>
        <v>49852.941176470573</v>
      </c>
      <c r="AR17" s="38">
        <f>Expenses!AR14</f>
        <v>49852.941176470573</v>
      </c>
      <c r="AS17" s="38">
        <f>Expenses!AS14</f>
        <v>49852.941176470573</v>
      </c>
      <c r="AT17" s="38">
        <f>Expenses!AT14</f>
        <v>49852.941176470573</v>
      </c>
      <c r="AU17" s="38">
        <f>Expenses!AU14</f>
        <v>49852.941176470573</v>
      </c>
      <c r="AV17" s="38">
        <f>Expenses!AV14</f>
        <v>49852.941176470573</v>
      </c>
      <c r="AW17" s="38">
        <f>Expenses!AW14</f>
        <v>49852.941176470573</v>
      </c>
      <c r="AX17" s="38">
        <f>Expenses!AX14</f>
        <v>49852.941176470573</v>
      </c>
      <c r="AY17" s="38">
        <f>Expenses!AY14</f>
        <v>49852.941176470573</v>
      </c>
      <c r="AZ17" s="38">
        <f>Expenses!AZ14</f>
        <v>49852.941176470573</v>
      </c>
      <c r="BA17" s="37">
        <f t="shared" si="3"/>
        <v>598235.29411764699</v>
      </c>
      <c r="BB17" s="38">
        <f>Expenses!BB14</f>
        <v>48970.588235294097</v>
      </c>
      <c r="BC17" s="38">
        <f>Expenses!BC14</f>
        <v>48970.588235294097</v>
      </c>
      <c r="BD17" s="38">
        <f>Expenses!BD14</f>
        <v>48970.588235294097</v>
      </c>
      <c r="BE17" s="38">
        <f>Expenses!BE14</f>
        <v>48970.588235294097</v>
      </c>
      <c r="BF17" s="38">
        <f>Expenses!BF14</f>
        <v>48970.588235294097</v>
      </c>
      <c r="BG17" s="38">
        <f>Expenses!BG14</f>
        <v>48970.588235294097</v>
      </c>
      <c r="BH17" s="38">
        <f>Expenses!BH14</f>
        <v>48970.588235294097</v>
      </c>
      <c r="BI17" s="38">
        <f>Expenses!BI14</f>
        <v>48970.588235294097</v>
      </c>
      <c r="BJ17" s="38">
        <f>Expenses!BJ14</f>
        <v>48970.588235294097</v>
      </c>
      <c r="BK17" s="38">
        <f>Expenses!BK14</f>
        <v>48970.588235294097</v>
      </c>
      <c r="BL17" s="38">
        <f>Expenses!BL14</f>
        <v>48970.588235294097</v>
      </c>
      <c r="BM17" s="38">
        <f>Expenses!BM14</f>
        <v>48970.588235294097</v>
      </c>
      <c r="BN17" s="37">
        <f t="shared" si="4"/>
        <v>587647.05882352917</v>
      </c>
    </row>
    <row r="18" spans="1:66" ht="15" customHeight="1" x14ac:dyDescent="0.25">
      <c r="A18" s="42" t="s">
        <v>337</v>
      </c>
      <c r="B18" s="38">
        <f>Expenses!B15</f>
        <v>12365.753424657536</v>
      </c>
      <c r="C18" s="38">
        <f>Expenses!C15</f>
        <v>12365.753424657536</v>
      </c>
      <c r="D18" s="38">
        <f>Expenses!D15</f>
        <v>12365.753424657536</v>
      </c>
      <c r="E18" s="38">
        <f>Expenses!E15</f>
        <v>12365.753424657536</v>
      </c>
      <c r="F18" s="38">
        <f>Expenses!F15</f>
        <v>12365.753424657536</v>
      </c>
      <c r="G18" s="38">
        <f>Expenses!G15</f>
        <v>12365.753424657536</v>
      </c>
      <c r="H18" s="38">
        <f>Expenses!H15</f>
        <v>12365.753424657536</v>
      </c>
      <c r="I18" s="38">
        <f>Expenses!I15</f>
        <v>12365.753424657536</v>
      </c>
      <c r="J18" s="38">
        <f>Expenses!J15</f>
        <v>12365.753424657536</v>
      </c>
      <c r="K18" s="38">
        <f>Expenses!K15</f>
        <v>12365.753424657536</v>
      </c>
      <c r="L18" s="38">
        <f>Expenses!L15</f>
        <v>12365.753424657536</v>
      </c>
      <c r="M18" s="38">
        <f>Expenses!M15</f>
        <v>12365.753424657536</v>
      </c>
      <c r="N18" s="37">
        <f t="shared" si="0"/>
        <v>148389.04109589042</v>
      </c>
      <c r="O18" s="38">
        <f>Expenses!O15</f>
        <v>13533.842465753425</v>
      </c>
      <c r="P18" s="38">
        <f>Expenses!P15</f>
        <v>13533.842465753425</v>
      </c>
      <c r="Q18" s="38">
        <f>Expenses!Q15</f>
        <v>13533.842465753425</v>
      </c>
      <c r="R18" s="38">
        <f>Expenses!R15</f>
        <v>13533.842465753425</v>
      </c>
      <c r="S18" s="38">
        <f>Expenses!S15</f>
        <v>13533.842465753425</v>
      </c>
      <c r="T18" s="38">
        <f>Expenses!T15</f>
        <v>13533.842465753425</v>
      </c>
      <c r="U18" s="38">
        <f>Expenses!U15</f>
        <v>13533.842465753425</v>
      </c>
      <c r="V18" s="38">
        <f>Expenses!V15</f>
        <v>13533.842465753425</v>
      </c>
      <c r="W18" s="38">
        <f>Expenses!W15</f>
        <v>13533.842465753425</v>
      </c>
      <c r="X18" s="38">
        <f>Expenses!X15</f>
        <v>13533.842465753425</v>
      </c>
      <c r="Y18" s="38">
        <f>Expenses!Y15</f>
        <v>13533.842465753425</v>
      </c>
      <c r="Z18" s="38">
        <f>Expenses!Z15</f>
        <v>13533.842465753425</v>
      </c>
      <c r="AA18" s="37">
        <f t="shared" si="1"/>
        <v>162406.10958904109</v>
      </c>
      <c r="AB18" s="38">
        <f>Expenses!AB15</f>
        <v>14756.154657534249</v>
      </c>
      <c r="AC18" s="38">
        <f>Expenses!AC15</f>
        <v>14756.154657534249</v>
      </c>
      <c r="AD18" s="38">
        <f>Expenses!AD15</f>
        <v>14756.154657534249</v>
      </c>
      <c r="AE18" s="38">
        <f>Expenses!AE15</f>
        <v>14756.154657534249</v>
      </c>
      <c r="AF18" s="38">
        <f>Expenses!AF15</f>
        <v>14756.154657534249</v>
      </c>
      <c r="AG18" s="38">
        <f>Expenses!AG15</f>
        <v>14756.154657534249</v>
      </c>
      <c r="AH18" s="38">
        <f>Expenses!AH15</f>
        <v>14756.154657534249</v>
      </c>
      <c r="AI18" s="38">
        <f>Expenses!AI15</f>
        <v>14756.154657534249</v>
      </c>
      <c r="AJ18" s="38">
        <f>Expenses!AJ15</f>
        <v>14756.154657534249</v>
      </c>
      <c r="AK18" s="38">
        <f>Expenses!AK15</f>
        <v>14756.154657534249</v>
      </c>
      <c r="AL18" s="38">
        <f>Expenses!AL15</f>
        <v>14756.154657534249</v>
      </c>
      <c r="AM18" s="38">
        <f>Expenses!AM15</f>
        <v>14756.154657534249</v>
      </c>
      <c r="AN18" s="37">
        <f t="shared" si="2"/>
        <v>177073.85589041095</v>
      </c>
      <c r="AO18" s="38">
        <f>Expenses!AO15</f>
        <v>16033.971717123297</v>
      </c>
      <c r="AP18" s="38">
        <f>Expenses!AP15</f>
        <v>16033.971717123297</v>
      </c>
      <c r="AQ18" s="38">
        <f>Expenses!AQ15</f>
        <v>16033.971717123297</v>
      </c>
      <c r="AR18" s="38">
        <f>Expenses!AR15</f>
        <v>16033.971717123297</v>
      </c>
      <c r="AS18" s="38">
        <f>Expenses!AS15</f>
        <v>16033.971717123297</v>
      </c>
      <c r="AT18" s="38">
        <f>Expenses!AT15</f>
        <v>16033.971717123297</v>
      </c>
      <c r="AU18" s="38">
        <f>Expenses!AU15</f>
        <v>16033.971717123297</v>
      </c>
      <c r="AV18" s="38">
        <f>Expenses!AV15</f>
        <v>16033.971717123297</v>
      </c>
      <c r="AW18" s="38">
        <f>Expenses!AW15</f>
        <v>16033.971717123297</v>
      </c>
      <c r="AX18" s="38">
        <f>Expenses!AX15</f>
        <v>16033.971717123297</v>
      </c>
      <c r="AY18" s="38">
        <f>Expenses!AY15</f>
        <v>16033.971717123297</v>
      </c>
      <c r="AZ18" s="38">
        <f>Expenses!AZ15</f>
        <v>16033.971717123297</v>
      </c>
      <c r="BA18" s="37">
        <f t="shared" si="3"/>
        <v>192407.66060547953</v>
      </c>
      <c r="BB18" s="38">
        <f>Expenses!BB15</f>
        <v>17368.528264027405</v>
      </c>
      <c r="BC18" s="38">
        <f>Expenses!BC15</f>
        <v>17368.528264027405</v>
      </c>
      <c r="BD18" s="38">
        <f>Expenses!BD15</f>
        <v>17368.528264027405</v>
      </c>
      <c r="BE18" s="38">
        <f>Expenses!BE15</f>
        <v>17368.528264027405</v>
      </c>
      <c r="BF18" s="38">
        <f>Expenses!BF15</f>
        <v>17368.528264027405</v>
      </c>
      <c r="BG18" s="38">
        <f>Expenses!BG15</f>
        <v>17368.528264027405</v>
      </c>
      <c r="BH18" s="38">
        <f>Expenses!BH15</f>
        <v>17368.528264027405</v>
      </c>
      <c r="BI18" s="38">
        <f>Expenses!BI15</f>
        <v>17368.528264027405</v>
      </c>
      <c r="BJ18" s="38">
        <f>Expenses!BJ15</f>
        <v>17368.528264027405</v>
      </c>
      <c r="BK18" s="38">
        <f>Expenses!BK15</f>
        <v>17368.528264027405</v>
      </c>
      <c r="BL18" s="38">
        <f>Expenses!BL15</f>
        <v>17368.528264027405</v>
      </c>
      <c r="BM18" s="38">
        <f>Expenses!BM15</f>
        <v>17368.528264027405</v>
      </c>
      <c r="BN18" s="37">
        <f t="shared" si="4"/>
        <v>208422.33916832888</v>
      </c>
    </row>
    <row r="19" spans="1:66" ht="15" customHeight="1" x14ac:dyDescent="0.25">
      <c r="A19" s="35" t="s">
        <v>338</v>
      </c>
      <c r="B19" s="36">
        <f t="shared" ref="B19:M19" si="15">B16-B17-B18</f>
        <v>622867.57990867586</v>
      </c>
      <c r="C19" s="36">
        <f t="shared" si="15"/>
        <v>622867.57990867586</v>
      </c>
      <c r="D19" s="36">
        <f t="shared" si="15"/>
        <v>622867.57990867586</v>
      </c>
      <c r="E19" s="36">
        <f t="shared" si="15"/>
        <v>759667.57990867633</v>
      </c>
      <c r="F19" s="36">
        <f t="shared" si="15"/>
        <v>759667.57990867633</v>
      </c>
      <c r="G19" s="36">
        <f t="shared" si="15"/>
        <v>759667.57990867633</v>
      </c>
      <c r="H19" s="36">
        <f t="shared" si="15"/>
        <v>622867.57990867586</v>
      </c>
      <c r="I19" s="36">
        <f t="shared" si="15"/>
        <v>622867.57990867586</v>
      </c>
      <c r="J19" s="36">
        <f t="shared" si="15"/>
        <v>622867.57990867586</v>
      </c>
      <c r="K19" s="36">
        <f t="shared" si="15"/>
        <v>759667.57990867633</v>
      </c>
      <c r="L19" s="36">
        <f t="shared" si="15"/>
        <v>759667.57990867633</v>
      </c>
      <c r="M19" s="36">
        <f t="shared" si="15"/>
        <v>486067.57990867633</v>
      </c>
      <c r="N19" s="37">
        <f t="shared" si="0"/>
        <v>8021610.9589041127</v>
      </c>
      <c r="O19" s="36">
        <f t="shared" ref="O19:Z19" si="16">O16-O17-O18</f>
        <v>726161.84380875691</v>
      </c>
      <c r="P19" s="36">
        <f t="shared" si="16"/>
        <v>726161.84380875691</v>
      </c>
      <c r="Q19" s="36">
        <f t="shared" si="16"/>
        <v>726161.84380875691</v>
      </c>
      <c r="R19" s="36">
        <f t="shared" si="16"/>
        <v>877871.84380875691</v>
      </c>
      <c r="S19" s="36">
        <f t="shared" si="16"/>
        <v>877871.84380875691</v>
      </c>
      <c r="T19" s="36">
        <f t="shared" si="16"/>
        <v>877871.84380875691</v>
      </c>
      <c r="U19" s="36">
        <f t="shared" si="16"/>
        <v>726161.84380875691</v>
      </c>
      <c r="V19" s="36">
        <f t="shared" si="16"/>
        <v>726161.84380875691</v>
      </c>
      <c r="W19" s="36">
        <f t="shared" si="16"/>
        <v>726161.84380875691</v>
      </c>
      <c r="X19" s="36">
        <f t="shared" si="16"/>
        <v>877871.84380875691</v>
      </c>
      <c r="Y19" s="36">
        <f t="shared" si="16"/>
        <v>877871.84380875691</v>
      </c>
      <c r="Z19" s="36">
        <f t="shared" si="16"/>
        <v>574451.84380875691</v>
      </c>
      <c r="AA19" s="37">
        <f t="shared" si="1"/>
        <v>9320782.1257050838</v>
      </c>
      <c r="AB19" s="36">
        <f t="shared" ref="AB19:AM19" si="17">AB16-AB17-AB18</f>
        <v>833096.56455815223</v>
      </c>
      <c r="AC19" s="36">
        <f t="shared" si="17"/>
        <v>833096.56455815223</v>
      </c>
      <c r="AD19" s="36">
        <f t="shared" si="17"/>
        <v>833096.56455815223</v>
      </c>
      <c r="AE19" s="36">
        <f t="shared" si="17"/>
        <v>1000272.5245581527</v>
      </c>
      <c r="AF19" s="36">
        <f t="shared" si="17"/>
        <v>1000272.5245581527</v>
      </c>
      <c r="AG19" s="36">
        <f t="shared" si="17"/>
        <v>1000272.5245581527</v>
      </c>
      <c r="AH19" s="36">
        <f t="shared" si="17"/>
        <v>833096.56455815223</v>
      </c>
      <c r="AI19" s="36">
        <f t="shared" si="17"/>
        <v>833096.56455815223</v>
      </c>
      <c r="AJ19" s="36">
        <f t="shared" si="17"/>
        <v>833096.56455815223</v>
      </c>
      <c r="AK19" s="36">
        <f t="shared" si="17"/>
        <v>1000272.5245581527</v>
      </c>
      <c r="AL19" s="36">
        <f t="shared" si="17"/>
        <v>1000272.5245581527</v>
      </c>
      <c r="AM19" s="36">
        <f t="shared" si="17"/>
        <v>665920.60455815273</v>
      </c>
      <c r="AN19" s="37">
        <f t="shared" si="2"/>
        <v>10665862.614697831</v>
      </c>
      <c r="AO19" s="36">
        <f t="shared" ref="AO19:AZ19" si="18">AO16-AO17-AO18</f>
        <v>943606.37043973967</v>
      </c>
      <c r="AP19" s="36">
        <f t="shared" si="18"/>
        <v>943606.37043973967</v>
      </c>
      <c r="AQ19" s="36">
        <f t="shared" si="18"/>
        <v>943606.37043973967</v>
      </c>
      <c r="AR19" s="36">
        <f t="shared" si="18"/>
        <v>1126800.7854397399</v>
      </c>
      <c r="AS19" s="36">
        <f t="shared" si="18"/>
        <v>1126800.7854397399</v>
      </c>
      <c r="AT19" s="36">
        <f t="shared" si="18"/>
        <v>1126800.7854397399</v>
      </c>
      <c r="AU19" s="36">
        <f t="shared" si="18"/>
        <v>943606.37043973967</v>
      </c>
      <c r="AV19" s="36">
        <f t="shared" si="18"/>
        <v>943606.37043973967</v>
      </c>
      <c r="AW19" s="36">
        <f t="shared" si="18"/>
        <v>943606.37043973967</v>
      </c>
      <c r="AX19" s="36">
        <f t="shared" si="18"/>
        <v>1126800.7854397399</v>
      </c>
      <c r="AY19" s="36">
        <f t="shared" si="18"/>
        <v>1126800.7854397399</v>
      </c>
      <c r="AZ19" s="36">
        <f t="shared" si="18"/>
        <v>760411.95543974009</v>
      </c>
      <c r="BA19" s="37">
        <f t="shared" si="3"/>
        <v>12056054.105276881</v>
      </c>
      <c r="BB19" s="36">
        <f t="shared" ref="BB19:BM19" si="19">BB16-BB17-BB18</f>
        <v>1057603.7361260129</v>
      </c>
      <c r="BC19" s="36">
        <f t="shared" si="19"/>
        <v>1057603.7361260129</v>
      </c>
      <c r="BD19" s="36">
        <f t="shared" si="19"/>
        <v>1057603.7361260129</v>
      </c>
      <c r="BE19" s="36">
        <f t="shared" si="19"/>
        <v>1257363.0819500128</v>
      </c>
      <c r="BF19" s="36">
        <f t="shared" si="19"/>
        <v>1257363.0819500128</v>
      </c>
      <c r="BG19" s="36">
        <f t="shared" si="19"/>
        <v>1257363.0819500128</v>
      </c>
      <c r="BH19" s="36">
        <f t="shared" si="19"/>
        <v>1057603.7361260129</v>
      </c>
      <c r="BI19" s="36">
        <f t="shared" si="19"/>
        <v>1057603.7361260129</v>
      </c>
      <c r="BJ19" s="36">
        <f t="shared" si="19"/>
        <v>1057603.7361260129</v>
      </c>
      <c r="BK19" s="36">
        <f t="shared" si="19"/>
        <v>1257363.0819500128</v>
      </c>
      <c r="BL19" s="36">
        <f t="shared" si="19"/>
        <v>1257363.0819500128</v>
      </c>
      <c r="BM19" s="36">
        <f t="shared" si="19"/>
        <v>857844.39030201256</v>
      </c>
      <c r="BN19" s="37">
        <f t="shared" si="4"/>
        <v>13490282.216808151</v>
      </c>
    </row>
    <row r="20" spans="1:66" ht="15" customHeight="1" x14ac:dyDescent="0.25">
      <c r="A20" s="42" t="s">
        <v>339</v>
      </c>
      <c r="B20" s="41">
        <f>IF(B19&gt;0,B19*Assumptions!$C$14,0)</f>
        <v>155716.89497716897</v>
      </c>
      <c r="C20" s="41">
        <f>IF(C19&gt;0,C19*Assumptions!$C$14,0)</f>
        <v>155716.89497716897</v>
      </c>
      <c r="D20" s="41">
        <f>IF(D19&gt;0,D19*Assumptions!$C$14,0)</f>
        <v>155716.89497716897</v>
      </c>
      <c r="E20" s="41">
        <f>IF(E19&gt;0,E19*Assumptions!$C$14,0)</f>
        <v>189916.89497716908</v>
      </c>
      <c r="F20" s="41">
        <f>IF(F19&gt;0,F19*Assumptions!$C$14,0)</f>
        <v>189916.89497716908</v>
      </c>
      <c r="G20" s="41">
        <f>IF(G19&gt;0,G19*Assumptions!$C$14,0)</f>
        <v>189916.89497716908</v>
      </c>
      <c r="H20" s="41">
        <f>IF(H19&gt;0,H19*Assumptions!$C$14,0)</f>
        <v>155716.89497716897</v>
      </c>
      <c r="I20" s="41">
        <f>IF(I19&gt;0,I19*Assumptions!$C$14,0)</f>
        <v>155716.89497716897</v>
      </c>
      <c r="J20" s="41">
        <f>IF(J19&gt;0,J19*Assumptions!$C$14,0)</f>
        <v>155716.89497716897</v>
      </c>
      <c r="K20" s="41">
        <f>IF(K19&gt;0,K19*Assumptions!$C$14,0)</f>
        <v>189916.89497716908</v>
      </c>
      <c r="L20" s="41">
        <f>IF(L19&gt;0,L19*Assumptions!$C$14,0)</f>
        <v>189916.89497716908</v>
      </c>
      <c r="M20" s="41">
        <f>IF(M19&gt;0,M19*Assumptions!$C$14,0)</f>
        <v>121516.89497716908</v>
      </c>
      <c r="N20" s="37">
        <f t="shared" si="0"/>
        <v>2005402.7397260282</v>
      </c>
      <c r="O20" s="41">
        <f>IF(O19&gt;0,O19*Assumptions!$C$14,0)</f>
        <v>181540.46095218923</v>
      </c>
      <c r="P20" s="41">
        <f>IF(P19&gt;0,P19*Assumptions!$C$14,0)</f>
        <v>181540.46095218923</v>
      </c>
      <c r="Q20" s="41">
        <f>IF(Q19&gt;0,Q19*Assumptions!$C$14,0)</f>
        <v>181540.46095218923</v>
      </c>
      <c r="R20" s="41">
        <f>IF(R19&gt;0,R19*Assumptions!$C$14,0)</f>
        <v>219467.96095218923</v>
      </c>
      <c r="S20" s="41">
        <f>IF(S19&gt;0,S19*Assumptions!$C$14,0)</f>
        <v>219467.96095218923</v>
      </c>
      <c r="T20" s="41">
        <f>IF(T19&gt;0,T19*Assumptions!$C$14,0)</f>
        <v>219467.96095218923</v>
      </c>
      <c r="U20" s="41">
        <f>IF(U19&gt;0,U19*Assumptions!$C$14,0)</f>
        <v>181540.46095218923</v>
      </c>
      <c r="V20" s="41">
        <f>IF(V19&gt;0,V19*Assumptions!$C$14,0)</f>
        <v>181540.46095218923</v>
      </c>
      <c r="W20" s="41">
        <f>IF(W19&gt;0,W19*Assumptions!$C$14,0)</f>
        <v>181540.46095218923</v>
      </c>
      <c r="X20" s="41">
        <f>IF(X19&gt;0,X19*Assumptions!$C$14,0)</f>
        <v>219467.96095218923</v>
      </c>
      <c r="Y20" s="41">
        <f>IF(Y19&gt;0,Y19*Assumptions!$C$14,0)</f>
        <v>219467.96095218923</v>
      </c>
      <c r="Z20" s="41">
        <f>IF(Z19&gt;0,Z19*Assumptions!$C$14,0)</f>
        <v>143612.96095218923</v>
      </c>
      <c r="AA20" s="37">
        <f t="shared" si="1"/>
        <v>2330195.531426271</v>
      </c>
      <c r="AB20" s="41">
        <f>IF(AB19&gt;0,AB19*Assumptions!$C$14,0)</f>
        <v>208274.14113953806</v>
      </c>
      <c r="AC20" s="41">
        <f>IF(AC19&gt;0,AC19*Assumptions!$C$14,0)</f>
        <v>208274.14113953806</v>
      </c>
      <c r="AD20" s="41">
        <f>IF(AD19&gt;0,AD19*Assumptions!$C$14,0)</f>
        <v>208274.14113953806</v>
      </c>
      <c r="AE20" s="41">
        <f>IF(AE19&gt;0,AE19*Assumptions!$C$14,0)</f>
        <v>250068.13113953816</v>
      </c>
      <c r="AF20" s="41">
        <f>IF(AF19&gt;0,AF19*Assumptions!$C$14,0)</f>
        <v>250068.13113953816</v>
      </c>
      <c r="AG20" s="41">
        <f>IF(AG19&gt;0,AG19*Assumptions!$C$14,0)</f>
        <v>250068.13113953816</v>
      </c>
      <c r="AH20" s="41">
        <f>IF(AH19&gt;0,AH19*Assumptions!$C$14,0)</f>
        <v>208274.14113953806</v>
      </c>
      <c r="AI20" s="41">
        <f>IF(AI19&gt;0,AI19*Assumptions!$C$14,0)</f>
        <v>208274.14113953806</v>
      </c>
      <c r="AJ20" s="41">
        <f>IF(AJ19&gt;0,AJ19*Assumptions!$C$14,0)</f>
        <v>208274.14113953806</v>
      </c>
      <c r="AK20" s="41">
        <f>IF(AK19&gt;0,AK19*Assumptions!$C$14,0)</f>
        <v>250068.13113953816</v>
      </c>
      <c r="AL20" s="41">
        <f>IF(AL19&gt;0,AL19*Assumptions!$C$14,0)</f>
        <v>250068.13113953816</v>
      </c>
      <c r="AM20" s="41">
        <f>IF(AM19&gt;0,AM19*Assumptions!$C$14,0)</f>
        <v>166480.15113953818</v>
      </c>
      <c r="AN20" s="37">
        <f t="shared" si="2"/>
        <v>2666465.6536744577</v>
      </c>
      <c r="AO20" s="41">
        <f>IF(AO19&gt;0,AO19*Assumptions!$C$14,0)</f>
        <v>235901.59260993492</v>
      </c>
      <c r="AP20" s="41">
        <f>IF(AP19&gt;0,AP19*Assumptions!$C$14,0)</f>
        <v>235901.59260993492</v>
      </c>
      <c r="AQ20" s="41">
        <f>IF(AQ19&gt;0,AQ19*Assumptions!$C$14,0)</f>
        <v>235901.59260993492</v>
      </c>
      <c r="AR20" s="41">
        <f>IF(AR19&gt;0,AR19*Assumptions!$C$14,0)</f>
        <v>281700.19635993498</v>
      </c>
      <c r="AS20" s="41">
        <f>IF(AS19&gt;0,AS19*Assumptions!$C$14,0)</f>
        <v>281700.19635993498</v>
      </c>
      <c r="AT20" s="41">
        <f>IF(AT19&gt;0,AT19*Assumptions!$C$14,0)</f>
        <v>281700.19635993498</v>
      </c>
      <c r="AU20" s="41">
        <f>IF(AU19&gt;0,AU19*Assumptions!$C$14,0)</f>
        <v>235901.59260993492</v>
      </c>
      <c r="AV20" s="41">
        <f>IF(AV19&gt;0,AV19*Assumptions!$C$14,0)</f>
        <v>235901.59260993492</v>
      </c>
      <c r="AW20" s="41">
        <f>IF(AW19&gt;0,AW19*Assumptions!$C$14,0)</f>
        <v>235901.59260993492</v>
      </c>
      <c r="AX20" s="41">
        <f>IF(AX19&gt;0,AX19*Assumptions!$C$14,0)</f>
        <v>281700.19635993498</v>
      </c>
      <c r="AY20" s="41">
        <f>IF(AY19&gt;0,AY19*Assumptions!$C$14,0)</f>
        <v>281700.19635993498</v>
      </c>
      <c r="AZ20" s="41">
        <f>IF(AZ19&gt;0,AZ19*Assumptions!$C$14,0)</f>
        <v>190102.98885993502</v>
      </c>
      <c r="BA20" s="37">
        <f t="shared" si="3"/>
        <v>3014013.5263192202</v>
      </c>
      <c r="BB20" s="41">
        <f>IF(BB19&gt;0,BB19*Assumptions!$C$14,0)</f>
        <v>264400.93403150322</v>
      </c>
      <c r="BC20" s="41">
        <f>IF(BC19&gt;0,BC19*Assumptions!$C$14,0)</f>
        <v>264400.93403150322</v>
      </c>
      <c r="BD20" s="41">
        <f>IF(BD19&gt;0,BD19*Assumptions!$C$14,0)</f>
        <v>264400.93403150322</v>
      </c>
      <c r="BE20" s="41">
        <f>IF(BE19&gt;0,BE19*Assumptions!$C$14,0)</f>
        <v>314340.77048750321</v>
      </c>
      <c r="BF20" s="41">
        <f>IF(BF19&gt;0,BF19*Assumptions!$C$14,0)</f>
        <v>314340.77048750321</v>
      </c>
      <c r="BG20" s="41">
        <f>IF(BG19&gt;0,BG19*Assumptions!$C$14,0)</f>
        <v>314340.77048750321</v>
      </c>
      <c r="BH20" s="41">
        <f>IF(BH19&gt;0,BH19*Assumptions!$C$14,0)</f>
        <v>264400.93403150322</v>
      </c>
      <c r="BI20" s="41">
        <f>IF(BI19&gt;0,BI19*Assumptions!$C$14,0)</f>
        <v>264400.93403150322</v>
      </c>
      <c r="BJ20" s="41">
        <f>IF(BJ19&gt;0,BJ19*Assumptions!$C$14,0)</f>
        <v>264400.93403150322</v>
      </c>
      <c r="BK20" s="41">
        <f>IF(BK19&gt;0,BK19*Assumptions!$C$14,0)</f>
        <v>314340.77048750321</v>
      </c>
      <c r="BL20" s="41">
        <f>IF(BL19&gt;0,BL19*Assumptions!$C$14,0)</f>
        <v>314340.77048750321</v>
      </c>
      <c r="BM20" s="41">
        <f>IF(BM19&gt;0,BM19*Assumptions!$C$14,0)</f>
        <v>214461.09757550314</v>
      </c>
      <c r="BN20" s="37">
        <f t="shared" si="4"/>
        <v>3372570.5542020379</v>
      </c>
    </row>
    <row r="21" spans="1:66" ht="15" customHeight="1" x14ac:dyDescent="0.25">
      <c r="A21" s="35" t="s">
        <v>340</v>
      </c>
      <c r="B21" s="37">
        <f t="shared" ref="B21:M21" si="20">B19-B20</f>
        <v>467150.68493150687</v>
      </c>
      <c r="C21" s="37">
        <f t="shared" si="20"/>
        <v>467150.68493150687</v>
      </c>
      <c r="D21" s="37">
        <f t="shared" si="20"/>
        <v>467150.68493150687</v>
      </c>
      <c r="E21" s="37">
        <f t="shared" si="20"/>
        <v>569750.68493150722</v>
      </c>
      <c r="F21" s="37">
        <f t="shared" si="20"/>
        <v>569750.68493150722</v>
      </c>
      <c r="G21" s="37">
        <f t="shared" si="20"/>
        <v>569750.68493150722</v>
      </c>
      <c r="H21" s="37">
        <f t="shared" si="20"/>
        <v>467150.68493150687</v>
      </c>
      <c r="I21" s="37">
        <f t="shared" si="20"/>
        <v>467150.68493150687</v>
      </c>
      <c r="J21" s="37">
        <f t="shared" si="20"/>
        <v>467150.68493150687</v>
      </c>
      <c r="K21" s="37">
        <f t="shared" si="20"/>
        <v>569750.68493150722</v>
      </c>
      <c r="L21" s="37">
        <f t="shared" si="20"/>
        <v>569750.68493150722</v>
      </c>
      <c r="M21" s="37">
        <f t="shared" si="20"/>
        <v>364550.68493150722</v>
      </c>
      <c r="N21" s="37">
        <f t="shared" si="0"/>
        <v>6016208.2191780852</v>
      </c>
      <c r="O21" s="37">
        <f t="shared" ref="O21:Z21" si="21">O19-O20</f>
        <v>544621.38285656762</v>
      </c>
      <c r="P21" s="37">
        <f t="shared" si="21"/>
        <v>544621.38285656762</v>
      </c>
      <c r="Q21" s="37">
        <f t="shared" si="21"/>
        <v>544621.38285656762</v>
      </c>
      <c r="R21" s="37">
        <f t="shared" si="21"/>
        <v>658403.88285656762</v>
      </c>
      <c r="S21" s="37">
        <f t="shared" si="21"/>
        <v>658403.88285656762</v>
      </c>
      <c r="T21" s="37">
        <f t="shared" si="21"/>
        <v>658403.88285656762</v>
      </c>
      <c r="U21" s="37">
        <f t="shared" si="21"/>
        <v>544621.38285656762</v>
      </c>
      <c r="V21" s="37">
        <f t="shared" si="21"/>
        <v>544621.38285656762</v>
      </c>
      <c r="W21" s="37">
        <f t="shared" si="21"/>
        <v>544621.38285656762</v>
      </c>
      <c r="X21" s="37">
        <f t="shared" si="21"/>
        <v>658403.88285656762</v>
      </c>
      <c r="Y21" s="37">
        <f t="shared" si="21"/>
        <v>658403.88285656762</v>
      </c>
      <c r="Z21" s="37">
        <f t="shared" si="21"/>
        <v>430838.88285656768</v>
      </c>
      <c r="AA21" s="37">
        <f t="shared" si="1"/>
        <v>6990586.5942788096</v>
      </c>
      <c r="AB21" s="37">
        <f t="shared" ref="AB21:AM21" si="22">AB19-AB20</f>
        <v>624822.4234186142</v>
      </c>
      <c r="AC21" s="37">
        <f t="shared" si="22"/>
        <v>624822.4234186142</v>
      </c>
      <c r="AD21" s="37">
        <f t="shared" si="22"/>
        <v>624822.4234186142</v>
      </c>
      <c r="AE21" s="37">
        <f t="shared" si="22"/>
        <v>750204.39341861452</v>
      </c>
      <c r="AF21" s="37">
        <f t="shared" si="22"/>
        <v>750204.39341861452</v>
      </c>
      <c r="AG21" s="37">
        <f t="shared" si="22"/>
        <v>750204.39341861452</v>
      </c>
      <c r="AH21" s="37">
        <f t="shared" si="22"/>
        <v>624822.4234186142</v>
      </c>
      <c r="AI21" s="37">
        <f t="shared" si="22"/>
        <v>624822.4234186142</v>
      </c>
      <c r="AJ21" s="37">
        <f t="shared" si="22"/>
        <v>624822.4234186142</v>
      </c>
      <c r="AK21" s="37">
        <f t="shared" si="22"/>
        <v>750204.39341861452</v>
      </c>
      <c r="AL21" s="37">
        <f t="shared" si="22"/>
        <v>750204.39341861452</v>
      </c>
      <c r="AM21" s="37">
        <f t="shared" si="22"/>
        <v>499440.45341861458</v>
      </c>
      <c r="AN21" s="37">
        <f t="shared" si="2"/>
        <v>7999396.9610233726</v>
      </c>
      <c r="AO21" s="37">
        <f t="shared" ref="AO21:AZ21" si="23">AO19-AO20</f>
        <v>707704.77782980469</v>
      </c>
      <c r="AP21" s="37">
        <f t="shared" si="23"/>
        <v>707704.77782980469</v>
      </c>
      <c r="AQ21" s="37">
        <f t="shared" si="23"/>
        <v>707704.77782980469</v>
      </c>
      <c r="AR21" s="37">
        <f t="shared" si="23"/>
        <v>845100.58907980495</v>
      </c>
      <c r="AS21" s="37">
        <f t="shared" si="23"/>
        <v>845100.58907980495</v>
      </c>
      <c r="AT21" s="37">
        <f t="shared" si="23"/>
        <v>845100.58907980495</v>
      </c>
      <c r="AU21" s="37">
        <f t="shared" si="23"/>
        <v>707704.77782980469</v>
      </c>
      <c r="AV21" s="37">
        <f t="shared" si="23"/>
        <v>707704.77782980469</v>
      </c>
      <c r="AW21" s="37">
        <f t="shared" si="23"/>
        <v>707704.77782980469</v>
      </c>
      <c r="AX21" s="37">
        <f t="shared" si="23"/>
        <v>845100.58907980495</v>
      </c>
      <c r="AY21" s="37">
        <f t="shared" si="23"/>
        <v>845100.58907980495</v>
      </c>
      <c r="AZ21" s="37">
        <f t="shared" si="23"/>
        <v>570308.96657980513</v>
      </c>
      <c r="BA21" s="37">
        <f t="shared" si="3"/>
        <v>9042040.5789576583</v>
      </c>
      <c r="BB21" s="37">
        <f t="shared" ref="BB21:BM21" si="24">BB19-BB20</f>
        <v>793202.80209450959</v>
      </c>
      <c r="BC21" s="37">
        <f t="shared" si="24"/>
        <v>793202.80209450959</v>
      </c>
      <c r="BD21" s="37">
        <f t="shared" si="24"/>
        <v>793202.80209450959</v>
      </c>
      <c r="BE21" s="37">
        <f t="shared" si="24"/>
        <v>943022.31146250968</v>
      </c>
      <c r="BF21" s="37">
        <f t="shared" si="24"/>
        <v>943022.31146250968</v>
      </c>
      <c r="BG21" s="37">
        <f t="shared" si="24"/>
        <v>943022.31146250968</v>
      </c>
      <c r="BH21" s="37">
        <f t="shared" si="24"/>
        <v>793202.80209450959</v>
      </c>
      <c r="BI21" s="37">
        <f t="shared" si="24"/>
        <v>793202.80209450959</v>
      </c>
      <c r="BJ21" s="37">
        <f t="shared" si="24"/>
        <v>793202.80209450959</v>
      </c>
      <c r="BK21" s="37">
        <f t="shared" si="24"/>
        <v>943022.31146250968</v>
      </c>
      <c r="BL21" s="37">
        <f t="shared" si="24"/>
        <v>943022.31146250968</v>
      </c>
      <c r="BM21" s="37">
        <f t="shared" si="24"/>
        <v>643383.29272650939</v>
      </c>
      <c r="BN21" s="37">
        <f t="shared" si="4"/>
        <v>10117711.662606116</v>
      </c>
    </row>
    <row r="22" spans="1:66" ht="15" customHeight="1" x14ac:dyDescent="0.25">
      <c r="A22" s="35" t="s">
        <v>341</v>
      </c>
      <c r="B22" s="36">
        <f t="shared" ref="B22:M22" si="25">B21+B15</f>
        <v>543817.3515981735</v>
      </c>
      <c r="C22" s="36">
        <f t="shared" si="25"/>
        <v>543817.3515981735</v>
      </c>
      <c r="D22" s="36">
        <f t="shared" si="25"/>
        <v>543817.3515981735</v>
      </c>
      <c r="E22" s="36">
        <f t="shared" si="25"/>
        <v>646417.35159817385</v>
      </c>
      <c r="F22" s="36">
        <f t="shared" si="25"/>
        <v>646417.35159817385</v>
      </c>
      <c r="G22" s="36">
        <f t="shared" si="25"/>
        <v>646417.35159817385</v>
      </c>
      <c r="H22" s="36">
        <f t="shared" si="25"/>
        <v>543817.3515981735</v>
      </c>
      <c r="I22" s="36">
        <f t="shared" si="25"/>
        <v>543817.3515981735</v>
      </c>
      <c r="J22" s="36">
        <f t="shared" si="25"/>
        <v>543817.3515981735</v>
      </c>
      <c r="K22" s="36">
        <f t="shared" si="25"/>
        <v>646417.35159817385</v>
      </c>
      <c r="L22" s="36">
        <f t="shared" si="25"/>
        <v>646417.35159817385</v>
      </c>
      <c r="M22" s="36">
        <f t="shared" si="25"/>
        <v>441217.3515981739</v>
      </c>
      <c r="N22" s="37">
        <f t="shared" si="0"/>
        <v>6936208.2191780834</v>
      </c>
      <c r="O22" s="36">
        <f t="shared" ref="O22:Z22" si="26">O21+O15</f>
        <v>621288.04952323425</v>
      </c>
      <c r="P22" s="36">
        <f t="shared" si="26"/>
        <v>621288.04952323425</v>
      </c>
      <c r="Q22" s="36">
        <f t="shared" si="26"/>
        <v>621288.04952323425</v>
      </c>
      <c r="R22" s="36">
        <f t="shared" si="26"/>
        <v>735070.54952323425</v>
      </c>
      <c r="S22" s="36">
        <f t="shared" si="26"/>
        <v>735070.54952323425</v>
      </c>
      <c r="T22" s="36">
        <f t="shared" si="26"/>
        <v>735070.54952323425</v>
      </c>
      <c r="U22" s="36">
        <f t="shared" si="26"/>
        <v>621288.04952323425</v>
      </c>
      <c r="V22" s="36">
        <f t="shared" si="26"/>
        <v>621288.04952323425</v>
      </c>
      <c r="W22" s="36">
        <f t="shared" si="26"/>
        <v>621288.04952323425</v>
      </c>
      <c r="X22" s="36">
        <f t="shared" si="26"/>
        <v>735070.54952323425</v>
      </c>
      <c r="Y22" s="36">
        <f t="shared" si="26"/>
        <v>735070.54952323425</v>
      </c>
      <c r="Z22" s="36">
        <f t="shared" si="26"/>
        <v>507505.54952323437</v>
      </c>
      <c r="AA22" s="37">
        <f t="shared" si="1"/>
        <v>7910586.5942788115</v>
      </c>
      <c r="AB22" s="36">
        <f t="shared" ref="AB22:AM22" si="27">AB21+AB15</f>
        <v>701489.09008528083</v>
      </c>
      <c r="AC22" s="36">
        <f t="shared" si="27"/>
        <v>701489.09008528083</v>
      </c>
      <c r="AD22" s="36">
        <f t="shared" si="27"/>
        <v>701489.09008528083</v>
      </c>
      <c r="AE22" s="36">
        <f t="shared" si="27"/>
        <v>826871.06008528115</v>
      </c>
      <c r="AF22" s="36">
        <f t="shared" si="27"/>
        <v>826871.06008528115</v>
      </c>
      <c r="AG22" s="36">
        <f t="shared" si="27"/>
        <v>826871.06008528115</v>
      </c>
      <c r="AH22" s="36">
        <f t="shared" si="27"/>
        <v>701489.09008528083</v>
      </c>
      <c r="AI22" s="36">
        <f t="shared" si="27"/>
        <v>701489.09008528083</v>
      </c>
      <c r="AJ22" s="36">
        <f t="shared" si="27"/>
        <v>701489.09008528083</v>
      </c>
      <c r="AK22" s="36">
        <f t="shared" si="27"/>
        <v>826871.06008528115</v>
      </c>
      <c r="AL22" s="36">
        <f t="shared" si="27"/>
        <v>826871.06008528115</v>
      </c>
      <c r="AM22" s="36">
        <f t="shared" si="27"/>
        <v>576107.1200852812</v>
      </c>
      <c r="AN22" s="37">
        <f t="shared" si="2"/>
        <v>8919396.9610233717</v>
      </c>
      <c r="AO22" s="36">
        <f t="shared" ref="AO22:AZ22" si="28">AO21+AO15</f>
        <v>784371.44449647132</v>
      </c>
      <c r="AP22" s="36">
        <f t="shared" si="28"/>
        <v>784371.44449647132</v>
      </c>
      <c r="AQ22" s="36">
        <f t="shared" si="28"/>
        <v>784371.44449647132</v>
      </c>
      <c r="AR22" s="36">
        <f t="shared" si="28"/>
        <v>921767.25574647158</v>
      </c>
      <c r="AS22" s="36">
        <f t="shared" si="28"/>
        <v>921767.25574647158</v>
      </c>
      <c r="AT22" s="36">
        <f t="shared" si="28"/>
        <v>921767.25574647158</v>
      </c>
      <c r="AU22" s="36">
        <f t="shared" si="28"/>
        <v>784371.44449647132</v>
      </c>
      <c r="AV22" s="36">
        <f t="shared" si="28"/>
        <v>784371.44449647132</v>
      </c>
      <c r="AW22" s="36">
        <f t="shared" si="28"/>
        <v>784371.44449647132</v>
      </c>
      <c r="AX22" s="36">
        <f t="shared" si="28"/>
        <v>921767.25574647158</v>
      </c>
      <c r="AY22" s="36">
        <f t="shared" si="28"/>
        <v>921767.25574647158</v>
      </c>
      <c r="AZ22" s="36">
        <f t="shared" si="28"/>
        <v>646975.63324647176</v>
      </c>
      <c r="BA22" s="37">
        <f t="shared" si="3"/>
        <v>9962040.5789576564</v>
      </c>
      <c r="BB22" s="36">
        <f t="shared" ref="BB22:BM22" si="29">BB21+BB15</f>
        <v>869869.46876117622</v>
      </c>
      <c r="BC22" s="36">
        <f t="shared" si="29"/>
        <v>869869.46876117622</v>
      </c>
      <c r="BD22" s="36">
        <f t="shared" si="29"/>
        <v>869869.46876117622</v>
      </c>
      <c r="BE22" s="36">
        <f t="shared" si="29"/>
        <v>1019688.9781291763</v>
      </c>
      <c r="BF22" s="36">
        <f t="shared" si="29"/>
        <v>1019688.9781291763</v>
      </c>
      <c r="BG22" s="36">
        <f t="shared" si="29"/>
        <v>1019688.9781291763</v>
      </c>
      <c r="BH22" s="36">
        <f t="shared" si="29"/>
        <v>869869.46876117622</v>
      </c>
      <c r="BI22" s="36">
        <f t="shared" si="29"/>
        <v>869869.46876117622</v>
      </c>
      <c r="BJ22" s="36">
        <f t="shared" si="29"/>
        <v>869869.46876117622</v>
      </c>
      <c r="BK22" s="36">
        <f t="shared" si="29"/>
        <v>1019688.9781291763</v>
      </c>
      <c r="BL22" s="36">
        <f t="shared" si="29"/>
        <v>1019688.9781291763</v>
      </c>
      <c r="BM22" s="36">
        <f t="shared" si="29"/>
        <v>720049.95939317602</v>
      </c>
      <c r="BN22" s="37">
        <f t="shared" si="4"/>
        <v>11037711.662606113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7">
    <mergeCell ref="A1:BN1"/>
    <mergeCell ref="A2:BN2"/>
    <mergeCell ref="B3:N3"/>
    <mergeCell ref="O3:AA3"/>
    <mergeCell ref="AB3:AN3"/>
    <mergeCell ref="AO3:BA3"/>
    <mergeCell ref="BB3:BN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342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343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6.5" customHeight="1" x14ac:dyDescent="0.25">
      <c r="B5" s="7" t="s">
        <v>349</v>
      </c>
      <c r="C5" s="7"/>
      <c r="D5" s="7"/>
      <c r="E5" s="7"/>
      <c r="F5" s="7"/>
      <c r="G5" s="7"/>
      <c r="H5" s="7"/>
    </row>
    <row r="6" spans="1:8" ht="15" customHeight="1" x14ac:dyDescent="0.25">
      <c r="B6" s="13" t="str">
        <f>IFERROR(VLOOKUP(Assumptions!$J$5,Assumptions!$S$5:$Z$21,3,FALSE()),"Production (units)")</f>
        <v>Production (units)</v>
      </c>
      <c r="C6" s="38">
        <f>Production!N6</f>
        <v>7200000.0000000009</v>
      </c>
      <c r="D6" s="38">
        <f>Production!AA6</f>
        <v>7800000.0000000009</v>
      </c>
      <c r="E6" s="38">
        <f>Production!AN6</f>
        <v>8400000.0000000019</v>
      </c>
      <c r="F6" s="38">
        <f>Production!BA6</f>
        <v>9000000.0000000019</v>
      </c>
      <c r="G6" s="38">
        <f>Production!BN6</f>
        <v>9600000.0000000019</v>
      </c>
    </row>
    <row r="7" spans="1:8" ht="15" customHeight="1" x14ac:dyDescent="0.25">
      <c r="B7" s="13" t="s">
        <v>309</v>
      </c>
      <c r="C7" s="33">
        <f>Assumptions!$C$18</f>
        <v>0.6</v>
      </c>
      <c r="D7" s="33">
        <f>Assumptions!$D$18</f>
        <v>0.65</v>
      </c>
      <c r="E7" s="33">
        <f>Assumptions!$E$18</f>
        <v>0.7</v>
      </c>
      <c r="F7" s="33">
        <f>Assumptions!$F$18</f>
        <v>0.75</v>
      </c>
      <c r="G7" s="33">
        <f>Assumptions!$G$18</f>
        <v>0.8</v>
      </c>
    </row>
    <row r="8" spans="1:8" ht="15" customHeight="1" x14ac:dyDescent="0.25">
      <c r="B8" s="35" t="s">
        <v>314</v>
      </c>
      <c r="C8" s="44">
        <f>Sales!N7</f>
        <v>36000000.000000007</v>
      </c>
      <c r="D8" s="44">
        <f>Sales!AA7</f>
        <v>40560000.000000007</v>
      </c>
      <c r="E8" s="44">
        <f>Sales!AN7</f>
        <v>45427200.000000007</v>
      </c>
      <c r="F8" s="44">
        <f>Sales!BA7</f>
        <v>50618880.000000022</v>
      </c>
      <c r="G8" s="44">
        <f>Sales!BN7</f>
        <v>56153210.880000025</v>
      </c>
    </row>
    <row r="9" spans="1:8" ht="16.5" customHeight="1" x14ac:dyDescent="0.25">
      <c r="B9" s="7" t="s">
        <v>350</v>
      </c>
      <c r="C9" s="7"/>
      <c r="D9" s="7"/>
      <c r="E9" s="7"/>
      <c r="F9" s="7"/>
      <c r="G9" s="7"/>
      <c r="H9" s="7"/>
    </row>
    <row r="10" spans="1:8" ht="15" customHeight="1" x14ac:dyDescent="0.25">
      <c r="B10" s="13" t="str">
        <f>IFERROR(VLOOKUP(Assumptions!$J$5,Assumptions!$S$5:$Z$21,5,FALSE()),"Raw materials")</f>
        <v>Raw materials</v>
      </c>
      <c r="C10" s="38">
        <f>Expenses!N5</f>
        <v>18000000.000000004</v>
      </c>
      <c r="D10" s="38">
        <f>Expenses!AA5</f>
        <v>20475000.000000004</v>
      </c>
      <c r="E10" s="38">
        <f>Expenses!AN5</f>
        <v>23152500.000000004</v>
      </c>
      <c r="F10" s="38">
        <f>Expenses!BA5</f>
        <v>26046562.500000004</v>
      </c>
      <c r="G10" s="38">
        <f>Expenses!BN5</f>
        <v>29172150.000000004</v>
      </c>
    </row>
    <row r="11" spans="1:8" ht="15" customHeight="1" x14ac:dyDescent="0.25">
      <c r="B11" s="13" t="str">
        <f>IFERROR(VLOOKUP(Assumptions!$J$5,Assumptions!$S$5:$Z$21,7,FALSE()),"Power &amp; fuel")</f>
        <v>Power &amp; fuel</v>
      </c>
      <c r="C11" s="38">
        <f>Expenses!N6</f>
        <v>2160000.0000000005</v>
      </c>
      <c r="D11" s="38">
        <f>Expenses!AA6</f>
        <v>2480400.0000000005</v>
      </c>
      <c r="E11" s="38">
        <f>Expenses!AN6</f>
        <v>2831472.0000000009</v>
      </c>
      <c r="F11" s="38">
        <f>Expenses!BA6</f>
        <v>3215743.200000002</v>
      </c>
      <c r="G11" s="38">
        <f>Expenses!BN6</f>
        <v>3635933.6448000008</v>
      </c>
    </row>
    <row r="12" spans="1:8" ht="15" customHeight="1" x14ac:dyDescent="0.25">
      <c r="B12" s="13" t="s">
        <v>317</v>
      </c>
      <c r="C12" s="38">
        <f>Expenses!N7</f>
        <v>1800000</v>
      </c>
      <c r="D12" s="38">
        <f>Expenses!AA7</f>
        <v>1890000</v>
      </c>
      <c r="E12" s="38">
        <f>Expenses!AN7</f>
        <v>1984500</v>
      </c>
      <c r="F12" s="38">
        <f>Expenses!BA7</f>
        <v>2083725.0000000002</v>
      </c>
      <c r="G12" s="38">
        <f>Expenses!BN7</f>
        <v>2187911.25</v>
      </c>
    </row>
    <row r="13" spans="1:8" ht="15" customHeight="1" x14ac:dyDescent="0.25">
      <c r="B13" s="13" t="s">
        <v>318</v>
      </c>
      <c r="C13" s="38">
        <f>Expenses!N8</f>
        <v>1440000.0000000002</v>
      </c>
      <c r="D13" s="38">
        <f>Expenses!AA8</f>
        <v>1622400.0000000002</v>
      </c>
      <c r="E13" s="38">
        <f>Expenses!AN8</f>
        <v>1817088.0000000009</v>
      </c>
      <c r="F13" s="38">
        <f>Expenses!BA8</f>
        <v>2024755.2000000007</v>
      </c>
      <c r="G13" s="38">
        <f>Expenses!BN8</f>
        <v>2246128.4352000011</v>
      </c>
    </row>
    <row r="14" spans="1:8" ht="15" customHeight="1" x14ac:dyDescent="0.25">
      <c r="B14" s="13" t="str">
        <f>IFERROR(VLOOKUP(Assumptions!$J$5,Assumptions!$S$5:$Z$21,8,FALSE()),"Factory overheads")</f>
        <v>Factory overheads</v>
      </c>
      <c r="C14" s="38">
        <f>Expenses!N9</f>
        <v>1200000</v>
      </c>
      <c r="D14" s="38">
        <f>Expenses!AA9</f>
        <v>1260000</v>
      </c>
      <c r="E14" s="38">
        <f>Expenses!AN9</f>
        <v>1323000</v>
      </c>
      <c r="F14" s="38">
        <f>Expenses!BA9</f>
        <v>1389150.0000000002</v>
      </c>
      <c r="G14" s="38">
        <f>Expenses!BN9</f>
        <v>1458607.5</v>
      </c>
    </row>
    <row r="15" spans="1:8" ht="15" customHeight="1" x14ac:dyDescent="0.25">
      <c r="B15" s="13" t="s">
        <v>319</v>
      </c>
      <c r="C15" s="38">
        <f>Expenses!N10</f>
        <v>360000</v>
      </c>
      <c r="D15" s="38">
        <f>Expenses!AA10</f>
        <v>374400</v>
      </c>
      <c r="E15" s="38">
        <f>Expenses!AN10</f>
        <v>389376.00000000006</v>
      </c>
      <c r="F15" s="38">
        <f>Expenses!BA10</f>
        <v>404951.03999999998</v>
      </c>
      <c r="G15" s="38">
        <f>Expenses!BN10</f>
        <v>421149.08159999992</v>
      </c>
    </row>
    <row r="16" spans="1:8" ht="15" customHeight="1" x14ac:dyDescent="0.25">
      <c r="B16" s="13" t="s">
        <v>320</v>
      </c>
      <c r="C16" s="38">
        <f>Expenses!N11</f>
        <v>600000</v>
      </c>
      <c r="D16" s="38">
        <f>Expenses!AA11</f>
        <v>624000</v>
      </c>
      <c r="E16" s="38">
        <f>Expenses!AN11</f>
        <v>648960.00000000012</v>
      </c>
      <c r="F16" s="38">
        <f>Expenses!BA11</f>
        <v>674918.39999999991</v>
      </c>
      <c r="G16" s="38">
        <f>Expenses!BN11</f>
        <v>701915.13599999994</v>
      </c>
    </row>
    <row r="17" spans="2:8" ht="15" customHeight="1" x14ac:dyDescent="0.25">
      <c r="B17" s="13" t="s">
        <v>229</v>
      </c>
      <c r="C17" s="38">
        <f>Expenses!N12</f>
        <v>720000.00000000012</v>
      </c>
      <c r="D17" s="38">
        <f>Expenses!AA12</f>
        <v>811200.00000000012</v>
      </c>
      <c r="E17" s="38">
        <f>Expenses!AN12</f>
        <v>908544.00000000047</v>
      </c>
      <c r="F17" s="38">
        <f>Expenses!BA12</f>
        <v>1012377.6000000003</v>
      </c>
      <c r="G17" s="38">
        <f>Expenses!BN12</f>
        <v>1123064.2176000003</v>
      </c>
    </row>
    <row r="18" spans="2:8" ht="15" customHeight="1" x14ac:dyDescent="0.25">
      <c r="B18" s="13" t="s">
        <v>321</v>
      </c>
      <c r="C18" s="38">
        <f>Expenses!N13</f>
        <v>919999.99999999988</v>
      </c>
      <c r="D18" s="38">
        <f>Expenses!AA13</f>
        <v>919999.99999999988</v>
      </c>
      <c r="E18" s="38">
        <f>Expenses!AN13</f>
        <v>919999.99999999988</v>
      </c>
      <c r="F18" s="38">
        <f>Expenses!BA13</f>
        <v>919999.99999999988</v>
      </c>
      <c r="G18" s="38">
        <f>Expenses!BN13</f>
        <v>919999.99999999988</v>
      </c>
    </row>
    <row r="19" spans="2:8" ht="15" customHeight="1" x14ac:dyDescent="0.25">
      <c r="B19" s="13" t="s">
        <v>322</v>
      </c>
      <c r="C19" s="38">
        <f>Expenses!N14</f>
        <v>630000</v>
      </c>
      <c r="D19" s="38">
        <f>Expenses!AA14</f>
        <v>619411.76470588217</v>
      </c>
      <c r="E19" s="38">
        <f>Expenses!AN14</f>
        <v>608823.52941176458</v>
      </c>
      <c r="F19" s="38">
        <f>Expenses!BA14</f>
        <v>598235.29411764699</v>
      </c>
      <c r="G19" s="38">
        <f>Expenses!BN14</f>
        <v>587647.05882352917</v>
      </c>
    </row>
    <row r="20" spans="2:8" ht="15" customHeight="1" x14ac:dyDescent="0.25">
      <c r="B20" s="13" t="s">
        <v>323</v>
      </c>
      <c r="C20" s="38">
        <f>Expenses!N15</f>
        <v>148389.04109589042</v>
      </c>
      <c r="D20" s="38">
        <f>Expenses!AA15</f>
        <v>162406.10958904109</v>
      </c>
      <c r="E20" s="38">
        <f>Expenses!AN15</f>
        <v>177073.85589041095</v>
      </c>
      <c r="F20" s="38">
        <f>Expenses!BA15</f>
        <v>192407.66060547953</v>
      </c>
      <c r="G20" s="38">
        <f>Expenses!BN15</f>
        <v>208422.33916832888</v>
      </c>
    </row>
    <row r="21" spans="2:8" ht="16.5" customHeight="1" x14ac:dyDescent="0.25">
      <c r="B21" s="7" t="s">
        <v>351</v>
      </c>
      <c r="C21" s="7"/>
      <c r="D21" s="7"/>
      <c r="E21" s="7"/>
      <c r="F21" s="7"/>
      <c r="G21" s="7"/>
      <c r="H21" s="7"/>
    </row>
    <row r="22" spans="2:8" ht="15" customHeight="1" x14ac:dyDescent="0.25">
      <c r="B22" s="35" t="s">
        <v>333</v>
      </c>
      <c r="C22" s="44">
        <f>Profit!N14</f>
        <v>9720000.0000000019</v>
      </c>
      <c r="D22" s="44">
        <f>Profit!AA14</f>
        <v>11022600.000000002</v>
      </c>
      <c r="E22" s="44">
        <f>Profit!AN14</f>
        <v>12371760.000000004</v>
      </c>
      <c r="F22" s="44">
        <f>Profit!BA14</f>
        <v>13766697.060000002</v>
      </c>
      <c r="G22" s="44">
        <f>Profit!BN14</f>
        <v>15206351.61480001</v>
      </c>
    </row>
    <row r="23" spans="2:8" ht="15" customHeight="1" x14ac:dyDescent="0.25">
      <c r="B23" s="35" t="s">
        <v>335</v>
      </c>
      <c r="C23" s="44">
        <f>Profit!N16</f>
        <v>8800000.0000000019</v>
      </c>
      <c r="D23" s="44">
        <f>Profit!AA16</f>
        <v>10102600.000000006</v>
      </c>
      <c r="E23" s="44">
        <f>Profit!AN16</f>
        <v>11451760.000000006</v>
      </c>
      <c r="F23" s="44">
        <f>Profit!BA16</f>
        <v>12846697.060000006</v>
      </c>
      <c r="G23" s="44">
        <f>Profit!BN16</f>
        <v>14286351.61480001</v>
      </c>
    </row>
    <row r="24" spans="2:8" ht="15" customHeight="1" x14ac:dyDescent="0.25">
      <c r="B24" s="35" t="s">
        <v>352</v>
      </c>
      <c r="C24" s="44">
        <f>Profit!N19</f>
        <v>8021610.9589041127</v>
      </c>
      <c r="D24" s="44">
        <f>Profit!AA19</f>
        <v>9320782.1257050838</v>
      </c>
      <c r="E24" s="44">
        <f>Profit!AN19</f>
        <v>10665862.614697831</v>
      </c>
      <c r="F24" s="44">
        <f>Profit!BA19</f>
        <v>12056054.105276881</v>
      </c>
      <c r="G24" s="44">
        <f>Profit!BN19</f>
        <v>13490282.216808151</v>
      </c>
    </row>
    <row r="25" spans="2:8" ht="15" customHeight="1" x14ac:dyDescent="0.25">
      <c r="B25" s="13" t="s">
        <v>353</v>
      </c>
      <c r="C25" s="38">
        <f>Profit!N20</f>
        <v>2005402.7397260282</v>
      </c>
      <c r="D25" s="38">
        <f>Profit!AA20</f>
        <v>2330195.531426271</v>
      </c>
      <c r="E25" s="38">
        <f>Profit!AN20</f>
        <v>2666465.6536744577</v>
      </c>
      <c r="F25" s="38">
        <f>Profit!BA20</f>
        <v>3014013.5263192202</v>
      </c>
      <c r="G25" s="38">
        <f>Profit!BN20</f>
        <v>3372570.5542020379</v>
      </c>
    </row>
    <row r="26" spans="2:8" ht="15" customHeight="1" x14ac:dyDescent="0.25">
      <c r="B26" s="35" t="s">
        <v>340</v>
      </c>
      <c r="C26" s="44">
        <f>Profit!N21</f>
        <v>6016208.2191780852</v>
      </c>
      <c r="D26" s="44">
        <f>Profit!AA21</f>
        <v>6990586.5942788096</v>
      </c>
      <c r="E26" s="44">
        <f>Profit!AN21</f>
        <v>7999396.9610233726</v>
      </c>
      <c r="F26" s="44">
        <f>Profit!BA21</f>
        <v>9042040.5789576583</v>
      </c>
      <c r="G26" s="44">
        <f>Profit!BN21</f>
        <v>10117711.662606116</v>
      </c>
    </row>
    <row r="27" spans="2:8" ht="15" customHeight="1" x14ac:dyDescent="0.25">
      <c r="B27" s="35" t="s">
        <v>341</v>
      </c>
      <c r="C27" s="44">
        <f>Profit!N22</f>
        <v>6936208.2191780834</v>
      </c>
      <c r="D27" s="44">
        <f>Profit!AA22</f>
        <v>7910586.5942788115</v>
      </c>
      <c r="E27" s="44">
        <f>Profit!AN22</f>
        <v>8919396.9610233717</v>
      </c>
      <c r="F27" s="44">
        <f>Profit!BA22</f>
        <v>9962040.5789576564</v>
      </c>
      <c r="G27" s="44">
        <f>Profit!BN22</f>
        <v>11037711.662606113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5">
    <mergeCell ref="A1:H1"/>
    <mergeCell ref="A2:H2"/>
    <mergeCell ref="B5:H5"/>
    <mergeCell ref="B9:H9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354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355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5" customHeight="1" x14ac:dyDescent="0.25">
      <c r="B5" s="35" t="s">
        <v>327</v>
      </c>
      <c r="C5" s="44">
        <f>Annual_Summary!C8</f>
        <v>36000000.000000007</v>
      </c>
      <c r="D5" s="44">
        <f>Annual_Summary!D8</f>
        <v>40560000.000000007</v>
      </c>
      <c r="E5" s="44">
        <f>Annual_Summary!E8</f>
        <v>45427200.000000007</v>
      </c>
      <c r="F5" s="44">
        <f>Annual_Summary!F8</f>
        <v>50618880.000000022</v>
      </c>
      <c r="G5" s="44">
        <f>Annual_Summary!G8</f>
        <v>56153210.880000025</v>
      </c>
    </row>
    <row r="6" spans="1:8" ht="16.5" customHeight="1" x14ac:dyDescent="0.25">
      <c r="B6" s="7" t="s">
        <v>356</v>
      </c>
      <c r="C6" s="7"/>
      <c r="D6" s="7"/>
      <c r="E6" s="7"/>
      <c r="F6" s="7"/>
      <c r="G6" s="7"/>
      <c r="H6" s="7"/>
    </row>
    <row r="7" spans="1:8" ht="15" customHeight="1" x14ac:dyDescent="0.25">
      <c r="B7" s="42" t="str">
        <f>IFERROR(VLOOKUP(Assumptions!$J$5,Assumptions!$S$5:$Z$21,5,FALSE()),"Raw materials")</f>
        <v>Raw materials</v>
      </c>
      <c r="C7" s="38">
        <f>Annual_Summary!C10</f>
        <v>18000000.000000004</v>
      </c>
      <c r="D7" s="38">
        <f>Annual_Summary!D10</f>
        <v>20475000.000000004</v>
      </c>
      <c r="E7" s="38">
        <f>Annual_Summary!E10</f>
        <v>23152500.000000004</v>
      </c>
      <c r="F7" s="38">
        <f>Annual_Summary!F10</f>
        <v>26046562.500000004</v>
      </c>
      <c r="G7" s="38">
        <f>Annual_Summary!G10</f>
        <v>29172150.000000004</v>
      </c>
    </row>
    <row r="8" spans="1:8" ht="15" customHeight="1" x14ac:dyDescent="0.25">
      <c r="B8" s="42" t="str">
        <f>IFERROR(VLOOKUP(Assumptions!$J$5,Assumptions!$S$5:$Z$21,7,FALSE()),"Power &amp; fuel")</f>
        <v>Power &amp; fuel</v>
      </c>
      <c r="C8" s="38">
        <f>Annual_Summary!C11</f>
        <v>2160000.0000000005</v>
      </c>
      <c r="D8" s="38">
        <f>Annual_Summary!D11</f>
        <v>2480400.0000000005</v>
      </c>
      <c r="E8" s="38">
        <f>Annual_Summary!E11</f>
        <v>2831472.0000000009</v>
      </c>
      <c r="F8" s="38">
        <f>Annual_Summary!F11</f>
        <v>3215743.200000002</v>
      </c>
      <c r="G8" s="38">
        <f>Annual_Summary!G11</f>
        <v>3635933.6448000008</v>
      </c>
    </row>
    <row r="9" spans="1:8" ht="15" customHeight="1" x14ac:dyDescent="0.25">
      <c r="B9" s="42" t="s">
        <v>317</v>
      </c>
      <c r="C9" s="38">
        <f>Annual_Summary!C12</f>
        <v>1800000</v>
      </c>
      <c r="D9" s="38">
        <f>Annual_Summary!D12</f>
        <v>1890000</v>
      </c>
      <c r="E9" s="38">
        <f>Annual_Summary!E12</f>
        <v>1984500</v>
      </c>
      <c r="F9" s="38">
        <f>Annual_Summary!F12</f>
        <v>2083725.0000000002</v>
      </c>
      <c r="G9" s="38">
        <f>Annual_Summary!G12</f>
        <v>2187911.25</v>
      </c>
    </row>
    <row r="10" spans="1:8" ht="15" customHeight="1" x14ac:dyDescent="0.25">
      <c r="B10" s="42" t="s">
        <v>318</v>
      </c>
      <c r="C10" s="38">
        <f>Annual_Summary!C13</f>
        <v>1440000.0000000002</v>
      </c>
      <c r="D10" s="38">
        <f>Annual_Summary!D13</f>
        <v>1622400.0000000002</v>
      </c>
      <c r="E10" s="38">
        <f>Annual_Summary!E13</f>
        <v>1817088.0000000009</v>
      </c>
      <c r="F10" s="38">
        <f>Annual_Summary!F13</f>
        <v>2024755.2000000007</v>
      </c>
      <c r="G10" s="38">
        <f>Annual_Summary!G13</f>
        <v>2246128.4352000011</v>
      </c>
    </row>
    <row r="11" spans="1:8" ht="15" customHeight="1" x14ac:dyDescent="0.25">
      <c r="B11" s="42" t="str">
        <f>IFERROR(VLOOKUP(Assumptions!$J$5,Assumptions!$S$5:$Z$21,8,FALSE()),"Factory overheads")</f>
        <v>Factory overheads</v>
      </c>
      <c r="C11" s="38">
        <f>Annual_Summary!C14</f>
        <v>1200000</v>
      </c>
      <c r="D11" s="38">
        <f>Annual_Summary!D14</f>
        <v>1260000</v>
      </c>
      <c r="E11" s="38">
        <f>Annual_Summary!E14</f>
        <v>1323000</v>
      </c>
      <c r="F11" s="38">
        <f>Annual_Summary!F14</f>
        <v>1389150.0000000002</v>
      </c>
      <c r="G11" s="38">
        <f>Annual_Summary!G14</f>
        <v>1458607.5</v>
      </c>
    </row>
    <row r="12" spans="1:8" ht="15" customHeight="1" x14ac:dyDescent="0.25">
      <c r="B12" s="42" t="s">
        <v>319</v>
      </c>
      <c r="C12" s="38">
        <f>Annual_Summary!C15</f>
        <v>360000</v>
      </c>
      <c r="D12" s="38">
        <f>Annual_Summary!D15</f>
        <v>374400</v>
      </c>
      <c r="E12" s="38">
        <f>Annual_Summary!E15</f>
        <v>389376.00000000006</v>
      </c>
      <c r="F12" s="38">
        <f>Annual_Summary!F15</f>
        <v>404951.03999999998</v>
      </c>
      <c r="G12" s="38">
        <f>Annual_Summary!G15</f>
        <v>421149.08159999992</v>
      </c>
    </row>
    <row r="13" spans="1:8" ht="15" customHeight="1" x14ac:dyDescent="0.25">
      <c r="B13" s="42" t="s">
        <v>321</v>
      </c>
      <c r="C13" s="38">
        <f>Annual_Summary!C18</f>
        <v>919999.99999999988</v>
      </c>
      <c r="D13" s="38">
        <f>Annual_Summary!D18</f>
        <v>919999.99999999988</v>
      </c>
      <c r="E13" s="38">
        <f>Annual_Summary!E18</f>
        <v>919999.99999999988</v>
      </c>
      <c r="F13" s="38">
        <f>Annual_Summary!F18</f>
        <v>919999.99999999988</v>
      </c>
      <c r="G13" s="38">
        <f>Annual_Summary!G18</f>
        <v>919999.99999999988</v>
      </c>
    </row>
    <row r="14" spans="1:8" ht="15" customHeight="1" x14ac:dyDescent="0.25">
      <c r="B14" s="35" t="s">
        <v>356</v>
      </c>
      <c r="C14" s="37">
        <f>Annual_Summary!C10+Annual_Summary!C11+Annual_Summary!C12+Annual_Summary!C13+Annual_Summary!C14+Annual_Summary!C15+Annual_Summary!C18</f>
        <v>25880000.000000004</v>
      </c>
      <c r="D14" s="37">
        <f>Annual_Summary!D10+Annual_Summary!D11+Annual_Summary!D12+Annual_Summary!D13+Annual_Summary!D14+Annual_Summary!D15+Annual_Summary!D18</f>
        <v>29022200.000000004</v>
      </c>
      <c r="E14" s="37">
        <f>Annual_Summary!E10+Annual_Summary!E11+Annual_Summary!E12+Annual_Summary!E13+Annual_Summary!E14+Annual_Summary!E15+Annual_Summary!E18</f>
        <v>32417936.000000004</v>
      </c>
      <c r="F14" s="37">
        <f>Annual_Summary!F10+Annual_Summary!F11+Annual_Summary!F12+Annual_Summary!F13+Annual_Summary!F14+Annual_Summary!F15+Annual_Summary!F18</f>
        <v>36084886.940000005</v>
      </c>
      <c r="G14" s="37">
        <f>Annual_Summary!G10+Annual_Summary!G11+Annual_Summary!G12+Annual_Summary!G13+Annual_Summary!G14+Annual_Summary!G15+Annual_Summary!G18</f>
        <v>40041879.911600009</v>
      </c>
    </row>
    <row r="15" spans="1:8" ht="15" customHeight="1" x14ac:dyDescent="0.25">
      <c r="B15" s="35" t="s">
        <v>357</v>
      </c>
      <c r="C15" s="37">
        <f>Annual_Summary!C8-C14</f>
        <v>10120000.000000004</v>
      </c>
      <c r="D15" s="37">
        <f>Annual_Summary!D8-D14</f>
        <v>11537800.000000004</v>
      </c>
      <c r="E15" s="37">
        <f>Annual_Summary!E8-E14</f>
        <v>13009264.000000004</v>
      </c>
      <c r="F15" s="37">
        <f>Annual_Summary!F8-F14</f>
        <v>14533993.060000017</v>
      </c>
      <c r="G15" s="37">
        <f>Annual_Summary!G8-G14</f>
        <v>16111330.968400016</v>
      </c>
    </row>
    <row r="16" spans="1:8" ht="15" customHeight="1" x14ac:dyDescent="0.25">
      <c r="B16" s="42" t="s">
        <v>331</v>
      </c>
      <c r="C16" s="38">
        <f>Annual_Summary!C16</f>
        <v>600000</v>
      </c>
      <c r="D16" s="38">
        <f>Annual_Summary!D16</f>
        <v>624000</v>
      </c>
      <c r="E16" s="38">
        <f>Annual_Summary!E16</f>
        <v>648960.00000000012</v>
      </c>
      <c r="F16" s="38">
        <f>Annual_Summary!F16</f>
        <v>674918.39999999991</v>
      </c>
      <c r="G16" s="38">
        <f>Annual_Summary!G16</f>
        <v>701915.13599999994</v>
      </c>
    </row>
    <row r="17" spans="2:7" ht="15" customHeight="1" x14ac:dyDescent="0.25">
      <c r="B17" s="42" t="s">
        <v>332</v>
      </c>
      <c r="C17" s="38">
        <f>Annual_Summary!C17</f>
        <v>720000.00000000012</v>
      </c>
      <c r="D17" s="38">
        <f>Annual_Summary!D17</f>
        <v>811200.00000000012</v>
      </c>
      <c r="E17" s="38">
        <f>Annual_Summary!E17</f>
        <v>908544.00000000047</v>
      </c>
      <c r="F17" s="38">
        <f>Annual_Summary!F17</f>
        <v>1012377.6000000003</v>
      </c>
      <c r="G17" s="38">
        <f>Annual_Summary!G17</f>
        <v>1123064.2176000003</v>
      </c>
    </row>
    <row r="18" spans="2:7" ht="15" customHeight="1" x14ac:dyDescent="0.25">
      <c r="B18" s="35" t="s">
        <v>358</v>
      </c>
      <c r="C18" s="37">
        <f>C15-Annual_Summary!C16-Annual_Summary!C17</f>
        <v>8800000.0000000037</v>
      </c>
      <c r="D18" s="37">
        <f>D15-Annual_Summary!D16-Annual_Summary!D17</f>
        <v>10102600.000000004</v>
      </c>
      <c r="E18" s="37">
        <f>E15-Annual_Summary!E16-Annual_Summary!E17</f>
        <v>11451760.000000004</v>
      </c>
      <c r="F18" s="37">
        <f>F15-Annual_Summary!F16-Annual_Summary!F17</f>
        <v>12846697.060000017</v>
      </c>
      <c r="G18" s="37">
        <f>G15-Annual_Summary!G16-Annual_Summary!G17</f>
        <v>14286351.614800015</v>
      </c>
    </row>
    <row r="19" spans="2:7" ht="15" customHeight="1" x14ac:dyDescent="0.25">
      <c r="B19" s="42" t="s">
        <v>336</v>
      </c>
      <c r="C19" s="38">
        <f>Annual_Summary!C19</f>
        <v>630000</v>
      </c>
      <c r="D19" s="38">
        <f>Annual_Summary!D19</f>
        <v>619411.76470588217</v>
      </c>
      <c r="E19" s="38">
        <f>Annual_Summary!E19</f>
        <v>608823.52941176458</v>
      </c>
      <c r="F19" s="38">
        <f>Annual_Summary!F19</f>
        <v>598235.29411764699</v>
      </c>
      <c r="G19" s="38">
        <f>Annual_Summary!G19</f>
        <v>587647.05882352917</v>
      </c>
    </row>
    <row r="20" spans="2:7" ht="15" customHeight="1" x14ac:dyDescent="0.25">
      <c r="B20" s="42" t="s">
        <v>337</v>
      </c>
      <c r="C20" s="38">
        <f>Annual_Summary!C20</f>
        <v>148389.04109589042</v>
      </c>
      <c r="D20" s="38">
        <f>Annual_Summary!D20</f>
        <v>162406.10958904109</v>
      </c>
      <c r="E20" s="38">
        <f>Annual_Summary!E20</f>
        <v>177073.85589041095</v>
      </c>
      <c r="F20" s="38">
        <f>Annual_Summary!F20</f>
        <v>192407.66060547953</v>
      </c>
      <c r="G20" s="38">
        <f>Annual_Summary!G20</f>
        <v>208422.33916832888</v>
      </c>
    </row>
    <row r="21" spans="2:7" ht="15" customHeight="1" x14ac:dyDescent="0.25">
      <c r="B21" s="35" t="s">
        <v>352</v>
      </c>
      <c r="C21" s="37">
        <f>C18-Annual_Summary!C19-Annual_Summary!C20</f>
        <v>8021610.9589041136</v>
      </c>
      <c r="D21" s="37">
        <f>D18-Annual_Summary!D19-Annual_Summary!D20</f>
        <v>9320782.125705082</v>
      </c>
      <c r="E21" s="37">
        <f>E18-Annual_Summary!E19-Annual_Summary!E20</f>
        <v>10665862.614697829</v>
      </c>
      <c r="F21" s="37">
        <f>F18-Annual_Summary!F19-Annual_Summary!F20</f>
        <v>12056054.105276892</v>
      </c>
      <c r="G21" s="37">
        <f>G18-Annual_Summary!G19-Annual_Summary!G20</f>
        <v>13490282.216808157</v>
      </c>
    </row>
    <row r="22" spans="2:7" ht="15" customHeight="1" x14ac:dyDescent="0.25">
      <c r="B22" s="42" t="s">
        <v>359</v>
      </c>
      <c r="C22" s="38">
        <f>Annual_Summary!C25</f>
        <v>2005402.7397260282</v>
      </c>
      <c r="D22" s="38">
        <f>Annual_Summary!D25</f>
        <v>2330195.531426271</v>
      </c>
      <c r="E22" s="38">
        <f>Annual_Summary!E25</f>
        <v>2666465.6536744577</v>
      </c>
      <c r="F22" s="38">
        <f>Annual_Summary!F25</f>
        <v>3014013.5263192202</v>
      </c>
      <c r="G22" s="38">
        <f>Annual_Summary!G25</f>
        <v>3372570.5542020379</v>
      </c>
    </row>
    <row r="23" spans="2:7" ht="15" customHeight="1" x14ac:dyDescent="0.25">
      <c r="B23" s="35" t="s">
        <v>360</v>
      </c>
      <c r="C23" s="37">
        <f>C21-Annual_Summary!C25</f>
        <v>6016208.2191780852</v>
      </c>
      <c r="D23" s="37">
        <f>D21-Annual_Summary!D25</f>
        <v>6990586.5942788105</v>
      </c>
      <c r="E23" s="37">
        <f>E21-Annual_Summary!E25</f>
        <v>7999396.9610233717</v>
      </c>
      <c r="F23" s="37">
        <f>F21-Annual_Summary!F25</f>
        <v>9042040.5789576713</v>
      </c>
      <c r="G23" s="37">
        <f>G21-Annual_Summary!G25</f>
        <v>10117711.66260612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3">
    <mergeCell ref="A1:H1"/>
    <mergeCell ref="A2:H2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361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362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6.5" customHeight="1" x14ac:dyDescent="0.25">
      <c r="B5" s="7" t="s">
        <v>363</v>
      </c>
      <c r="C5" s="7"/>
      <c r="D5" s="7"/>
      <c r="E5" s="7"/>
      <c r="F5" s="7"/>
      <c r="G5" s="7"/>
      <c r="H5" s="7"/>
    </row>
    <row r="6" spans="1:8" ht="15" customHeight="1" x14ac:dyDescent="0.25">
      <c r="B6" s="42" t="s">
        <v>364</v>
      </c>
      <c r="C6" s="38">
        <f>Assumptions!$C$9</f>
        <v>1500000</v>
      </c>
      <c r="D6" s="38">
        <f>Assumptions!$C$9</f>
        <v>1500000</v>
      </c>
      <c r="E6" s="38">
        <f>Assumptions!$C$9</f>
        <v>1500000</v>
      </c>
      <c r="F6" s="38">
        <f>Assumptions!$C$9</f>
        <v>1500000</v>
      </c>
      <c r="G6" s="38">
        <f>Assumptions!$C$9</f>
        <v>1500000</v>
      </c>
    </row>
    <row r="7" spans="1:8" ht="15" customHeight="1" x14ac:dyDescent="0.25">
      <c r="B7" s="42" t="s">
        <v>365</v>
      </c>
      <c r="C7" s="38">
        <f>Annual_Summary!C26</f>
        <v>6016208.2191780852</v>
      </c>
      <c r="D7" s="38">
        <f>C7+Annual_Summary!D26</f>
        <v>13006794.813456895</v>
      </c>
      <c r="E7" s="38">
        <f>D7+Annual_Summary!E26</f>
        <v>21006191.774480268</v>
      </c>
      <c r="F7" s="38">
        <f>E7+Annual_Summary!F26</f>
        <v>30048232.353437927</v>
      </c>
      <c r="G7" s="38">
        <f>F7+Annual_Summary!G26</f>
        <v>40165944.016044043</v>
      </c>
    </row>
    <row r="8" spans="1:8" ht="15" customHeight="1" x14ac:dyDescent="0.25">
      <c r="B8" s="35" t="s">
        <v>366</v>
      </c>
      <c r="C8" s="37">
        <f>C6+C7</f>
        <v>7516208.2191780852</v>
      </c>
      <c r="D8" s="37">
        <f>D6+D7</f>
        <v>14506794.813456895</v>
      </c>
      <c r="E8" s="37">
        <f>E6+E7</f>
        <v>22506191.774480268</v>
      </c>
      <c r="F8" s="37">
        <f>F6+F7</f>
        <v>31548232.353437927</v>
      </c>
      <c r="G8" s="37">
        <f>G6+G7</f>
        <v>41665944.016044043</v>
      </c>
    </row>
    <row r="9" spans="1:8" ht="15" customHeight="1" x14ac:dyDescent="0.25">
      <c r="B9" s="42" t="s">
        <v>367</v>
      </c>
      <c r="C9" s="38">
        <f>Repayment!C8</f>
        <v>5899159.6638655458</v>
      </c>
      <c r="D9" s="38">
        <f>Repayment!D8</f>
        <v>5798319.3277310915</v>
      </c>
      <c r="E9" s="38">
        <f>Repayment!E8</f>
        <v>5697478.9915966373</v>
      </c>
      <c r="F9" s="38">
        <f>Repayment!F8</f>
        <v>5596638.6554621831</v>
      </c>
      <c r="G9" s="38">
        <f>Repayment!G8</f>
        <v>5495798.3193277288</v>
      </c>
    </row>
    <row r="10" spans="1:8" ht="15" customHeight="1" x14ac:dyDescent="0.25">
      <c r="B10" s="42" t="s">
        <v>368</v>
      </c>
      <c r="C10" s="38">
        <f>Form_V_MPBF!C11</f>
        <v>1236575.3424657537</v>
      </c>
      <c r="D10" s="38">
        <f>Form_V_MPBF!D11</f>
        <v>1353384.2465753425</v>
      </c>
      <c r="E10" s="38">
        <f>Form_V_MPBF!E11</f>
        <v>1475615.4657534249</v>
      </c>
      <c r="F10" s="38">
        <f>Form_V_MPBF!F11</f>
        <v>1603397.1717123296</v>
      </c>
      <c r="G10" s="38">
        <f>Form_V_MPBF!G11</f>
        <v>1736852.8264027406</v>
      </c>
    </row>
    <row r="11" spans="1:8" ht="15" customHeight="1" x14ac:dyDescent="0.25">
      <c r="B11" s="42" t="s">
        <v>369</v>
      </c>
      <c r="C11" s="38">
        <f>Form_IV_CA_CL!C16</f>
        <v>2219178.0821917811</v>
      </c>
      <c r="D11" s="38">
        <f>Form_IV_CA_CL!D16</f>
        <v>2524315.0684931511</v>
      </c>
      <c r="E11" s="38">
        <f>Form_IV_CA_CL!E16</f>
        <v>2854417.8082191786</v>
      </c>
      <c r="F11" s="38">
        <f>Form_IV_CA_CL!F16</f>
        <v>3211220.034246576</v>
      </c>
      <c r="G11" s="38">
        <f>Form_IV_CA_CL!G16</f>
        <v>3596566.4383561648</v>
      </c>
    </row>
    <row r="12" spans="1:8" ht="15" customHeight="1" x14ac:dyDescent="0.25">
      <c r="B12" s="42" t="s">
        <v>370</v>
      </c>
      <c r="C12" s="38">
        <f>Form_IV_CA_CL!C17</f>
        <v>0</v>
      </c>
      <c r="D12" s="38">
        <f>Form_IV_CA_CL!D17</f>
        <v>0</v>
      </c>
      <c r="E12" s="38">
        <f>Form_IV_CA_CL!E17</f>
        <v>0</v>
      </c>
      <c r="F12" s="38">
        <f>Form_IV_CA_CL!F17</f>
        <v>0</v>
      </c>
      <c r="G12" s="38">
        <f>Form_IV_CA_CL!G17</f>
        <v>0</v>
      </c>
    </row>
    <row r="13" spans="1:8" ht="15" customHeight="1" x14ac:dyDescent="0.25">
      <c r="B13" s="35" t="s">
        <v>371</v>
      </c>
      <c r="C13" s="37">
        <f>SUM(C8:C12)</f>
        <v>16871121.307701167</v>
      </c>
      <c r="D13" s="37">
        <f>SUM(D8:D12)</f>
        <v>24182813.456256479</v>
      </c>
      <c r="E13" s="37">
        <f>SUM(E8:E12)</f>
        <v>32533704.040049512</v>
      </c>
      <c r="F13" s="37">
        <f>SUM(F8:F12)</f>
        <v>41959488.214859016</v>
      </c>
      <c r="G13" s="37">
        <f>SUM(G8:G12)</f>
        <v>52495161.600130677</v>
      </c>
    </row>
    <row r="14" spans="1:8" ht="16.5" customHeight="1" x14ac:dyDescent="0.25">
      <c r="B14" s="7" t="s">
        <v>372</v>
      </c>
      <c r="C14" s="7"/>
      <c r="D14" s="7"/>
      <c r="E14" s="7"/>
      <c r="F14" s="7"/>
      <c r="G14" s="7"/>
      <c r="H14" s="7"/>
    </row>
    <row r="15" spans="1:8" ht="15" customHeight="1" x14ac:dyDescent="0.25">
      <c r="B15" s="42" t="s">
        <v>373</v>
      </c>
      <c r="C15" s="41">
        <f>Assumptions!$C$42+Assumptions!$C$43+Assumptions!$C$45+Assumptions!$C$47</f>
        <v>6200000</v>
      </c>
      <c r="D15" s="41">
        <f>Assumptions!$C$42+Assumptions!$C$43+Assumptions!$C$45+Assumptions!$C$47</f>
        <v>6200000</v>
      </c>
      <c r="E15" s="41">
        <f>Assumptions!$C$42+Assumptions!$C$43+Assumptions!$C$45+Assumptions!$C$47</f>
        <v>6200000</v>
      </c>
      <c r="F15" s="41">
        <f>Assumptions!$C$42+Assumptions!$C$43+Assumptions!$C$45+Assumptions!$C$47</f>
        <v>6200000</v>
      </c>
      <c r="G15" s="41">
        <f>Assumptions!$C$42+Assumptions!$C$43+Assumptions!$C$45+Assumptions!$C$47</f>
        <v>6200000</v>
      </c>
    </row>
    <row r="16" spans="1:8" ht="15" customHeight="1" x14ac:dyDescent="0.25">
      <c r="B16" s="42" t="s">
        <v>374</v>
      </c>
      <c r="C16" s="38">
        <f>Annual_Summary!C18</f>
        <v>919999.99999999988</v>
      </c>
      <c r="D16" s="38">
        <f>C16+Annual_Summary!D18</f>
        <v>1839999.9999999998</v>
      </c>
      <c r="E16" s="38">
        <f>D16+Annual_Summary!E18</f>
        <v>2759999.9999999995</v>
      </c>
      <c r="F16" s="38">
        <f>E16+Annual_Summary!F18</f>
        <v>3679999.9999999995</v>
      </c>
      <c r="G16" s="38">
        <f>F16+Annual_Summary!G18</f>
        <v>4599999.9999999991</v>
      </c>
    </row>
    <row r="17" spans="2:7" ht="15" customHeight="1" x14ac:dyDescent="0.25">
      <c r="B17" s="35" t="s">
        <v>375</v>
      </c>
      <c r="C17" s="37">
        <f>C15-C16</f>
        <v>5280000</v>
      </c>
      <c r="D17" s="37">
        <f>D15-D16</f>
        <v>4360000</v>
      </c>
      <c r="E17" s="37">
        <f>E15-E16</f>
        <v>3440000.0000000005</v>
      </c>
      <c r="F17" s="37">
        <f>F15-F16</f>
        <v>2520000.0000000005</v>
      </c>
      <c r="G17" s="37">
        <f>G15-G16</f>
        <v>1600000.0000000009</v>
      </c>
    </row>
    <row r="18" spans="2:7" ht="15" customHeight="1" x14ac:dyDescent="0.25">
      <c r="B18" s="42" t="s">
        <v>376</v>
      </c>
      <c r="C18" s="38">
        <f>Form_IV_CA_CL!C10+Form_IV_CA_CL!C11</f>
        <v>1448767.1232876715</v>
      </c>
      <c r="D18" s="38">
        <f>Form_IV_CA_CL!D10+Form_IV_CA_CL!D11</f>
        <v>1636567.1232876715</v>
      </c>
      <c r="E18" s="38">
        <f>Form_IV_CA_CL!E10+Form_IV_CA_CL!E11</f>
        <v>1839635.2328767127</v>
      </c>
      <c r="F18" s="38">
        <f>Form_IV_CA_CL!F10+Form_IV_CA_CL!F11</f>
        <v>2059033.7175342469</v>
      </c>
      <c r="G18" s="38">
        <f>Form_IV_CA_CL!G10+Form_IV_CA_CL!G11</f>
        <v>2295893.2852493152</v>
      </c>
    </row>
    <row r="19" spans="2:7" ht="15" customHeight="1" x14ac:dyDescent="0.25">
      <c r="B19" s="42" t="s">
        <v>377</v>
      </c>
      <c r="C19" s="38">
        <f>Form_IV_CA_CL!C12</f>
        <v>2958904.1095890417</v>
      </c>
      <c r="D19" s="38">
        <f>Form_IV_CA_CL!D12</f>
        <v>3333698.6301369867</v>
      </c>
      <c r="E19" s="38">
        <f>Form_IV_CA_CL!E12</f>
        <v>3733742.4657534254</v>
      </c>
      <c r="F19" s="38">
        <f>Form_IV_CA_CL!F12</f>
        <v>4160455.8904109607</v>
      </c>
      <c r="G19" s="38">
        <f>Form_IV_CA_CL!G12</f>
        <v>4615332.4010958923</v>
      </c>
    </row>
    <row r="20" spans="2:7" ht="15" customHeight="1" x14ac:dyDescent="0.25">
      <c r="B20" s="42" t="s">
        <v>378</v>
      </c>
      <c r="C20" s="41">
        <f>C13-(C17+C18+C19)</f>
        <v>7183450.0748244543</v>
      </c>
      <c r="D20" s="41">
        <f>D13-(D17+D18+D19)</f>
        <v>14852547.702831822</v>
      </c>
      <c r="E20" s="41">
        <f>E13-(E17+E18+E19)</f>
        <v>23520326.341419373</v>
      </c>
      <c r="F20" s="41">
        <f>F13-(F17+F18+F19)</f>
        <v>33219998.606913809</v>
      </c>
      <c r="G20" s="41">
        <f>G13-(G17+G18+G19)</f>
        <v>43983935.913785473</v>
      </c>
    </row>
    <row r="21" spans="2:7" ht="15" customHeight="1" x14ac:dyDescent="0.25">
      <c r="B21" s="35" t="s">
        <v>379</v>
      </c>
      <c r="C21" s="37">
        <f>C17+C18+C19+C20</f>
        <v>16871121.307701167</v>
      </c>
      <c r="D21" s="37">
        <f>D17+D18+D19+D20</f>
        <v>24182813.456256479</v>
      </c>
      <c r="E21" s="37">
        <f>E17+E18+E19+E20</f>
        <v>32533704.040049512</v>
      </c>
      <c r="F21" s="37">
        <f>F17+F18+F19+F20</f>
        <v>41959488.214859016</v>
      </c>
      <c r="G21" s="37">
        <f>G17+G18+G19+G20</f>
        <v>52495161.600130677</v>
      </c>
    </row>
    <row r="22" spans="2:7" ht="15" customHeight="1" x14ac:dyDescent="0.25">
      <c r="B22" s="13" t="s">
        <v>380</v>
      </c>
      <c r="C22" s="41">
        <f>C13-C21</f>
        <v>0</v>
      </c>
      <c r="D22" s="41">
        <f>D13-D21</f>
        <v>0</v>
      </c>
      <c r="E22" s="41">
        <f>E13-E21</f>
        <v>0</v>
      </c>
      <c r="F22" s="41">
        <f>F13-F21</f>
        <v>0</v>
      </c>
      <c r="G22" s="41">
        <f>G13-G21</f>
        <v>0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4">
    <mergeCell ref="A1:H1"/>
    <mergeCell ref="A2:H2"/>
    <mergeCell ref="B5:H5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381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382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6.5" customHeight="1" x14ac:dyDescent="0.25">
      <c r="B5" s="7" t="s">
        <v>383</v>
      </c>
      <c r="C5" s="7"/>
      <c r="D5" s="7"/>
      <c r="E5" s="7"/>
      <c r="F5" s="7"/>
      <c r="G5" s="7"/>
      <c r="H5" s="7"/>
    </row>
    <row r="6" spans="1:8" ht="15" customHeight="1" x14ac:dyDescent="0.25">
      <c r="B6" s="13" t="s">
        <v>356</v>
      </c>
      <c r="C6" s="38">
        <f>Annual_Summary!C10+Annual_Summary!C11+Annual_Summary!C12+Annual_Summary!C13+Annual_Summary!C14+Annual_Summary!C15+Annual_Summary!C18</f>
        <v>25880000.000000004</v>
      </c>
      <c r="D6" s="38">
        <f>Annual_Summary!D10+Annual_Summary!D11+Annual_Summary!D12+Annual_Summary!D13+Annual_Summary!D14+Annual_Summary!D15+Annual_Summary!D18</f>
        <v>29022200.000000004</v>
      </c>
      <c r="E6" s="38">
        <f>Annual_Summary!E10+Annual_Summary!E11+Annual_Summary!E12+Annual_Summary!E13+Annual_Summary!E14+Annual_Summary!E15+Annual_Summary!E18</f>
        <v>32417936.000000004</v>
      </c>
      <c r="F6" s="38">
        <f>Annual_Summary!F10+Annual_Summary!F11+Annual_Summary!F12+Annual_Summary!F13+Annual_Summary!F14+Annual_Summary!F15+Annual_Summary!F18</f>
        <v>36084886.940000005</v>
      </c>
      <c r="G6" s="38">
        <f>Annual_Summary!G10+Annual_Summary!G11+Annual_Summary!G12+Annual_Summary!G13+Annual_Summary!G14+Annual_Summary!G15+Annual_Summary!G18</f>
        <v>40041879.911600009</v>
      </c>
    </row>
    <row r="7" spans="1:8" ht="15" customHeight="1" x14ac:dyDescent="0.25">
      <c r="B7" s="13" t="s">
        <v>384</v>
      </c>
      <c r="C7" s="38">
        <f>Annual_Summary!C10</f>
        <v>18000000.000000004</v>
      </c>
      <c r="D7" s="38">
        <f>Annual_Summary!D10</f>
        <v>20475000.000000004</v>
      </c>
      <c r="E7" s="38">
        <f>Annual_Summary!E10</f>
        <v>23152500.000000004</v>
      </c>
      <c r="F7" s="38">
        <f>Annual_Summary!F10</f>
        <v>26046562.500000004</v>
      </c>
      <c r="G7" s="38">
        <f>Annual_Summary!G10</f>
        <v>29172150.000000004</v>
      </c>
    </row>
    <row r="8" spans="1:8" ht="15" customHeight="1" x14ac:dyDescent="0.25">
      <c r="B8" s="13" t="s">
        <v>327</v>
      </c>
      <c r="C8" s="38">
        <f>Annual_Summary!C8</f>
        <v>36000000.000000007</v>
      </c>
      <c r="D8" s="38">
        <f>Annual_Summary!D8</f>
        <v>40560000.000000007</v>
      </c>
      <c r="E8" s="38">
        <f>Annual_Summary!E8</f>
        <v>45427200.000000007</v>
      </c>
      <c r="F8" s="38">
        <f>Annual_Summary!F8</f>
        <v>50618880.000000022</v>
      </c>
      <c r="G8" s="38">
        <f>Annual_Summary!G8</f>
        <v>56153210.880000025</v>
      </c>
    </row>
    <row r="9" spans="1:8" ht="16.5" customHeight="1" x14ac:dyDescent="0.25">
      <c r="B9" s="7" t="s">
        <v>385</v>
      </c>
      <c r="C9" s="7"/>
      <c r="D9" s="7"/>
      <c r="E9" s="7"/>
      <c r="F9" s="7"/>
      <c r="G9" s="7"/>
      <c r="H9" s="7"/>
    </row>
    <row r="10" spans="1:8" ht="15" customHeight="1" x14ac:dyDescent="0.25">
      <c r="B10" s="42" t="s">
        <v>386</v>
      </c>
      <c r="C10" s="41">
        <f>C7*Assumptions!$C$50/365</f>
        <v>739726.02739726042</v>
      </c>
      <c r="D10" s="41">
        <f>D7*Assumptions!$C$50/365</f>
        <v>841438.3561643837</v>
      </c>
      <c r="E10" s="41">
        <f>E7*Assumptions!$C$50/365</f>
        <v>951472.60273972619</v>
      </c>
      <c r="F10" s="41">
        <f>F7*Assumptions!$C$50/365</f>
        <v>1070406.6780821919</v>
      </c>
      <c r="G10" s="41">
        <f>G7*Assumptions!$C$50/365</f>
        <v>1198855.4794520549</v>
      </c>
    </row>
    <row r="11" spans="1:8" ht="15" customHeight="1" x14ac:dyDescent="0.25">
      <c r="B11" s="42" t="s">
        <v>387</v>
      </c>
      <c r="C11" s="41">
        <f>C6*Assumptions!$C$51/365</f>
        <v>709041.09589041106</v>
      </c>
      <c r="D11" s="41">
        <f>D6*Assumptions!$C$51/365</f>
        <v>795128.76712328778</v>
      </c>
      <c r="E11" s="41">
        <f>E6*Assumptions!$C$51/365</f>
        <v>888162.6301369865</v>
      </c>
      <c r="F11" s="41">
        <f>F6*Assumptions!$C$51/365</f>
        <v>988627.03945205489</v>
      </c>
      <c r="G11" s="41">
        <f>G6*Assumptions!$C$51/365</f>
        <v>1097037.8057972605</v>
      </c>
    </row>
    <row r="12" spans="1:8" ht="15" customHeight="1" x14ac:dyDescent="0.25">
      <c r="B12" s="42" t="s">
        <v>377</v>
      </c>
      <c r="C12" s="41">
        <f>C8*Assumptions!$C$52/365</f>
        <v>2958904.1095890417</v>
      </c>
      <c r="D12" s="41">
        <f>D8*Assumptions!$C$52/365</f>
        <v>3333698.6301369867</v>
      </c>
      <c r="E12" s="41">
        <f>E8*Assumptions!$C$52/365</f>
        <v>3733742.4657534254</v>
      </c>
      <c r="F12" s="41">
        <f>F8*Assumptions!$C$52/365</f>
        <v>4160455.8904109607</v>
      </c>
      <c r="G12" s="41">
        <f>G8*Assumptions!$C$52/365</f>
        <v>4615332.4010958923</v>
      </c>
    </row>
    <row r="13" spans="1:8" ht="15" customHeight="1" x14ac:dyDescent="0.25">
      <c r="B13" s="42" t="s">
        <v>388</v>
      </c>
      <c r="C13" s="38">
        <f>Assumptions!$C$54</f>
        <v>200000</v>
      </c>
      <c r="D13" s="38">
        <f>Assumptions!$C$54</f>
        <v>200000</v>
      </c>
      <c r="E13" s="38">
        <f>Assumptions!$C$54</f>
        <v>200000</v>
      </c>
      <c r="F13" s="38">
        <f>Assumptions!$C$54</f>
        <v>200000</v>
      </c>
      <c r="G13" s="38">
        <f>Assumptions!$C$54</f>
        <v>200000</v>
      </c>
    </row>
    <row r="14" spans="1:8" ht="15" customHeight="1" x14ac:dyDescent="0.25">
      <c r="B14" s="35" t="s">
        <v>389</v>
      </c>
      <c r="C14" s="37">
        <f>SUM(C10:C13)</f>
        <v>4607671.2328767134</v>
      </c>
      <c r="D14" s="37">
        <f>SUM(D10:D13)</f>
        <v>5170265.7534246584</v>
      </c>
      <c r="E14" s="37">
        <f>SUM(E10:E13)</f>
        <v>5773377.6986301383</v>
      </c>
      <c r="F14" s="37">
        <f>SUM(F10:F13)</f>
        <v>6419489.6079452075</v>
      </c>
      <c r="G14" s="37">
        <f>SUM(G10:G13)</f>
        <v>7111225.6863452075</v>
      </c>
    </row>
    <row r="15" spans="1:8" ht="16.5" customHeight="1" x14ac:dyDescent="0.25">
      <c r="B15" s="7" t="s">
        <v>390</v>
      </c>
      <c r="C15" s="7"/>
      <c r="D15" s="7"/>
      <c r="E15" s="7"/>
      <c r="F15" s="7"/>
      <c r="G15" s="7"/>
      <c r="H15" s="7"/>
    </row>
    <row r="16" spans="1:8" ht="15" customHeight="1" x14ac:dyDescent="0.25">
      <c r="B16" s="42" t="s">
        <v>391</v>
      </c>
      <c r="C16" s="41">
        <f>C7*Assumptions!$C$53/365</f>
        <v>2219178.0821917811</v>
      </c>
      <c r="D16" s="41">
        <f>D7*Assumptions!$C$53/365</f>
        <v>2524315.0684931511</v>
      </c>
      <c r="E16" s="41">
        <f>E7*Assumptions!$C$53/365</f>
        <v>2854417.8082191786</v>
      </c>
      <c r="F16" s="41">
        <f>F7*Assumptions!$C$53/365</f>
        <v>3211220.034246576</v>
      </c>
      <c r="G16" s="41">
        <f>G7*Assumptions!$C$53/365</f>
        <v>3596566.4383561648</v>
      </c>
    </row>
    <row r="17" spans="2:7" ht="15" customHeight="1" x14ac:dyDescent="0.25">
      <c r="B17" s="42" t="s">
        <v>370</v>
      </c>
      <c r="C17" s="41">
        <f>0</f>
        <v>0</v>
      </c>
      <c r="D17" s="41">
        <f>0</f>
        <v>0</v>
      </c>
      <c r="E17" s="41">
        <f>0</f>
        <v>0</v>
      </c>
      <c r="F17" s="41">
        <f>0</f>
        <v>0</v>
      </c>
      <c r="G17" s="41">
        <f>0</f>
        <v>0</v>
      </c>
    </row>
    <row r="18" spans="2:7" ht="15" customHeight="1" x14ac:dyDescent="0.25">
      <c r="B18" s="35" t="s">
        <v>392</v>
      </c>
      <c r="C18" s="37">
        <f>C16+C17</f>
        <v>2219178.0821917811</v>
      </c>
      <c r="D18" s="37">
        <f>D16+D17</f>
        <v>2524315.0684931511</v>
      </c>
      <c r="E18" s="37">
        <f>E16+E17</f>
        <v>2854417.8082191786</v>
      </c>
      <c r="F18" s="37">
        <f>F16+F17</f>
        <v>3211220.034246576</v>
      </c>
      <c r="G18" s="37">
        <f>G16+G17</f>
        <v>3596566.4383561648</v>
      </c>
    </row>
    <row r="19" spans="2:7" ht="15" customHeight="1" x14ac:dyDescent="0.25">
      <c r="B19" s="35" t="s">
        <v>393</v>
      </c>
      <c r="C19" s="37">
        <f>C14-C18</f>
        <v>2388493.1506849322</v>
      </c>
      <c r="D19" s="37">
        <f>D14-D18</f>
        <v>2645950.6849315073</v>
      </c>
      <c r="E19" s="37">
        <f>E14-E18</f>
        <v>2918959.8904109597</v>
      </c>
      <c r="F19" s="37">
        <f>F14-F18</f>
        <v>3208269.5736986315</v>
      </c>
      <c r="G19" s="37">
        <f>G14-G18</f>
        <v>3514659.2479890427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5">
    <mergeCell ref="A1:H1"/>
    <mergeCell ref="A2:H2"/>
    <mergeCell ref="B5:H5"/>
    <mergeCell ref="B9:H9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394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395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5" customHeight="1" x14ac:dyDescent="0.25">
      <c r="B5" s="35" t="s">
        <v>389</v>
      </c>
      <c r="C5" s="44">
        <f>Form_IV_CA_CL!C14</f>
        <v>4607671.2328767134</v>
      </c>
      <c r="D5" s="44">
        <f>Form_IV_CA_CL!D14</f>
        <v>5170265.7534246584</v>
      </c>
      <c r="E5" s="44">
        <f>Form_IV_CA_CL!E14</f>
        <v>5773377.6986301383</v>
      </c>
      <c r="F5" s="44">
        <f>Form_IV_CA_CL!F14</f>
        <v>6419489.6079452075</v>
      </c>
      <c r="G5" s="44">
        <f>Form_IV_CA_CL!G14</f>
        <v>7111225.6863452075</v>
      </c>
    </row>
    <row r="6" spans="1:8" ht="15" customHeight="1" x14ac:dyDescent="0.25">
      <c r="B6" s="13" t="s">
        <v>396</v>
      </c>
      <c r="C6" s="38">
        <f>Form_IV_CA_CL!C18</f>
        <v>2219178.0821917811</v>
      </c>
      <c r="D6" s="38">
        <f>Form_IV_CA_CL!D18</f>
        <v>2524315.0684931511</v>
      </c>
      <c r="E6" s="38">
        <f>Form_IV_CA_CL!E18</f>
        <v>2854417.8082191786</v>
      </c>
      <c r="F6" s="38">
        <f>Form_IV_CA_CL!F18</f>
        <v>3211220.034246576</v>
      </c>
      <c r="G6" s="38">
        <f>Form_IV_CA_CL!G18</f>
        <v>3596566.4383561648</v>
      </c>
    </row>
    <row r="7" spans="1:8" ht="15" customHeight="1" x14ac:dyDescent="0.25">
      <c r="B7" s="35" t="s">
        <v>397</v>
      </c>
      <c r="C7" s="37">
        <f>Form_IV_CA_CL!C19</f>
        <v>2388493.1506849322</v>
      </c>
      <c r="D7" s="37">
        <f>Form_IV_CA_CL!D19</f>
        <v>2645950.6849315073</v>
      </c>
      <c r="E7" s="37">
        <f>Form_IV_CA_CL!E19</f>
        <v>2918959.8904109597</v>
      </c>
      <c r="F7" s="37">
        <f>Form_IV_CA_CL!F19</f>
        <v>3208269.5736986315</v>
      </c>
      <c r="G7" s="37">
        <f>Form_IV_CA_CL!G19</f>
        <v>3514659.2479890427</v>
      </c>
    </row>
    <row r="8" spans="1:8" ht="15" customHeight="1" x14ac:dyDescent="0.25">
      <c r="B8" s="13" t="s">
        <v>398</v>
      </c>
      <c r="C8" s="41">
        <f>Assumptions!$C$55*Form_IV_CA_CL!C14</f>
        <v>1151917.8082191783</v>
      </c>
      <c r="D8" s="41">
        <f>Assumptions!$C$55*Form_IV_CA_CL!D14</f>
        <v>1292566.4383561646</v>
      </c>
      <c r="E8" s="41">
        <f>Assumptions!$C$55*Form_IV_CA_CL!E14</f>
        <v>1443344.4246575346</v>
      </c>
      <c r="F8" s="41">
        <f>Assumptions!$C$55*Form_IV_CA_CL!F14</f>
        <v>1604872.4019863019</v>
      </c>
      <c r="G8" s="41">
        <f>Assumptions!$C$55*Form_IV_CA_CL!G14</f>
        <v>1777806.4215863019</v>
      </c>
    </row>
    <row r="9" spans="1:8" ht="15" customHeight="1" x14ac:dyDescent="0.25">
      <c r="B9" s="13" t="s">
        <v>399</v>
      </c>
      <c r="C9" s="41">
        <f>MAX(0,Form_IV_CA_CL!C19*(1-Assumptions!$C$55))</f>
        <v>1791369.8630136992</v>
      </c>
      <c r="D9" s="41">
        <f>MAX(0,Form_IV_CA_CL!D19*(1-Assumptions!$C$55))</f>
        <v>1984463.0136986305</v>
      </c>
      <c r="E9" s="41">
        <f>MAX(0,Form_IV_CA_CL!E19*(1-Assumptions!$C$55))</f>
        <v>2189219.9178082198</v>
      </c>
      <c r="F9" s="41">
        <f>MAX(0,Form_IV_CA_CL!F19*(1-Assumptions!$C$55))</f>
        <v>2406202.1802739734</v>
      </c>
      <c r="G9" s="41">
        <f>MAX(0,Form_IV_CA_CL!G19*(1-Assumptions!$C$55))</f>
        <v>2635994.4359917818</v>
      </c>
    </row>
    <row r="10" spans="1:8" ht="15" customHeight="1" x14ac:dyDescent="0.25">
      <c r="B10" s="13" t="s">
        <v>400</v>
      </c>
      <c r="C10" s="41">
        <f>MAX(0,Form_IV_CA_CL!C14*(1-Assumptions!$C$55)-Form_IV_CA_CL!C18)</f>
        <v>1236575.3424657537</v>
      </c>
      <c r="D10" s="41">
        <f>MAX(0,Form_IV_CA_CL!D14*(1-Assumptions!$C$55)-Form_IV_CA_CL!D18)</f>
        <v>1353384.2465753425</v>
      </c>
      <c r="E10" s="41">
        <f>MAX(0,Form_IV_CA_CL!E14*(1-Assumptions!$C$55)-Form_IV_CA_CL!E18)</f>
        <v>1475615.4657534249</v>
      </c>
      <c r="F10" s="41">
        <f>MAX(0,Form_IV_CA_CL!F14*(1-Assumptions!$C$55)-Form_IV_CA_CL!F18)</f>
        <v>1603397.1717123296</v>
      </c>
      <c r="G10" s="41">
        <f>MAX(0,Form_IV_CA_CL!G14*(1-Assumptions!$C$55)-Form_IV_CA_CL!G18)</f>
        <v>1736852.8264027406</v>
      </c>
    </row>
    <row r="11" spans="1:8" ht="15" customHeight="1" x14ac:dyDescent="0.25">
      <c r="B11" s="35" t="s">
        <v>401</v>
      </c>
      <c r="C11" s="37">
        <f>C10</f>
        <v>1236575.3424657537</v>
      </c>
      <c r="D11" s="37">
        <f>D10</f>
        <v>1353384.2465753425</v>
      </c>
      <c r="E11" s="37">
        <f>E10</f>
        <v>1475615.4657534249</v>
      </c>
      <c r="F11" s="37">
        <f>F10</f>
        <v>1603397.1717123296</v>
      </c>
      <c r="G11" s="37">
        <f>G10</f>
        <v>1736852.8264027406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402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403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6.5" customHeight="1" x14ac:dyDescent="0.25">
      <c r="B5" s="7" t="s">
        <v>404</v>
      </c>
      <c r="C5" s="7"/>
      <c r="D5" s="7"/>
      <c r="E5" s="7"/>
      <c r="F5" s="7"/>
      <c r="G5" s="7"/>
      <c r="H5" s="7"/>
    </row>
    <row r="6" spans="1:8" ht="15" customHeight="1" x14ac:dyDescent="0.25">
      <c r="B6" s="42" t="s">
        <v>405</v>
      </c>
      <c r="C6" s="38">
        <f>Annual_Summary!C27</f>
        <v>6936208.2191780834</v>
      </c>
      <c r="D6" s="38">
        <f>Annual_Summary!D27</f>
        <v>7910586.5942788115</v>
      </c>
      <c r="E6" s="38">
        <f>Annual_Summary!E27</f>
        <v>8919396.9610233717</v>
      </c>
      <c r="F6" s="38">
        <f>Annual_Summary!F27</f>
        <v>9962040.5789576564</v>
      </c>
      <c r="G6" s="38">
        <f>Annual_Summary!G27</f>
        <v>11037711.662606113</v>
      </c>
    </row>
    <row r="7" spans="1:8" ht="15" customHeight="1" x14ac:dyDescent="0.25">
      <c r="B7" s="42" t="s">
        <v>406</v>
      </c>
      <c r="C7" s="41">
        <f>Assumptions!$C$9</f>
        <v>1500000</v>
      </c>
      <c r="D7" s="41">
        <f>0</f>
        <v>0</v>
      </c>
      <c r="E7" s="41">
        <f>0</f>
        <v>0</v>
      </c>
      <c r="F7" s="41">
        <f>0</f>
        <v>0</v>
      </c>
      <c r="G7" s="41">
        <f>0</f>
        <v>0</v>
      </c>
    </row>
    <row r="8" spans="1:8" ht="15" customHeight="1" x14ac:dyDescent="0.25">
      <c r="B8" s="42" t="s">
        <v>407</v>
      </c>
      <c r="C8" s="41">
        <f>Assumptions!$C$8</f>
        <v>6000000</v>
      </c>
      <c r="D8" s="41">
        <f>0</f>
        <v>0</v>
      </c>
      <c r="E8" s="41">
        <f>0</f>
        <v>0</v>
      </c>
      <c r="F8" s="41">
        <f>0</f>
        <v>0</v>
      </c>
      <c r="G8" s="41">
        <f>0</f>
        <v>0</v>
      </c>
    </row>
    <row r="9" spans="1:8" ht="15" customHeight="1" x14ac:dyDescent="0.25">
      <c r="B9" s="42" t="s">
        <v>408</v>
      </c>
      <c r="C9" s="41">
        <f>Form_V_MPBF!C11</f>
        <v>1236575.3424657537</v>
      </c>
      <c r="D9" s="41">
        <f>(Form_V_MPBF!D11-Form_V_MPBF!C11)</f>
        <v>116808.90410958882</v>
      </c>
      <c r="E9" s="41">
        <f>(Form_V_MPBF!E11-Form_V_MPBF!D11)</f>
        <v>122231.21917808242</v>
      </c>
      <c r="F9" s="41">
        <f>(Form_V_MPBF!F11-Form_V_MPBF!E11)</f>
        <v>127781.7059589047</v>
      </c>
      <c r="G9" s="41">
        <f>(Form_V_MPBF!G11-Form_V_MPBF!F11)</f>
        <v>133455.65469041094</v>
      </c>
    </row>
    <row r="10" spans="1:8" ht="15" customHeight="1" x14ac:dyDescent="0.25">
      <c r="B10" s="42" t="s">
        <v>409</v>
      </c>
      <c r="C10" s="41">
        <f>Form_IV_CA_CL!C16</f>
        <v>2219178.0821917811</v>
      </c>
      <c r="D10" s="41">
        <f>(Form_IV_CA_CL!D16-Form_IV_CA_CL!C16)</f>
        <v>305136.98630136997</v>
      </c>
      <c r="E10" s="41">
        <f>(Form_IV_CA_CL!E16-Form_IV_CA_CL!D16)</f>
        <v>330102.73972602747</v>
      </c>
      <c r="F10" s="41">
        <f>(Form_IV_CA_CL!F16-Form_IV_CA_CL!E16)</f>
        <v>356802.22602739744</v>
      </c>
      <c r="G10" s="41">
        <f>(Form_IV_CA_CL!G16-Form_IV_CA_CL!F16)</f>
        <v>385346.40410958882</v>
      </c>
    </row>
    <row r="11" spans="1:8" ht="15" customHeight="1" x14ac:dyDescent="0.25">
      <c r="B11" s="35" t="s">
        <v>410</v>
      </c>
      <c r="C11" s="37">
        <f>SUM(C6:C10)</f>
        <v>17891961.643835619</v>
      </c>
      <c r="D11" s="37">
        <f>SUM(D6:D10)</f>
        <v>8332532.4846897703</v>
      </c>
      <c r="E11" s="37">
        <f>SUM(E6:E10)</f>
        <v>9371730.9199274816</v>
      </c>
      <c r="F11" s="37">
        <f>SUM(F6:F10)</f>
        <v>10446624.510943959</v>
      </c>
      <c r="G11" s="37">
        <f>SUM(G6:G10)</f>
        <v>11556513.721406113</v>
      </c>
    </row>
    <row r="12" spans="1:8" ht="16.5" customHeight="1" x14ac:dyDescent="0.25">
      <c r="B12" s="7" t="s">
        <v>411</v>
      </c>
      <c r="C12" s="7"/>
      <c r="D12" s="7"/>
      <c r="E12" s="7"/>
      <c r="F12" s="7"/>
      <c r="G12" s="7"/>
      <c r="H12" s="7"/>
    </row>
    <row r="13" spans="1:8" ht="15" customHeight="1" x14ac:dyDescent="0.25">
      <c r="B13" s="42" t="s">
        <v>412</v>
      </c>
      <c r="C13" s="41">
        <f>Form_III_BalanceSheet!C15</f>
        <v>6200000</v>
      </c>
      <c r="D13" s="41">
        <f>(Form_III_BalanceSheet!D15-Form_III_BalanceSheet!C15)</f>
        <v>0</v>
      </c>
      <c r="E13" s="41">
        <f>(Form_III_BalanceSheet!E15-Form_III_BalanceSheet!D15)</f>
        <v>0</v>
      </c>
      <c r="F13" s="41">
        <f>(Form_III_BalanceSheet!F15-Form_III_BalanceSheet!E15)</f>
        <v>0</v>
      </c>
      <c r="G13" s="41">
        <f>(Form_III_BalanceSheet!G15-Form_III_BalanceSheet!F15)</f>
        <v>0</v>
      </c>
    </row>
    <row r="14" spans="1:8" ht="15" customHeight="1" x14ac:dyDescent="0.25">
      <c r="B14" s="42" t="s">
        <v>413</v>
      </c>
      <c r="C14" s="38">
        <f>Repayment!C7</f>
        <v>100840.33613445378</v>
      </c>
      <c r="D14" s="38">
        <f>Repayment!D7</f>
        <v>100840.33613445378</v>
      </c>
      <c r="E14" s="38">
        <f>Repayment!E7</f>
        <v>100840.33613445378</v>
      </c>
      <c r="F14" s="38">
        <f>Repayment!F7</f>
        <v>100840.33613445378</v>
      </c>
      <c r="G14" s="38">
        <f>Repayment!G7</f>
        <v>100840.33613445378</v>
      </c>
    </row>
    <row r="15" spans="1:8" ht="15" customHeight="1" x14ac:dyDescent="0.25">
      <c r="B15" s="42" t="s">
        <v>414</v>
      </c>
      <c r="C15" s="41">
        <f>(Form_III_BalanceSheet!C18+Form_III_BalanceSheet!C19+Form_III_BalanceSheet!C20)</f>
        <v>11591121.307701167</v>
      </c>
      <c r="D15" s="41">
        <f>((Form_III_BalanceSheet!D18+Form_III_BalanceSheet!D19+Form_III_BalanceSheet!D20)-(Form_III_BalanceSheet!C18+Form_III_BalanceSheet!C19+Form_III_BalanceSheet!C20))</f>
        <v>8231692.1485553123</v>
      </c>
      <c r="E15" s="41">
        <f>((Form_III_BalanceSheet!E18+Form_III_BalanceSheet!E19+Form_III_BalanceSheet!E20)-(Form_III_BalanceSheet!D18+Form_III_BalanceSheet!D19+Form_III_BalanceSheet!D20))</f>
        <v>9270890.5837930329</v>
      </c>
      <c r="F15" s="41">
        <f>((Form_III_BalanceSheet!F18+Form_III_BalanceSheet!F19+Form_III_BalanceSheet!F20)-(Form_III_BalanceSheet!E18+Form_III_BalanceSheet!E19+Form_III_BalanceSheet!E20))</f>
        <v>10345784.174809504</v>
      </c>
      <c r="G15" s="41">
        <f>((Form_III_BalanceSheet!G18+Form_III_BalanceSheet!G19+Form_III_BalanceSheet!G20)-(Form_III_BalanceSheet!F18+Form_III_BalanceSheet!F19+Form_III_BalanceSheet!F20))</f>
        <v>11455673.385271661</v>
      </c>
    </row>
    <row r="16" spans="1:8" ht="15" customHeight="1" x14ac:dyDescent="0.25">
      <c r="B16" s="35" t="s">
        <v>415</v>
      </c>
      <c r="C16" s="37">
        <f>SUM(C13:C15)</f>
        <v>17891961.643835619</v>
      </c>
      <c r="D16" s="37">
        <f>SUM(D13:D15)</f>
        <v>8332532.4846897665</v>
      </c>
      <c r="E16" s="37">
        <f>SUM(E13:E15)</f>
        <v>9371730.9199274871</v>
      </c>
      <c r="F16" s="37">
        <f>SUM(F13:F15)</f>
        <v>10446624.510943959</v>
      </c>
      <c r="G16" s="37">
        <f>SUM(G13:G15)</f>
        <v>11556513.721406115</v>
      </c>
    </row>
    <row r="17" spans="2:7" ht="15" customHeight="1" x14ac:dyDescent="0.25">
      <c r="B17" s="35" t="s">
        <v>416</v>
      </c>
      <c r="C17" s="37">
        <f>C11-C16</f>
        <v>0</v>
      </c>
      <c r="D17" s="37">
        <f>D11-D16</f>
        <v>0</v>
      </c>
      <c r="E17" s="37">
        <f>E11-E16</f>
        <v>0</v>
      </c>
      <c r="F17" s="37">
        <f>F11-F16</f>
        <v>0</v>
      </c>
      <c r="G17" s="37">
        <f>G11-G16</f>
        <v>0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4">
    <mergeCell ref="A1:H1"/>
    <mergeCell ref="A2:H2"/>
    <mergeCell ref="B5:H5"/>
    <mergeCell ref="B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417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418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5" customHeight="1" x14ac:dyDescent="0.25">
      <c r="B5" s="13" t="s">
        <v>419</v>
      </c>
      <c r="C5" s="41">
        <f>Assumptions!$C$8</f>
        <v>6000000</v>
      </c>
      <c r="D5" s="41">
        <f>C8</f>
        <v>5899159.6638655458</v>
      </c>
      <c r="E5" s="41">
        <f>D8</f>
        <v>5798319.3277310915</v>
      </c>
      <c r="F5" s="41">
        <f>E8</f>
        <v>5697478.9915966373</v>
      </c>
      <c r="G5" s="41">
        <f>F8</f>
        <v>5596638.6554621831</v>
      </c>
    </row>
    <row r="6" spans="1:8" ht="15" customHeight="1" x14ac:dyDescent="0.25">
      <c r="B6" s="13" t="s">
        <v>420</v>
      </c>
      <c r="C6" s="41">
        <f>C5*Assumptions!$C$10</f>
        <v>630000</v>
      </c>
      <c r="D6" s="41">
        <f>D5*Assumptions!$C$10</f>
        <v>619411.76470588229</v>
      </c>
      <c r="E6" s="41">
        <f>E5*Assumptions!$C$10</f>
        <v>608823.52941176458</v>
      </c>
      <c r="F6" s="41">
        <f>F5*Assumptions!$C$10</f>
        <v>598235.29411764687</v>
      </c>
      <c r="G6" s="41">
        <f>G5*Assumptions!$C$10</f>
        <v>587647.05882352917</v>
      </c>
    </row>
    <row r="7" spans="1:8" ht="15" customHeight="1" x14ac:dyDescent="0.25">
      <c r="B7" s="13" t="s">
        <v>421</v>
      </c>
      <c r="C7" s="41">
        <f>IF(1&lt;=Assumptions!$C$12/12,0,MIN(C5,IFERROR(Assumptions!$C$8/(Assumptions!$C$11-Assumptions!$C$12/12),0)))</f>
        <v>100840.33613445378</v>
      </c>
      <c r="D7" s="41">
        <f>IF(2&lt;=Assumptions!$C$12/12,0,MIN(D5,IFERROR(Assumptions!$C$8/(Assumptions!$C$11-Assumptions!$C$12/12),0)))</f>
        <v>100840.33613445378</v>
      </c>
      <c r="E7" s="41">
        <f>IF(3&lt;=Assumptions!$C$12/12,0,MIN(E5,IFERROR(Assumptions!$C$8/(Assumptions!$C$11-Assumptions!$C$12/12),0)))</f>
        <v>100840.33613445378</v>
      </c>
      <c r="F7" s="41">
        <f>IF(4&lt;=Assumptions!$C$12/12,0,MIN(F5,IFERROR(Assumptions!$C$8/(Assumptions!$C$11-Assumptions!$C$12/12),0)))</f>
        <v>100840.33613445378</v>
      </c>
      <c r="G7" s="41">
        <f>IF(5&lt;=Assumptions!$C$12/12,0,MIN(G5,IFERROR(Assumptions!$C$8/(Assumptions!$C$11-Assumptions!$C$12/12),0)))</f>
        <v>100840.33613445378</v>
      </c>
    </row>
    <row r="8" spans="1:8" ht="15" customHeight="1" x14ac:dyDescent="0.25">
      <c r="B8" s="35" t="s">
        <v>422</v>
      </c>
      <c r="C8" s="37">
        <f>C5-C7</f>
        <v>5899159.6638655458</v>
      </c>
      <c r="D8" s="37">
        <f>D5-D7</f>
        <v>5798319.3277310915</v>
      </c>
      <c r="E8" s="37">
        <f>E5-E7</f>
        <v>5697478.9915966373</v>
      </c>
      <c r="F8" s="37">
        <f>F5-F7</f>
        <v>5596638.6554621831</v>
      </c>
      <c r="G8" s="37">
        <f>G5-G7</f>
        <v>5495798.3193277288</v>
      </c>
    </row>
    <row r="10" spans="1:8" ht="15" customHeight="1" x14ac:dyDescent="0.25">
      <c r="B10" s="15" t="s">
        <v>423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424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425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  <c r="H4" s="45" t="s">
        <v>426</v>
      </c>
    </row>
    <row r="5" spans="1:8" ht="16.5" customHeight="1" x14ac:dyDescent="0.25">
      <c r="B5" s="7" t="s">
        <v>427</v>
      </c>
      <c r="C5" s="7"/>
      <c r="D5" s="7"/>
      <c r="E5" s="7"/>
      <c r="F5" s="7"/>
      <c r="G5" s="7"/>
      <c r="H5" s="7"/>
    </row>
    <row r="6" spans="1:8" ht="15" customHeight="1" x14ac:dyDescent="0.25">
      <c r="B6" s="42" t="s">
        <v>360</v>
      </c>
      <c r="C6" s="38">
        <f>Annual_Summary!C26</f>
        <v>6016208.2191780852</v>
      </c>
      <c r="D6" s="38">
        <f>Annual_Summary!D26</f>
        <v>6990586.5942788096</v>
      </c>
      <c r="E6" s="38">
        <f>Annual_Summary!E26</f>
        <v>7999396.9610233726</v>
      </c>
      <c r="F6" s="38">
        <f>Annual_Summary!F26</f>
        <v>9042040.5789576583</v>
      </c>
      <c r="G6" s="38">
        <f>Annual_Summary!G26</f>
        <v>10117711.662606116</v>
      </c>
    </row>
    <row r="7" spans="1:8" ht="15" customHeight="1" x14ac:dyDescent="0.25">
      <c r="B7" s="42" t="s">
        <v>428</v>
      </c>
      <c r="C7" s="38">
        <f>Annual_Summary!C18</f>
        <v>919999.99999999988</v>
      </c>
      <c r="D7" s="38">
        <f>Annual_Summary!D18</f>
        <v>919999.99999999988</v>
      </c>
      <c r="E7" s="38">
        <f>Annual_Summary!E18</f>
        <v>919999.99999999988</v>
      </c>
      <c r="F7" s="38">
        <f>Annual_Summary!F18</f>
        <v>919999.99999999988</v>
      </c>
      <c r="G7" s="38">
        <f>Annual_Summary!G18</f>
        <v>919999.99999999988</v>
      </c>
    </row>
    <row r="8" spans="1:8" ht="15" customHeight="1" x14ac:dyDescent="0.25">
      <c r="B8" s="42" t="s">
        <v>429</v>
      </c>
      <c r="C8" s="38">
        <f>Repayment!C6</f>
        <v>630000</v>
      </c>
      <c r="D8" s="38">
        <f>Repayment!D6</f>
        <v>619411.76470588229</v>
      </c>
      <c r="E8" s="38">
        <f>Repayment!E6</f>
        <v>608823.52941176458</v>
      </c>
      <c r="F8" s="38">
        <f>Repayment!F6</f>
        <v>598235.29411764687</v>
      </c>
      <c r="G8" s="38">
        <f>Repayment!G6</f>
        <v>587647.05882352917</v>
      </c>
    </row>
    <row r="9" spans="1:8" ht="15" customHeight="1" x14ac:dyDescent="0.25">
      <c r="B9" s="35" t="s">
        <v>430</v>
      </c>
      <c r="C9" s="37">
        <f>C6+C7+C8</f>
        <v>7566208.2191780852</v>
      </c>
      <c r="D9" s="37">
        <f>D6+D7+D8</f>
        <v>8529998.358984692</v>
      </c>
      <c r="E9" s="37">
        <f>E6+E7+E8</f>
        <v>9528220.4904351365</v>
      </c>
      <c r="F9" s="37">
        <f>F6+F7+F8</f>
        <v>10560275.873075305</v>
      </c>
      <c r="G9" s="37">
        <f>G6+G7+G8</f>
        <v>11625358.721429646</v>
      </c>
    </row>
    <row r="10" spans="1:8" ht="16.5" customHeight="1" x14ac:dyDescent="0.25">
      <c r="B10" s="7" t="s">
        <v>431</v>
      </c>
      <c r="C10" s="7"/>
      <c r="D10" s="7"/>
      <c r="E10" s="7"/>
      <c r="F10" s="7"/>
      <c r="G10" s="7"/>
      <c r="H10" s="7"/>
    </row>
    <row r="11" spans="1:8" ht="15" customHeight="1" x14ac:dyDescent="0.25">
      <c r="B11" s="42" t="s">
        <v>421</v>
      </c>
      <c r="C11" s="38">
        <f>Repayment!C7</f>
        <v>100840.33613445378</v>
      </c>
      <c r="D11" s="38">
        <f>Repayment!D7</f>
        <v>100840.33613445378</v>
      </c>
      <c r="E11" s="38">
        <f>Repayment!E7</f>
        <v>100840.33613445378</v>
      </c>
      <c r="F11" s="38">
        <f>Repayment!F7</f>
        <v>100840.33613445378</v>
      </c>
      <c r="G11" s="38">
        <f>Repayment!G7</f>
        <v>100840.33613445378</v>
      </c>
    </row>
    <row r="12" spans="1:8" ht="15" customHeight="1" x14ac:dyDescent="0.25">
      <c r="B12" s="42" t="s">
        <v>432</v>
      </c>
      <c r="C12" s="38">
        <f>Repayment!C6</f>
        <v>630000</v>
      </c>
      <c r="D12" s="38">
        <f>Repayment!D6</f>
        <v>619411.76470588229</v>
      </c>
      <c r="E12" s="38">
        <f>Repayment!E6</f>
        <v>608823.52941176458</v>
      </c>
      <c r="F12" s="38">
        <f>Repayment!F6</f>
        <v>598235.29411764687</v>
      </c>
      <c r="G12" s="38">
        <f>Repayment!G6</f>
        <v>587647.05882352917</v>
      </c>
    </row>
    <row r="13" spans="1:8" ht="15" customHeight="1" x14ac:dyDescent="0.25">
      <c r="B13" s="35" t="s">
        <v>433</v>
      </c>
      <c r="C13" s="37">
        <f>C11+C12</f>
        <v>730840.33613445377</v>
      </c>
      <c r="D13" s="37">
        <f>D11+D12</f>
        <v>720252.10084033606</v>
      </c>
      <c r="E13" s="37">
        <f>E11+E12</f>
        <v>709663.86554621835</v>
      </c>
      <c r="F13" s="37">
        <f>F11+F12</f>
        <v>699075.63025210064</v>
      </c>
      <c r="G13" s="37">
        <f>G11+G12</f>
        <v>688487.39495798294</v>
      </c>
    </row>
    <row r="14" spans="1:8" ht="15" customHeight="1" x14ac:dyDescent="0.25">
      <c r="B14" s="35" t="s">
        <v>434</v>
      </c>
      <c r="C14" s="46">
        <f>IFERROR(C9/C13,0)</f>
        <v>10.352751271498128</v>
      </c>
      <c r="D14" s="46">
        <f>IFERROR(D9/D13,0)</f>
        <v>11.843073208717518</v>
      </c>
      <c r="E14" s="46">
        <f>IFERROR(E9/E13,0)</f>
        <v>13.426385297356797</v>
      </c>
      <c r="F14" s="46">
        <f>IFERROR(F9/F13,0)</f>
        <v>15.106056363697098</v>
      </c>
      <c r="G14" s="46">
        <f>IFERROR(G9/G13,0)</f>
        <v>16.885361746004254</v>
      </c>
      <c r="H14" s="46">
        <f>IFERROR(AVERAGE(C14:G14),0)</f>
        <v>13.522725577454759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4">
    <mergeCell ref="A1:H1"/>
    <mergeCell ref="A2:H2"/>
    <mergeCell ref="B5:H5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ABD2-AE07-40D6-82EF-DAD26F64B0B0}">
  <dimension ref="A1"/>
  <sheetViews>
    <sheetView workbookViewId="0">
      <selection activeCell="F23" sqref="F23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" customWidth="1"/>
    <col min="2" max="2" width="46" customWidth="1"/>
    <col min="3" max="8" width="15" customWidth="1"/>
  </cols>
  <sheetData>
    <row r="1" spans="1:8" ht="25.5" customHeight="1" x14ac:dyDescent="0.25">
      <c r="A1" s="9" t="s">
        <v>435</v>
      </c>
      <c r="B1" s="9"/>
      <c r="C1" s="9"/>
      <c r="D1" s="9"/>
      <c r="E1" s="9"/>
      <c r="F1" s="9"/>
      <c r="G1" s="9"/>
      <c r="H1" s="9"/>
    </row>
    <row r="2" spans="1:8" ht="15" customHeight="1" x14ac:dyDescent="0.25">
      <c r="A2" s="8" t="s">
        <v>436</v>
      </c>
      <c r="B2" s="8"/>
      <c r="C2" s="8"/>
      <c r="D2" s="8"/>
      <c r="E2" s="8"/>
      <c r="F2" s="8"/>
      <c r="G2" s="8"/>
      <c r="H2" s="8"/>
    </row>
    <row r="4" spans="1:8" ht="19.5" customHeight="1" x14ac:dyDescent="0.25">
      <c r="A4" s="43"/>
      <c r="B4" s="31" t="s">
        <v>255</v>
      </c>
      <c r="C4" s="30" t="s">
        <v>344</v>
      </c>
      <c r="D4" s="30" t="s">
        <v>345</v>
      </c>
      <c r="E4" s="30" t="s">
        <v>346</v>
      </c>
      <c r="F4" s="30" t="s">
        <v>347</v>
      </c>
      <c r="G4" s="30" t="s">
        <v>348</v>
      </c>
    </row>
    <row r="5" spans="1:8" ht="16.5" customHeight="1" x14ac:dyDescent="0.25">
      <c r="B5" s="7" t="s">
        <v>437</v>
      </c>
      <c r="C5" s="7"/>
      <c r="D5" s="7"/>
      <c r="E5" s="7"/>
      <c r="F5" s="7"/>
      <c r="G5" s="7"/>
      <c r="H5" s="7"/>
    </row>
    <row r="6" spans="1:8" ht="15" customHeight="1" x14ac:dyDescent="0.25">
      <c r="B6" s="35" t="s">
        <v>438</v>
      </c>
      <c r="C6" s="46">
        <f>IFERROR((Form_III_BalanceSheet!C18+Form_III_BalanceSheet!C19+Form_III_BalanceSheet!C20)/(Form_III_BalanceSheet!C11+Form_III_BalanceSheet!C12+Form_III_BalanceSheet!C10),0)</f>
        <v>3.3541517241930672</v>
      </c>
      <c r="D6" s="46">
        <f>IFERROR((Form_III_BalanceSheet!D18+Form_III_BalanceSheet!D19+Form_III_BalanceSheet!D20)/(Form_III_BalanceSheet!D11+Form_III_BalanceSheet!D12+Form_III_BalanceSheet!D10),0)</f>
        <v>5.1120037541916368</v>
      </c>
      <c r="E6" s="46">
        <f>IFERROR((Form_III_BalanceSheet!E18+Form_III_BalanceSheet!E19+Form_III_BalanceSheet!E20)/(Form_III_BalanceSheet!E11+Form_III_BalanceSheet!E12+Form_III_BalanceSheet!E10),0)</f>
        <v>6.7190486075312297</v>
      </c>
      <c r="F6" s="46">
        <f>IFERROR((Form_III_BalanceSheet!F18+Form_III_BalanceSheet!F19+Form_III_BalanceSheet!F20)/(Form_III_BalanceSheet!F11+Form_III_BalanceSheet!F12+Form_III_BalanceSheet!F10),0)</f>
        <v>8.1916145204744328</v>
      </c>
      <c r="G6" s="46">
        <f>IFERROR((Form_III_BalanceSheet!G18+Form_III_BalanceSheet!G19+Form_III_BalanceSheet!G20)/(Form_III_BalanceSheet!G11+Form_III_BalanceSheet!G12+Form_III_BalanceSheet!G10),0)</f>
        <v>9.5426890468607048</v>
      </c>
    </row>
    <row r="7" spans="1:8" ht="15" customHeight="1" x14ac:dyDescent="0.25">
      <c r="B7" s="13" t="s">
        <v>439</v>
      </c>
      <c r="C7" s="47">
        <f>IFERROR((Form_III_BalanceSheet!C9+Form_III_BalanceSheet!C10)/Form_III_BalanceSheet!C8,0)</f>
        <v>0.94937963375256373</v>
      </c>
      <c r="D7" s="47">
        <f>IFERROR((Form_III_BalanceSheet!D9+Form_III_BalanceSheet!D10)/Form_III_BalanceSheet!D8,0)</f>
        <v>0.49298991722639657</v>
      </c>
      <c r="E7" s="47">
        <f>IFERROR((Form_III_BalanceSheet!E9+Form_III_BalanceSheet!E10)/Form_III_BalanceSheet!E8,0)</f>
        <v>0.31871649052078288</v>
      </c>
      <c r="F7" s="47">
        <f>IFERROR((Form_III_BalanceSheet!F9+Form_III_BalanceSheet!F10)/Form_III_BalanceSheet!F8,0)</f>
        <v>0.22822311394539663</v>
      </c>
      <c r="G7" s="47">
        <f>IFERROR((Form_III_BalanceSheet!G9+Form_III_BalanceSheet!G10)/Form_III_BalanceSheet!G8,0)</f>
        <v>0.17358663811734201</v>
      </c>
    </row>
    <row r="8" spans="1:8" ht="15" customHeight="1" x14ac:dyDescent="0.25">
      <c r="B8" s="13" t="s">
        <v>440</v>
      </c>
      <c r="C8" s="47">
        <f>IFERROR((Form_III_BalanceSheet!C9+Form_III_BalanceSheet!C10+Form_III_BalanceSheet!C11+Form_III_BalanceSheet!C12)/Form_III_BalanceSheet!C8,0)</f>
        <v>1.2446319760878128</v>
      </c>
      <c r="D8" s="47">
        <f>IFERROR((Form_III_BalanceSheet!D9+Form_III_BalanceSheet!D10+Form_III_BalanceSheet!D11+Form_III_BalanceSheet!D12)/Form_III_BalanceSheet!D8,0)</f>
        <v>0.66699906955489918</v>
      </c>
      <c r="E8" s="47">
        <f>IFERROR((Form_III_BalanceSheet!E9+Form_III_BalanceSheet!E10+Form_III_BalanceSheet!E11+Form_III_BalanceSheet!E12)/Form_III_BalanceSheet!E8,0)</f>
        <v>0.44554460239423616</v>
      </c>
      <c r="F8" s="47">
        <f>IFERROR((Form_III_BalanceSheet!F9+Form_III_BalanceSheet!F10+Form_III_BalanceSheet!F11+Form_III_BalanceSheet!F12)/Form_III_BalanceSheet!F8,0)</f>
        <v>0.33001075130875079</v>
      </c>
      <c r="G8" s="47">
        <f>IFERROR((Form_III_BalanceSheet!G9+Form_III_BalanceSheet!G10+Form_III_BalanceSheet!G11+Form_III_BalanceSheet!G12)/Form_III_BalanceSheet!G8,0)</f>
        <v>0.25990572972297699</v>
      </c>
    </row>
    <row r="9" spans="1:8" ht="16.5" customHeight="1" x14ac:dyDescent="0.25">
      <c r="B9" s="7" t="s">
        <v>441</v>
      </c>
      <c r="C9" s="7"/>
      <c r="D9" s="7"/>
      <c r="E9" s="7"/>
      <c r="F9" s="7"/>
      <c r="G9" s="7"/>
      <c r="H9" s="7"/>
    </row>
    <row r="10" spans="1:8" ht="15" customHeight="1" x14ac:dyDescent="0.25">
      <c r="B10" s="13" t="s">
        <v>442</v>
      </c>
      <c r="C10" s="48">
        <f>IFERROR(Annual_Summary!C22/Annual_Summary!C8,0)</f>
        <v>0.27</v>
      </c>
      <c r="D10" s="48">
        <f>IFERROR(Annual_Summary!D22/Annual_Summary!D8,0)</f>
        <v>0.27176035502958579</v>
      </c>
      <c r="E10" s="48">
        <f>IFERROR(Annual_Summary!E22/Annual_Summary!E8,0)</f>
        <v>0.272342561284869</v>
      </c>
      <c r="F10" s="48">
        <f>IFERROR(Annual_Summary!F22/Annual_Summary!F8,0)</f>
        <v>0.2719676346059019</v>
      </c>
      <c r="G10" s="48">
        <f>IFERROR(Annual_Summary!G22/Annual_Summary!G8,0)</f>
        <v>0.27080110605422253</v>
      </c>
    </row>
    <row r="11" spans="1:8" ht="15" customHeight="1" x14ac:dyDescent="0.25">
      <c r="B11" s="13" t="s">
        <v>443</v>
      </c>
      <c r="C11" s="48">
        <f>IFERROR(Annual_Summary!C26/Annual_Summary!C8,0)</f>
        <v>0.167116894977169</v>
      </c>
      <c r="D11" s="48">
        <f>IFERROR(Annual_Summary!D26/Annual_Summary!D8,0)</f>
        <v>0.17235174049010868</v>
      </c>
      <c r="E11" s="48">
        <f>IFERROR(Annual_Summary!E26/Annual_Summary!E8,0)</f>
        <v>0.1760926704930828</v>
      </c>
      <c r="F11" s="48">
        <f>IFERROR(Annual_Summary!F26/Annual_Summary!F8,0)</f>
        <v>0.17862980332551123</v>
      </c>
      <c r="G11" s="48">
        <f>IFERROR(Annual_Summary!G26/Annual_Summary!G8,0)</f>
        <v>0.18018046526720916</v>
      </c>
    </row>
    <row r="12" spans="1:8" ht="15" customHeight="1" x14ac:dyDescent="0.25">
      <c r="B12" s="13" t="s">
        <v>444</v>
      </c>
      <c r="C12" s="48">
        <f>IFERROR(Annual_Summary!C23/(Form_III_BalanceSheet!C8+Form_III_BalanceSheet!C9),0)</f>
        <v>0.65596412090366685</v>
      </c>
      <c r="D12" s="48">
        <f>IFERROR(Annual_Summary!D23/(Form_III_BalanceSheet!D8+Form_III_BalanceSheet!D9),0)</f>
        <v>0.49753968038561019</v>
      </c>
      <c r="E12" s="48">
        <f>IFERROR(Annual_Summary!E23/(Form_III_BalanceSheet!E8+Form_III_BalanceSheet!E9),0)</f>
        <v>0.40603792658699123</v>
      </c>
      <c r="F12" s="48">
        <f>IFERROR(Annual_Summary!F23/(Form_III_BalanceSheet!F8+Form_III_BalanceSheet!F9),0)</f>
        <v>0.3458538611406638</v>
      </c>
      <c r="G12" s="48">
        <f>IFERROR(Annual_Summary!G23/(Form_III_BalanceSheet!G8+Form_III_BalanceSheet!G9),0)</f>
        <v>0.30292247290628843</v>
      </c>
    </row>
    <row r="13" spans="1:8" ht="16.5" customHeight="1" x14ac:dyDescent="0.25">
      <c r="B13" s="7" t="s">
        <v>445</v>
      </c>
      <c r="C13" s="7"/>
      <c r="D13" s="7"/>
      <c r="E13" s="7"/>
      <c r="F13" s="7"/>
      <c r="G13" s="7"/>
      <c r="H13" s="7"/>
    </row>
    <row r="14" spans="1:8" ht="15" customHeight="1" x14ac:dyDescent="0.25">
      <c r="B14" s="13" t="s">
        <v>446</v>
      </c>
      <c r="C14" s="47">
        <f>IFERROR(Annual_Summary!C23/(Annual_Summary!C19+Annual_Summary!C20),0)</f>
        <v>11.305400687052995</v>
      </c>
      <c r="D14" s="47">
        <f>IFERROR(Annual_Summary!D23/(Annual_Summary!D19+Annual_Summary!D20),0)</f>
        <v>12.921935315320031</v>
      </c>
      <c r="E14" s="47">
        <f>IFERROR(Annual_Summary!E23/(Annual_Summary!E19+Annual_Summary!E20),0)</f>
        <v>14.571571574317979</v>
      </c>
      <c r="F14" s="47">
        <f>IFERROR(Annual_Summary!F23/(Annual_Summary!F19+Annual_Summary!F20),0)</f>
        <v>16.248417801305475</v>
      </c>
      <c r="G14" s="47">
        <f>IFERROR(Annual_Summary!G23/(Annual_Summary!G19+Annual_Summary!G20),0)</f>
        <v>17.946113304742468</v>
      </c>
    </row>
    <row r="15" spans="1:8" ht="15" customHeight="1" x14ac:dyDescent="0.25">
      <c r="B15" s="35" t="s">
        <v>34</v>
      </c>
      <c r="C15" s="49">
        <f>DSCR!C14</f>
        <v>10.352751271498128</v>
      </c>
      <c r="D15" s="49">
        <f>DSCR!D14</f>
        <v>11.843073208717518</v>
      </c>
      <c r="E15" s="49">
        <f>DSCR!E14</f>
        <v>13.426385297356797</v>
      </c>
      <c r="F15" s="49">
        <f>DSCR!F14</f>
        <v>15.106056363697098</v>
      </c>
      <c r="G15" s="49">
        <f>DSCR!G14</f>
        <v>16.885361746004254</v>
      </c>
    </row>
    <row r="16" spans="1:8" ht="15" customHeight="1" x14ac:dyDescent="0.25">
      <c r="B16" s="13" t="s">
        <v>447</v>
      </c>
      <c r="C16" s="48">
        <f>IFERROR((Annual_Summary!C12+Annual_Summary!C14+Annual_Summary!C15+Annual_Summary!C16+Annual_Summary!C18+Annual_Summary!C19+Annual_Summary!C20)/(Annual_Summary!C8-(Annual_Summary!C10+Annual_Summary!C11+Annual_Summary!C13+Annual_Summary!C17)),0)</f>
        <v>0.4136249299046702</v>
      </c>
      <c r="D16" s="48">
        <f>IFERROR((Annual_Summary!D12+Annual_Summary!D14+Annual_Summary!D15+Annual_Summary!D16+Annual_Summary!D18+Annual_Summary!D19+Annual_Summary!D20)/(Annual_Summary!D8-(Annual_Summary!D10+Annual_Summary!D11+Annual_Summary!D13+Annual_Summary!D17)),0)</f>
        <v>0.3856184743454566</v>
      </c>
      <c r="E16" s="48">
        <f>IFERROR((Annual_Summary!E12+Annual_Summary!E14+Annual_Summary!E15+Annual_Summary!E16+Annual_Summary!E18+Annual_Summary!E19+Annual_Summary!E20)/(Annual_Summary!E8-(Annual_Summary!E10+Annual_Summary!E11+Annual_Summary!E13+Annual_Summary!E17)),0)</f>
        <v>0.36199782464549174</v>
      </c>
      <c r="F16" s="48">
        <f>IFERROR((Annual_Summary!F12+Annual_Summary!F14+Annual_Summary!F15+Annual_Summary!F16+Annual_Summary!F18+Annual_Summary!F19+Annual_Summary!F20)/(Annual_Summary!F8-(Annual_Summary!F10+Annual_Summary!F11+Annual_Summary!F13+Annual_Summary!F17)),0)</f>
        <v>0.34189838127560396</v>
      </c>
      <c r="G16" s="48">
        <f>IFERROR((Annual_Summary!G12+Annual_Summary!G14+Annual_Summary!G15+Annual_Summary!G16+Annual_Summary!G18+Annual_Summary!G19+Annual_Summary!G20)/(Annual_Summary!G8-(Annual_Summary!G10+Annual_Summary!G11+Annual_Summary!G13+Annual_Summary!G17)),0)</f>
        <v>0.32467328819278884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5">
    <mergeCell ref="A1:H1"/>
    <mergeCell ref="A2:H2"/>
    <mergeCell ref="B5:H5"/>
    <mergeCell ref="B9:H9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Assumptions</vt:lpstr>
      <vt:lpstr>Production</vt:lpstr>
      <vt:lpstr>Sales</vt:lpstr>
      <vt:lpstr>Expenses</vt:lpstr>
      <vt:lpstr>Profit</vt:lpstr>
      <vt:lpstr>Annual_Summary</vt:lpstr>
      <vt:lpstr>Form_II_Operating</vt:lpstr>
      <vt:lpstr>Form_III_BalanceSheet</vt:lpstr>
      <vt:lpstr>Form_IV_CA_CL</vt:lpstr>
      <vt:lpstr>Form_V_MPBF</vt:lpstr>
      <vt:lpstr>Form_VI_FundFlow</vt:lpstr>
      <vt:lpstr>Repayment</vt:lpstr>
      <vt:lpstr>DSCR</vt:lpstr>
      <vt:lpstr>Sheet1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Infocresst Team</cp:lastModifiedBy>
  <cp:revision>0</cp:revision>
  <dcterms:created xsi:type="dcterms:W3CDTF">2026-07-08T12:09:24Z</dcterms:created>
  <dcterms:modified xsi:type="dcterms:W3CDTF">2026-07-11T09:34:21Z</dcterms:modified>
  <dc:language>en-US</dc:language>
</cp:coreProperties>
</file>