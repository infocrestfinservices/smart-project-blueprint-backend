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<sst xmlns="http://schemas.openxmlformats.org/spreadsheetml/2006/main" count="832" uniqueCount="471">
  <si>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</si>
  <si>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</si>
  <si>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</si>
  <si>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</si>
  <si>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</si>
  <si>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</si>
  <si>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</si>
  <si>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</si>
  <si>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</si>
  <si>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</si>
  <si>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</si>
  <si>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</si>
  <si>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</si>
  <si>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</si>
  <si>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</si>
  <si>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</si>
  <si>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</si>
  <si>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</si>
  <si>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</si>
  <si>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</si>
  <si>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</si>
  <si>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</si>
  <si>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</si>
  <si>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</si>
  <si>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</si>
  <si>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</si>
  <si>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</si>
  <si>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</si>
  <si>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</si>
  <si>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</si>
  <si>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</si>
  <si>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</si>
  <si>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</si>
  <si>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</si>
  <si>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</si>
  <si>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</si>
  <si>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</si>
  <si>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</si>
  <si>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</si>
  <si>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</si>
  <si>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</si>
  <si>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</si>
  <si>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</si>
  <si>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</si>
  <si>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</si>
  <si>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</si>
  <si>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</si>
  <si>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</si>
  <si>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</si>
  <si>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</si>
  <si>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</si>
  <si>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</si>
  <si>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</si>
  <si>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</si>
  <si>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</si>
  <si>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</si>
  <si>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</si>
  <si>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</si>
  <si>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</si>
  <si>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</si>
  <si>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</si>
  <si>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</si>
  <si>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</si>
  <si>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</si>
  <si>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</si>
  <si>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</si>
  <si>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</si>
  <si>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</si>
  <si>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</si>
  <si>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</si>
  <si>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</si>
  <si>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</si>
  <si>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</si>
  <si>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</si>
  <si>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</si>
  <si>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</si>
  <si>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</si>
  <si>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</si>
  <si>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SaaS Solutions Pvt Ltd</t>
  </si>
  <si>
    <t xml:space="preserve">INDUSTRY / BUSINESS TYPE  →</t>
  </si>
  <si>
    <t xml:space="preserve">Technology &amp; Software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</si>
  <si>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</si>
  <si>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</si>
  <si>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</si>
  <si>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</si>
  <si>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</si>
  <si>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</si>
  <si>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</si>
  <si>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</si>
  <si>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</si>
  <si>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Private Limited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</si>
  <si>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</si>
  <si>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</si>
  <si>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</si>
  <si>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</si>
  <si>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</si>
  <si>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</si>
  <si>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</si>
  <si>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</si>
  <si>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B2B SaaS subscription product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</si>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</sst>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46080000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51408000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57153600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63345240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70013160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13896000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15776400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17796348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19964060.52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22288154.5356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9831567.12328767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11293066.2465753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12857893.7978082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14532133.762537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16322166.4639049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0483670"/>
        <c:axId val="31087747"/>
      </c:lineChart>
      <c:catAx>
        <c:axId val="10483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087747"/>
        <c:crosses val="autoZero"/>
        <c:auto val="1"/>
        <c:lblAlgn val="ctr"/>
        <c:lblOffset val="100"/>
        <c:noMultiLvlLbl val="0"/>
      </c:catAx>
      <c:valAx>
        <c:axId val="310877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4836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7.90484754750331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9.63734883173474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11.7501033841855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14.3525058167206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33.5236421210734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4334842"/>
        <c:axId val="61269666"/>
      </c:lineChart>
      <c:catAx>
        <c:axId val="64334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269666"/>
        <c:crosses val="autoZero"/>
        <c:auto val="1"/>
        <c:lblAlgn val="ctr"/>
        <c:lblOffset val="100"/>
        <c:noMultiLvlLbl val="0"/>
      </c:catAx>
      <c:valAx>
        <c:axId val="612696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334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5.1478710508067</c:v>
                </c:pt>
                <c:pt idx="1">
                  <c:v>0.496678798184393</c:v>
                </c:pt>
                <c:pt idx="2">
                  <c:v>0.3015625</c:v>
                </c:pt>
                <c:pt idx="3">
                  <c:v>0.21335866152968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14.9871050263909</c:v>
                </c:pt>
                <c:pt idx="1">
                  <c:v>0.0485542901514577</c:v>
                </c:pt>
                <c:pt idx="2">
                  <c:v>0.318342359287882</c:v>
                </c:pt>
                <c:pt idx="3">
                  <c:v>0.233129978191313</c:v>
                </c:pt>
              </c:numCache>
            </c:numRef>
          </c:val>
        </c:ser>
        <c:gapWidth val="60"/>
        <c:overlap val="0"/>
        <c:axId val="21545648"/>
        <c:axId val="41804965"/>
      </c:barChart>
      <c:catAx>
        <c:axId val="21545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04965"/>
        <c:crosses val="autoZero"/>
        <c:auto val="1"/>
        <c:lblAlgn val="ctr"/>
        <c:lblOffset val="100"/>
        <c:noMultiLvlLbl val="0"/>
      </c:catAx>
      <c:valAx>
        <c:axId val="41804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5456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Direct delivery cost</c:v>
                </c:pt>
                <c:pt idx="1">
                  <c:v>Infrastructure &amp; hosting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Operating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11520000</c:v>
                </c:pt>
                <c:pt idx="1">
                  <c:v>7680000</c:v>
                </c:pt>
                <c:pt idx="2">
                  <c:v>4800000</c:v>
                </c:pt>
                <c:pt idx="3">
                  <c:v>3840000</c:v>
                </c:pt>
                <c:pt idx="4">
                  <c:v>1200000</c:v>
                </c:pt>
                <c:pt idx="5">
                  <c:v>240000</c:v>
                </c:pt>
                <c:pt idx="6">
                  <c:v>600000</c:v>
                </c:pt>
                <c:pt idx="7">
                  <c:v>2304000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46762023"/>
        <c:axId val="26393584"/>
      </c:barChart>
      <c:catAx>
        <c:axId val="467620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93584"/>
        <c:crosses val="autoZero"/>
        <c:auto val="1"/>
        <c:lblAlgn val="ctr"/>
        <c:lblOffset val="100"/>
        <c:noMultiLvlLbl val="0"/>
      </c:catAx>
      <c:valAx>
        <c:axId val="263935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7620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SaaS Solutions Pvt Ltd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Private Limited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B2B SaaS subscription product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4000000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1000000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4000000</v>
      </c>
      <c r="C7" s="22"/>
      <c r="D7" s="22"/>
      <c r="F7" s="23" t="n">
        <f aca="false">Assumptions!C9</f>
        <v>1000000</v>
      </c>
      <c r="G7" s="23"/>
      <c r="H7" s="23"/>
      <c r="J7" s="24" t="n">
        <f aca="false">DSCR!H14</f>
        <v>15.4336895402435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0.3015625</v>
      </c>
      <c r="C12" s="28"/>
      <c r="D12" s="28"/>
      <c r="F12" s="29" t="n">
        <f aca="false">Ratios!C11</f>
        <v>0.21335866152968</v>
      </c>
      <c r="G12" s="29"/>
      <c r="H12" s="29"/>
      <c r="J12" s="30" t="n">
        <f aca="false">Ratios!C16</f>
        <v>0.367826188060206</v>
      </c>
      <c r="K12" s="30"/>
      <c r="L12" s="30"/>
      <c r="N12" s="31" t="n">
        <f aca="false">Ratios!C6</f>
        <v>5.1478710508067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46080000</v>
      </c>
      <c r="C56" s="34"/>
      <c r="D56" s="34"/>
      <c r="F56" s="35" t="n">
        <f aca="false">INDEX(Annual_Summary!C22:G22,1,$D$52)</f>
        <v>13896000</v>
      </c>
      <c r="G56" s="35"/>
      <c r="H56" s="35"/>
      <c r="J56" s="36" t="n">
        <f aca="false">INDEX(Annual_Summary!C26:G26,1,$D$52)</f>
        <v>9831567.12328767</v>
      </c>
      <c r="K56" s="36"/>
      <c r="L56" s="36"/>
      <c r="N56" s="37" t="n">
        <f aca="false">INDEX(DSCR!C14:G14,1,$D$52)</f>
        <v>7.90484754750331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0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30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5.1478710508067</v>
      </c>
      <c r="D97" s="40" t="n">
        <f aca="false">Ratios!G6</f>
        <v>14.9871050263909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0.496678798184393</v>
      </c>
      <c r="D98" s="40" t="n">
        <f aca="false">Ratios!G7</f>
        <v>0.0485542901514577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0.3015625</v>
      </c>
      <c r="D99" s="41" t="n">
        <f aca="false">Ratios!G10</f>
        <v>0.318342359287882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0.21335866152968</v>
      </c>
      <c r="D100" s="41" t="n">
        <f aca="false">Ratios!G11</f>
        <v>0.233129978191313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80</v>
      </c>
      <c r="T6" s="1" t="s">
        <v>91</v>
      </c>
      <c r="U6" s="1" t="s">
        <v>92</v>
      </c>
      <c r="V6" s="1" t="s">
        <v>93</v>
      </c>
      <c r="W6" s="1" t="s">
        <v>94</v>
      </c>
      <c r="X6" s="1" t="s">
        <v>95</v>
      </c>
      <c r="Y6" s="1" t="s">
        <v>96</v>
      </c>
      <c r="Z6" s="1" t="s">
        <v>97</v>
      </c>
    </row>
    <row r="7" customFormat="false" ht="15" hidden="false" customHeight="true" outlineLevel="0" collapsed="false">
      <c r="B7" s="7" t="s">
        <v>98</v>
      </c>
      <c r="C7" s="46" t="s">
        <v>99</v>
      </c>
      <c r="H7" s="47"/>
      <c r="S7" s="1" t="s">
        <v>100</v>
      </c>
      <c r="T7" s="1" t="s">
        <v>101</v>
      </c>
      <c r="U7" s="1" t="s">
        <v>102</v>
      </c>
      <c r="V7" s="1" t="s">
        <v>103</v>
      </c>
      <c r="W7" s="1" t="s">
        <v>104</v>
      </c>
      <c r="X7" s="1" t="s">
        <v>105</v>
      </c>
      <c r="Y7" s="1" t="s">
        <v>106</v>
      </c>
      <c r="Z7" s="1" t="s">
        <v>107</v>
      </c>
    </row>
    <row r="8" customFormat="false" ht="15" hidden="false" customHeight="true" outlineLevel="0" collapsed="false">
      <c r="B8" s="7" t="s">
        <v>108</v>
      </c>
      <c r="C8" s="50" t="n">
        <v>4000000</v>
      </c>
      <c r="H8" s="47" t="s">
        <v>109</v>
      </c>
      <c r="S8" s="1" t="s">
        <v>110</v>
      </c>
      <c r="T8" s="1" t="s">
        <v>111</v>
      </c>
      <c r="U8" s="1" t="s">
        <v>83</v>
      </c>
      <c r="V8" s="1" t="s">
        <v>112</v>
      </c>
      <c r="W8" s="1" t="s">
        <v>113</v>
      </c>
      <c r="X8" s="1" t="s">
        <v>86</v>
      </c>
      <c r="Y8" s="1" t="s">
        <v>87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1000000</v>
      </c>
      <c r="H9" s="47" t="s">
        <v>109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0.105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60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94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97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Service Delivery Capacity (billable hours/licenses p.a.)</v>
      </c>
      <c r="C16" s="50" t="n">
        <v>4800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0.8</v>
      </c>
      <c r="D18" s="54" t="n">
        <v>0.85</v>
      </c>
      <c r="E18" s="54" t="n">
        <v>0.9</v>
      </c>
      <c r="F18" s="54" t="n">
        <v>0.95</v>
      </c>
      <c r="G18" s="54" t="n">
        <v>1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0.083</v>
      </c>
      <c r="D21" s="55" t="n">
        <v>0.083</v>
      </c>
      <c r="E21" s="55" t="n">
        <v>0.083</v>
      </c>
      <c r="F21" s="55" t="n">
        <v>0.083</v>
      </c>
      <c r="G21" s="55" t="n">
        <v>0.083</v>
      </c>
      <c r="H21" s="55" t="n">
        <v>0.083</v>
      </c>
      <c r="I21" s="55" t="n">
        <v>0.083</v>
      </c>
      <c r="J21" s="55" t="n">
        <v>0.083</v>
      </c>
      <c r="K21" s="55" t="n">
        <v>0.083</v>
      </c>
      <c r="L21" s="55" t="n">
        <v>0.083</v>
      </c>
      <c r="M21" s="55" t="n">
        <v>0.083</v>
      </c>
      <c r="N21" s="55" t="n">
        <v>0.083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12000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0.05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Direct delivery cost per unit (Year 1)</v>
      </c>
      <c r="C25" s="56" t="n">
        <v>3000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0.06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Infrastructure &amp; hosting cost per unit (Year 1)</v>
      </c>
      <c r="C27" s="56" t="n">
        <v>2000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0.05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1000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0.04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400000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0.07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100000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20000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50000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0.05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0.05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0</v>
      </c>
      <c r="H42" s="47" t="s">
        <v>109</v>
      </c>
    </row>
    <row r="43" customFormat="false" ht="15" hidden="false" customHeight="true" outlineLevel="0" collapsed="false">
      <c r="B43" s="7" t="s">
        <v>261</v>
      </c>
      <c r="C43" s="50" t="n">
        <v>0</v>
      </c>
      <c r="H43" s="47" t="s">
        <v>109</v>
      </c>
    </row>
    <row r="44" customFormat="false" ht="15" hidden="false" customHeight="true" outlineLevel="0" collapsed="false">
      <c r="B44" s="7" t="s">
        <v>262</v>
      </c>
      <c r="C44" s="54" t="n">
        <v>0.1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500000</v>
      </c>
      <c r="H45" s="47" t="s">
        <v>109</v>
      </c>
    </row>
    <row r="46" customFormat="false" ht="15" hidden="false" customHeight="true" outlineLevel="0" collapsed="false">
      <c r="B46" s="7" t="s">
        <v>264</v>
      </c>
      <c r="C46" s="54" t="n">
        <v>0.15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200000</v>
      </c>
      <c r="H47" s="47" t="s">
        <v>109</v>
      </c>
    </row>
    <row r="48" customFormat="false" ht="15" hidden="false" customHeight="true" outlineLevel="0" collapsed="false">
      <c r="B48" s="7" t="s">
        <v>266</v>
      </c>
      <c r="C48" s="54" t="n">
        <v>0.1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0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0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30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30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500000</v>
      </c>
      <c r="H54" s="47" t="s">
        <v>109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0.8</v>
      </c>
      <c r="C5" s="62" t="n">
        <f aca="false">Assumptions!$C$18</f>
        <v>0.8</v>
      </c>
      <c r="D5" s="62" t="n">
        <f aca="false">Assumptions!$C$18</f>
        <v>0.8</v>
      </c>
      <c r="E5" s="62" t="n">
        <f aca="false">Assumptions!$C$18</f>
        <v>0.8</v>
      </c>
      <c r="F5" s="62" t="n">
        <f aca="false">Assumptions!$C$18</f>
        <v>0.8</v>
      </c>
      <c r="G5" s="62" t="n">
        <f aca="false">Assumptions!$C$18</f>
        <v>0.8</v>
      </c>
      <c r="H5" s="62" t="n">
        <f aca="false">Assumptions!$C$18</f>
        <v>0.8</v>
      </c>
      <c r="I5" s="62" t="n">
        <f aca="false">Assumptions!$C$18</f>
        <v>0.8</v>
      </c>
      <c r="J5" s="62" t="n">
        <f aca="false">Assumptions!$C$18</f>
        <v>0.8</v>
      </c>
      <c r="K5" s="62" t="n">
        <f aca="false">Assumptions!$C$18</f>
        <v>0.8</v>
      </c>
      <c r="L5" s="62" t="n">
        <f aca="false">Assumptions!$C$18</f>
        <v>0.8</v>
      </c>
      <c r="M5" s="62" t="n">
        <f aca="false">Assumptions!$C$18</f>
        <v>0.8</v>
      </c>
      <c r="N5" s="63" t="n">
        <f aca="false">Assumptions!$C$18</f>
        <v>0.8</v>
      </c>
      <c r="O5" s="62" t="n">
        <f aca="false">Assumptions!$D$18</f>
        <v>0.85</v>
      </c>
      <c r="P5" s="62" t="n">
        <f aca="false">Assumptions!$D$18</f>
        <v>0.85</v>
      </c>
      <c r="Q5" s="62" t="n">
        <f aca="false">Assumptions!$D$18</f>
        <v>0.85</v>
      </c>
      <c r="R5" s="62" t="n">
        <f aca="false">Assumptions!$D$18</f>
        <v>0.85</v>
      </c>
      <c r="S5" s="62" t="n">
        <f aca="false">Assumptions!$D$18</f>
        <v>0.85</v>
      </c>
      <c r="T5" s="62" t="n">
        <f aca="false">Assumptions!$D$18</f>
        <v>0.85</v>
      </c>
      <c r="U5" s="62" t="n">
        <f aca="false">Assumptions!$D$18</f>
        <v>0.85</v>
      </c>
      <c r="V5" s="62" t="n">
        <f aca="false">Assumptions!$D$18</f>
        <v>0.85</v>
      </c>
      <c r="W5" s="62" t="n">
        <f aca="false">Assumptions!$D$18</f>
        <v>0.85</v>
      </c>
      <c r="X5" s="62" t="n">
        <f aca="false">Assumptions!$D$18</f>
        <v>0.85</v>
      </c>
      <c r="Y5" s="62" t="n">
        <f aca="false">Assumptions!$D$18</f>
        <v>0.85</v>
      </c>
      <c r="Z5" s="62" t="n">
        <f aca="false">Assumptions!$D$18</f>
        <v>0.85</v>
      </c>
      <c r="AA5" s="63" t="n">
        <f aca="false">Assumptions!$D$18</f>
        <v>0.85</v>
      </c>
      <c r="AB5" s="62" t="n">
        <f aca="false">Assumptions!$E$18</f>
        <v>0.9</v>
      </c>
      <c r="AC5" s="62" t="n">
        <f aca="false">Assumptions!$E$18</f>
        <v>0.9</v>
      </c>
      <c r="AD5" s="62" t="n">
        <f aca="false">Assumptions!$E$18</f>
        <v>0.9</v>
      </c>
      <c r="AE5" s="62" t="n">
        <f aca="false">Assumptions!$E$18</f>
        <v>0.9</v>
      </c>
      <c r="AF5" s="62" t="n">
        <f aca="false">Assumptions!$E$18</f>
        <v>0.9</v>
      </c>
      <c r="AG5" s="62" t="n">
        <f aca="false">Assumptions!$E$18</f>
        <v>0.9</v>
      </c>
      <c r="AH5" s="62" t="n">
        <f aca="false">Assumptions!$E$18</f>
        <v>0.9</v>
      </c>
      <c r="AI5" s="62" t="n">
        <f aca="false">Assumptions!$E$18</f>
        <v>0.9</v>
      </c>
      <c r="AJ5" s="62" t="n">
        <f aca="false">Assumptions!$E$18</f>
        <v>0.9</v>
      </c>
      <c r="AK5" s="62" t="n">
        <f aca="false">Assumptions!$E$18</f>
        <v>0.9</v>
      </c>
      <c r="AL5" s="62" t="n">
        <f aca="false">Assumptions!$E$18</f>
        <v>0.9</v>
      </c>
      <c r="AM5" s="62" t="n">
        <f aca="false">Assumptions!$E$18</f>
        <v>0.9</v>
      </c>
      <c r="AN5" s="63" t="n">
        <f aca="false">Assumptions!$E$18</f>
        <v>0.9</v>
      </c>
      <c r="AO5" s="62" t="n">
        <f aca="false">Assumptions!$F$18</f>
        <v>0.95</v>
      </c>
      <c r="AP5" s="62" t="n">
        <f aca="false">Assumptions!$F$18</f>
        <v>0.95</v>
      </c>
      <c r="AQ5" s="62" t="n">
        <f aca="false">Assumptions!$F$18</f>
        <v>0.95</v>
      </c>
      <c r="AR5" s="62" t="n">
        <f aca="false">Assumptions!$F$18</f>
        <v>0.95</v>
      </c>
      <c r="AS5" s="62" t="n">
        <f aca="false">Assumptions!$F$18</f>
        <v>0.95</v>
      </c>
      <c r="AT5" s="62" t="n">
        <f aca="false">Assumptions!$F$18</f>
        <v>0.95</v>
      </c>
      <c r="AU5" s="62" t="n">
        <f aca="false">Assumptions!$F$18</f>
        <v>0.95</v>
      </c>
      <c r="AV5" s="62" t="n">
        <f aca="false">Assumptions!$F$18</f>
        <v>0.95</v>
      </c>
      <c r="AW5" s="62" t="n">
        <f aca="false">Assumptions!$F$18</f>
        <v>0.95</v>
      </c>
      <c r="AX5" s="62" t="n">
        <f aca="false">Assumptions!$F$18</f>
        <v>0.95</v>
      </c>
      <c r="AY5" s="62" t="n">
        <f aca="false">Assumptions!$F$18</f>
        <v>0.95</v>
      </c>
      <c r="AZ5" s="62" t="n">
        <f aca="false">Assumptions!$F$18</f>
        <v>0.95</v>
      </c>
      <c r="BA5" s="63" t="n">
        <f aca="false">Assumptions!$F$18</f>
        <v>0.95</v>
      </c>
      <c r="BB5" s="62" t="n">
        <f aca="false">Assumptions!$G$18</f>
        <v>1</v>
      </c>
      <c r="BC5" s="62" t="n">
        <f aca="false">Assumptions!$G$18</f>
        <v>1</v>
      </c>
      <c r="BD5" s="62" t="n">
        <f aca="false">Assumptions!$G$18</f>
        <v>1</v>
      </c>
      <c r="BE5" s="62" t="n">
        <f aca="false">Assumptions!$G$18</f>
        <v>1</v>
      </c>
      <c r="BF5" s="62" t="n">
        <f aca="false">Assumptions!$G$18</f>
        <v>1</v>
      </c>
      <c r="BG5" s="62" t="n">
        <f aca="false">Assumptions!$G$18</f>
        <v>1</v>
      </c>
      <c r="BH5" s="62" t="n">
        <f aca="false">Assumptions!$G$18</f>
        <v>1</v>
      </c>
      <c r="BI5" s="62" t="n">
        <f aca="false">Assumptions!$G$18</f>
        <v>1</v>
      </c>
      <c r="BJ5" s="62" t="n">
        <f aca="false">Assumptions!$G$18</f>
        <v>1</v>
      </c>
      <c r="BK5" s="62" t="n">
        <f aca="false">Assumptions!$G$18</f>
        <v>1</v>
      </c>
      <c r="BL5" s="62" t="n">
        <f aca="false">Assumptions!$G$18</f>
        <v>1</v>
      </c>
      <c r="BM5" s="62" t="n">
        <f aca="false">Assumptions!$G$18</f>
        <v>1</v>
      </c>
      <c r="BN5" s="63" t="n">
        <f aca="false">Assumptions!$G$18</f>
        <v>1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Service delivery (units)</v>
      </c>
      <c r="B6" s="65" t="n">
        <f aca="false">(Assumptions!$C$16*Assumptions!$C$18/12)*IF(SUM(Assumptions!$C$21:$N$21)=0,1,12*Assumptions!$C$21/SUM(Assumptions!$C$21:$N$21))</f>
        <v>320</v>
      </c>
      <c r="C6" s="65" t="n">
        <f aca="false">(Assumptions!$C$16*Assumptions!$C$18/12)*IF(SUM(Assumptions!$C$21:$N$21)=0,1,12*Assumptions!$D$21/SUM(Assumptions!$C$21:$N$21))</f>
        <v>320</v>
      </c>
      <c r="D6" s="65" t="n">
        <f aca="false">(Assumptions!$C$16*Assumptions!$C$18/12)*IF(SUM(Assumptions!$C$21:$N$21)=0,1,12*Assumptions!$E$21/SUM(Assumptions!$C$21:$N$21))</f>
        <v>320</v>
      </c>
      <c r="E6" s="65" t="n">
        <f aca="false">(Assumptions!$C$16*Assumptions!$C$18/12)*IF(SUM(Assumptions!$C$21:$N$21)=0,1,12*Assumptions!$F$21/SUM(Assumptions!$C$21:$N$21))</f>
        <v>320</v>
      </c>
      <c r="F6" s="65" t="n">
        <f aca="false">(Assumptions!$C$16*Assumptions!$C$18/12)*IF(SUM(Assumptions!$C$21:$N$21)=0,1,12*Assumptions!$G$21/SUM(Assumptions!$C$21:$N$21))</f>
        <v>320</v>
      </c>
      <c r="G6" s="65" t="n">
        <f aca="false">(Assumptions!$C$16*Assumptions!$C$18/12)*IF(SUM(Assumptions!$C$21:$N$21)=0,1,12*Assumptions!$H$21/SUM(Assumptions!$C$21:$N$21))</f>
        <v>320</v>
      </c>
      <c r="H6" s="65" t="n">
        <f aca="false">(Assumptions!$C$16*Assumptions!$C$18/12)*IF(SUM(Assumptions!$C$21:$N$21)=0,1,12*Assumptions!$I$21/SUM(Assumptions!$C$21:$N$21))</f>
        <v>320</v>
      </c>
      <c r="I6" s="65" t="n">
        <f aca="false">(Assumptions!$C$16*Assumptions!$C$18/12)*IF(SUM(Assumptions!$C$21:$N$21)=0,1,12*Assumptions!$J$21/SUM(Assumptions!$C$21:$N$21))</f>
        <v>320</v>
      </c>
      <c r="J6" s="65" t="n">
        <f aca="false">(Assumptions!$C$16*Assumptions!$C$18/12)*IF(SUM(Assumptions!$C$21:$N$21)=0,1,12*Assumptions!$K$21/SUM(Assumptions!$C$21:$N$21))</f>
        <v>320</v>
      </c>
      <c r="K6" s="65" t="n">
        <f aca="false">(Assumptions!$C$16*Assumptions!$C$18/12)*IF(SUM(Assumptions!$C$21:$N$21)=0,1,12*Assumptions!$L$21/SUM(Assumptions!$C$21:$N$21))</f>
        <v>320</v>
      </c>
      <c r="L6" s="65" t="n">
        <f aca="false">(Assumptions!$C$16*Assumptions!$C$18/12)*IF(SUM(Assumptions!$C$21:$N$21)=0,1,12*Assumptions!$M$21/SUM(Assumptions!$C$21:$N$21))</f>
        <v>320</v>
      </c>
      <c r="M6" s="65" t="n">
        <f aca="false">(Assumptions!$C$16*Assumptions!$C$18/12)*IF(SUM(Assumptions!$C$21:$N$21)=0,1,12*Assumptions!$N$21/SUM(Assumptions!$C$21:$N$21))</f>
        <v>320</v>
      </c>
      <c r="N6" s="66" t="n">
        <f aca="false">SUM(B6:M6)</f>
        <v>3840</v>
      </c>
      <c r="O6" s="65" t="n">
        <f aca="false">(Assumptions!$C$16*Assumptions!$D$18/12)*IF(SUM(Assumptions!$C$21:$N$21)=0,1,12*Assumptions!$C$21/SUM(Assumptions!$C$21:$N$21))</f>
        <v>340</v>
      </c>
      <c r="P6" s="65" t="n">
        <f aca="false">(Assumptions!$C$16*Assumptions!$D$18/12)*IF(SUM(Assumptions!$C$21:$N$21)=0,1,12*Assumptions!$D$21/SUM(Assumptions!$C$21:$N$21))</f>
        <v>340</v>
      </c>
      <c r="Q6" s="65" t="n">
        <f aca="false">(Assumptions!$C$16*Assumptions!$D$18/12)*IF(SUM(Assumptions!$C$21:$N$21)=0,1,12*Assumptions!$E$21/SUM(Assumptions!$C$21:$N$21))</f>
        <v>340</v>
      </c>
      <c r="R6" s="65" t="n">
        <f aca="false">(Assumptions!$C$16*Assumptions!$D$18/12)*IF(SUM(Assumptions!$C$21:$N$21)=0,1,12*Assumptions!$F$21/SUM(Assumptions!$C$21:$N$21))</f>
        <v>340</v>
      </c>
      <c r="S6" s="65" t="n">
        <f aca="false">(Assumptions!$C$16*Assumptions!$D$18/12)*IF(SUM(Assumptions!$C$21:$N$21)=0,1,12*Assumptions!$G$21/SUM(Assumptions!$C$21:$N$21))</f>
        <v>340</v>
      </c>
      <c r="T6" s="65" t="n">
        <f aca="false">(Assumptions!$C$16*Assumptions!$D$18/12)*IF(SUM(Assumptions!$C$21:$N$21)=0,1,12*Assumptions!$H$21/SUM(Assumptions!$C$21:$N$21))</f>
        <v>340</v>
      </c>
      <c r="U6" s="65" t="n">
        <f aca="false">(Assumptions!$C$16*Assumptions!$D$18/12)*IF(SUM(Assumptions!$C$21:$N$21)=0,1,12*Assumptions!$I$21/SUM(Assumptions!$C$21:$N$21))</f>
        <v>340</v>
      </c>
      <c r="V6" s="65" t="n">
        <f aca="false">(Assumptions!$C$16*Assumptions!$D$18/12)*IF(SUM(Assumptions!$C$21:$N$21)=0,1,12*Assumptions!$J$21/SUM(Assumptions!$C$21:$N$21))</f>
        <v>340</v>
      </c>
      <c r="W6" s="65" t="n">
        <f aca="false">(Assumptions!$C$16*Assumptions!$D$18/12)*IF(SUM(Assumptions!$C$21:$N$21)=0,1,12*Assumptions!$K$21/SUM(Assumptions!$C$21:$N$21))</f>
        <v>340</v>
      </c>
      <c r="X6" s="65" t="n">
        <f aca="false">(Assumptions!$C$16*Assumptions!$D$18/12)*IF(SUM(Assumptions!$C$21:$N$21)=0,1,12*Assumptions!$L$21/SUM(Assumptions!$C$21:$N$21))</f>
        <v>340</v>
      </c>
      <c r="Y6" s="65" t="n">
        <f aca="false">(Assumptions!$C$16*Assumptions!$D$18/12)*IF(SUM(Assumptions!$C$21:$N$21)=0,1,12*Assumptions!$M$21/SUM(Assumptions!$C$21:$N$21))</f>
        <v>340</v>
      </c>
      <c r="Z6" s="65" t="n">
        <f aca="false">(Assumptions!$C$16*Assumptions!$D$18/12)*IF(SUM(Assumptions!$C$21:$N$21)=0,1,12*Assumptions!$N$21/SUM(Assumptions!$C$21:$N$21))</f>
        <v>340</v>
      </c>
      <c r="AA6" s="66" t="n">
        <f aca="false">SUM(O6:Z6)</f>
        <v>4080</v>
      </c>
      <c r="AB6" s="65" t="n">
        <f aca="false">(Assumptions!$C$16*Assumptions!$E$18/12)*IF(SUM(Assumptions!$C$21:$N$21)=0,1,12*Assumptions!$C$21/SUM(Assumptions!$C$21:$N$21))</f>
        <v>360</v>
      </c>
      <c r="AC6" s="65" t="n">
        <f aca="false">(Assumptions!$C$16*Assumptions!$E$18/12)*IF(SUM(Assumptions!$C$21:$N$21)=0,1,12*Assumptions!$D$21/SUM(Assumptions!$C$21:$N$21))</f>
        <v>360</v>
      </c>
      <c r="AD6" s="65" t="n">
        <f aca="false">(Assumptions!$C$16*Assumptions!$E$18/12)*IF(SUM(Assumptions!$C$21:$N$21)=0,1,12*Assumptions!$E$21/SUM(Assumptions!$C$21:$N$21))</f>
        <v>360</v>
      </c>
      <c r="AE6" s="65" t="n">
        <f aca="false">(Assumptions!$C$16*Assumptions!$E$18/12)*IF(SUM(Assumptions!$C$21:$N$21)=0,1,12*Assumptions!$F$21/SUM(Assumptions!$C$21:$N$21))</f>
        <v>360</v>
      </c>
      <c r="AF6" s="65" t="n">
        <f aca="false">(Assumptions!$C$16*Assumptions!$E$18/12)*IF(SUM(Assumptions!$C$21:$N$21)=0,1,12*Assumptions!$G$21/SUM(Assumptions!$C$21:$N$21))</f>
        <v>360</v>
      </c>
      <c r="AG6" s="65" t="n">
        <f aca="false">(Assumptions!$C$16*Assumptions!$E$18/12)*IF(SUM(Assumptions!$C$21:$N$21)=0,1,12*Assumptions!$H$21/SUM(Assumptions!$C$21:$N$21))</f>
        <v>360</v>
      </c>
      <c r="AH6" s="65" t="n">
        <f aca="false">(Assumptions!$C$16*Assumptions!$E$18/12)*IF(SUM(Assumptions!$C$21:$N$21)=0,1,12*Assumptions!$I$21/SUM(Assumptions!$C$21:$N$21))</f>
        <v>360</v>
      </c>
      <c r="AI6" s="65" t="n">
        <f aca="false">(Assumptions!$C$16*Assumptions!$E$18/12)*IF(SUM(Assumptions!$C$21:$N$21)=0,1,12*Assumptions!$J$21/SUM(Assumptions!$C$21:$N$21))</f>
        <v>360</v>
      </c>
      <c r="AJ6" s="65" t="n">
        <f aca="false">(Assumptions!$C$16*Assumptions!$E$18/12)*IF(SUM(Assumptions!$C$21:$N$21)=0,1,12*Assumptions!$K$21/SUM(Assumptions!$C$21:$N$21))</f>
        <v>360</v>
      </c>
      <c r="AK6" s="65" t="n">
        <f aca="false">(Assumptions!$C$16*Assumptions!$E$18/12)*IF(SUM(Assumptions!$C$21:$N$21)=0,1,12*Assumptions!$L$21/SUM(Assumptions!$C$21:$N$21))</f>
        <v>360</v>
      </c>
      <c r="AL6" s="65" t="n">
        <f aca="false">(Assumptions!$C$16*Assumptions!$E$18/12)*IF(SUM(Assumptions!$C$21:$N$21)=0,1,12*Assumptions!$M$21/SUM(Assumptions!$C$21:$N$21))</f>
        <v>360</v>
      </c>
      <c r="AM6" s="65" t="n">
        <f aca="false">(Assumptions!$C$16*Assumptions!$E$18/12)*IF(SUM(Assumptions!$C$21:$N$21)=0,1,12*Assumptions!$N$21/SUM(Assumptions!$C$21:$N$21))</f>
        <v>360</v>
      </c>
      <c r="AN6" s="66" t="n">
        <f aca="false">SUM(AB6:AM6)</f>
        <v>4320</v>
      </c>
      <c r="AO6" s="65" t="n">
        <f aca="false">(Assumptions!$C$16*Assumptions!$F$18/12)*IF(SUM(Assumptions!$C$21:$N$21)=0,1,12*Assumptions!$C$21/SUM(Assumptions!$C$21:$N$21))</f>
        <v>380</v>
      </c>
      <c r="AP6" s="65" t="n">
        <f aca="false">(Assumptions!$C$16*Assumptions!$F$18/12)*IF(SUM(Assumptions!$C$21:$N$21)=0,1,12*Assumptions!$D$21/SUM(Assumptions!$C$21:$N$21))</f>
        <v>380</v>
      </c>
      <c r="AQ6" s="65" t="n">
        <f aca="false">(Assumptions!$C$16*Assumptions!$F$18/12)*IF(SUM(Assumptions!$C$21:$N$21)=0,1,12*Assumptions!$E$21/SUM(Assumptions!$C$21:$N$21))</f>
        <v>380</v>
      </c>
      <c r="AR6" s="65" t="n">
        <f aca="false">(Assumptions!$C$16*Assumptions!$F$18/12)*IF(SUM(Assumptions!$C$21:$N$21)=0,1,12*Assumptions!$F$21/SUM(Assumptions!$C$21:$N$21))</f>
        <v>380</v>
      </c>
      <c r="AS6" s="65" t="n">
        <f aca="false">(Assumptions!$C$16*Assumptions!$F$18/12)*IF(SUM(Assumptions!$C$21:$N$21)=0,1,12*Assumptions!$G$21/SUM(Assumptions!$C$21:$N$21))</f>
        <v>380</v>
      </c>
      <c r="AT6" s="65" t="n">
        <f aca="false">(Assumptions!$C$16*Assumptions!$F$18/12)*IF(SUM(Assumptions!$C$21:$N$21)=0,1,12*Assumptions!$H$21/SUM(Assumptions!$C$21:$N$21))</f>
        <v>380</v>
      </c>
      <c r="AU6" s="65" t="n">
        <f aca="false">(Assumptions!$C$16*Assumptions!$F$18/12)*IF(SUM(Assumptions!$C$21:$N$21)=0,1,12*Assumptions!$I$21/SUM(Assumptions!$C$21:$N$21))</f>
        <v>380</v>
      </c>
      <c r="AV6" s="65" t="n">
        <f aca="false">(Assumptions!$C$16*Assumptions!$F$18/12)*IF(SUM(Assumptions!$C$21:$N$21)=0,1,12*Assumptions!$J$21/SUM(Assumptions!$C$21:$N$21))</f>
        <v>380</v>
      </c>
      <c r="AW6" s="65" t="n">
        <f aca="false">(Assumptions!$C$16*Assumptions!$F$18/12)*IF(SUM(Assumptions!$C$21:$N$21)=0,1,12*Assumptions!$K$21/SUM(Assumptions!$C$21:$N$21))</f>
        <v>380</v>
      </c>
      <c r="AX6" s="65" t="n">
        <f aca="false">(Assumptions!$C$16*Assumptions!$F$18/12)*IF(SUM(Assumptions!$C$21:$N$21)=0,1,12*Assumptions!$L$21/SUM(Assumptions!$C$21:$N$21))</f>
        <v>380</v>
      </c>
      <c r="AY6" s="65" t="n">
        <f aca="false">(Assumptions!$C$16*Assumptions!$F$18/12)*IF(SUM(Assumptions!$C$21:$N$21)=0,1,12*Assumptions!$M$21/SUM(Assumptions!$C$21:$N$21))</f>
        <v>380</v>
      </c>
      <c r="AZ6" s="65" t="n">
        <f aca="false">(Assumptions!$C$16*Assumptions!$F$18/12)*IF(SUM(Assumptions!$C$21:$N$21)=0,1,12*Assumptions!$N$21/SUM(Assumptions!$C$21:$N$21))</f>
        <v>380</v>
      </c>
      <c r="BA6" s="66" t="n">
        <f aca="false">SUM(AO6:AZ6)</f>
        <v>4560</v>
      </c>
      <c r="BB6" s="65" t="n">
        <f aca="false">(Assumptions!$C$16*Assumptions!$G$18/12)*IF(SUM(Assumptions!$C$21:$N$21)=0,1,12*Assumptions!$C$21/SUM(Assumptions!$C$21:$N$21))</f>
        <v>400</v>
      </c>
      <c r="BC6" s="65" t="n">
        <f aca="false">(Assumptions!$C$16*Assumptions!$G$18/12)*IF(SUM(Assumptions!$C$21:$N$21)=0,1,12*Assumptions!$D$21/SUM(Assumptions!$C$21:$N$21))</f>
        <v>400</v>
      </c>
      <c r="BD6" s="65" t="n">
        <f aca="false">(Assumptions!$C$16*Assumptions!$G$18/12)*IF(SUM(Assumptions!$C$21:$N$21)=0,1,12*Assumptions!$E$21/SUM(Assumptions!$C$21:$N$21))</f>
        <v>400</v>
      </c>
      <c r="BE6" s="65" t="n">
        <f aca="false">(Assumptions!$C$16*Assumptions!$G$18/12)*IF(SUM(Assumptions!$C$21:$N$21)=0,1,12*Assumptions!$F$21/SUM(Assumptions!$C$21:$N$21))</f>
        <v>400</v>
      </c>
      <c r="BF6" s="65" t="n">
        <f aca="false">(Assumptions!$C$16*Assumptions!$G$18/12)*IF(SUM(Assumptions!$C$21:$N$21)=0,1,12*Assumptions!$G$21/SUM(Assumptions!$C$21:$N$21))</f>
        <v>400</v>
      </c>
      <c r="BG6" s="65" t="n">
        <f aca="false">(Assumptions!$C$16*Assumptions!$G$18/12)*IF(SUM(Assumptions!$C$21:$N$21)=0,1,12*Assumptions!$H$21/SUM(Assumptions!$C$21:$N$21))</f>
        <v>400</v>
      </c>
      <c r="BH6" s="65" t="n">
        <f aca="false">(Assumptions!$C$16*Assumptions!$G$18/12)*IF(SUM(Assumptions!$C$21:$N$21)=0,1,12*Assumptions!$I$21/SUM(Assumptions!$C$21:$N$21))</f>
        <v>400</v>
      </c>
      <c r="BI6" s="65" t="n">
        <f aca="false">(Assumptions!$C$16*Assumptions!$G$18/12)*IF(SUM(Assumptions!$C$21:$N$21)=0,1,12*Assumptions!$J$21/SUM(Assumptions!$C$21:$N$21))</f>
        <v>400</v>
      </c>
      <c r="BJ6" s="65" t="n">
        <f aca="false">(Assumptions!$C$16*Assumptions!$G$18/12)*IF(SUM(Assumptions!$C$21:$N$21)=0,1,12*Assumptions!$K$21/SUM(Assumptions!$C$21:$N$21))</f>
        <v>400</v>
      </c>
      <c r="BK6" s="65" t="n">
        <f aca="false">(Assumptions!$C$16*Assumptions!$G$18/12)*IF(SUM(Assumptions!$C$21:$N$21)=0,1,12*Assumptions!$L$21/SUM(Assumptions!$C$21:$N$21))</f>
        <v>400</v>
      </c>
      <c r="BL6" s="65" t="n">
        <f aca="false">(Assumptions!$C$16*Assumptions!$G$18/12)*IF(SUM(Assumptions!$C$21:$N$21)=0,1,12*Assumptions!$M$21/SUM(Assumptions!$C$21:$N$21))</f>
        <v>400</v>
      </c>
      <c r="BM6" s="65" t="n">
        <f aca="false">(Assumptions!$C$16*Assumptions!$G$18/12)*IF(SUM(Assumptions!$C$21:$N$21)=0,1,12*Assumptions!$N$21/SUM(Assumptions!$C$21:$N$21))</f>
        <v>400</v>
      </c>
      <c r="BN6" s="66" t="n">
        <f aca="false">SUM(BB6:BM6)</f>
        <v>4800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320</v>
      </c>
      <c r="C5" s="67" t="n">
        <f aca="false">Production!C6</f>
        <v>320</v>
      </c>
      <c r="D5" s="67" t="n">
        <f aca="false">Production!D6</f>
        <v>320</v>
      </c>
      <c r="E5" s="67" t="n">
        <f aca="false">Production!E6</f>
        <v>320</v>
      </c>
      <c r="F5" s="67" t="n">
        <f aca="false">Production!F6</f>
        <v>320</v>
      </c>
      <c r="G5" s="67" t="n">
        <f aca="false">Production!G6</f>
        <v>320</v>
      </c>
      <c r="H5" s="67" t="n">
        <f aca="false">Production!H6</f>
        <v>320</v>
      </c>
      <c r="I5" s="67" t="n">
        <f aca="false">Production!I6</f>
        <v>320</v>
      </c>
      <c r="J5" s="67" t="n">
        <f aca="false">Production!J6</f>
        <v>320</v>
      </c>
      <c r="K5" s="67" t="n">
        <f aca="false">Production!K6</f>
        <v>320</v>
      </c>
      <c r="L5" s="67" t="n">
        <f aca="false">Production!L6</f>
        <v>320</v>
      </c>
      <c r="M5" s="67" t="n">
        <f aca="false">Production!M6</f>
        <v>320</v>
      </c>
      <c r="N5" s="66" t="n">
        <f aca="false">SUM(B5:M5)</f>
        <v>3840</v>
      </c>
      <c r="O5" s="67" t="n">
        <f aca="false">Production!O6</f>
        <v>340</v>
      </c>
      <c r="P5" s="67" t="n">
        <f aca="false">Production!P6</f>
        <v>340</v>
      </c>
      <c r="Q5" s="67" t="n">
        <f aca="false">Production!Q6</f>
        <v>340</v>
      </c>
      <c r="R5" s="67" t="n">
        <f aca="false">Production!R6</f>
        <v>340</v>
      </c>
      <c r="S5" s="67" t="n">
        <f aca="false">Production!S6</f>
        <v>340</v>
      </c>
      <c r="T5" s="67" t="n">
        <f aca="false">Production!T6</f>
        <v>340</v>
      </c>
      <c r="U5" s="67" t="n">
        <f aca="false">Production!U6</f>
        <v>340</v>
      </c>
      <c r="V5" s="67" t="n">
        <f aca="false">Production!V6</f>
        <v>340</v>
      </c>
      <c r="W5" s="67" t="n">
        <f aca="false">Production!W6</f>
        <v>340</v>
      </c>
      <c r="X5" s="67" t="n">
        <f aca="false">Production!X6</f>
        <v>340</v>
      </c>
      <c r="Y5" s="67" t="n">
        <f aca="false">Production!Y6</f>
        <v>340</v>
      </c>
      <c r="Z5" s="67" t="n">
        <f aca="false">Production!Z6</f>
        <v>340</v>
      </c>
      <c r="AA5" s="66" t="n">
        <f aca="false">SUM(O5:Z5)</f>
        <v>4080</v>
      </c>
      <c r="AB5" s="67" t="n">
        <f aca="false">Production!AB6</f>
        <v>360</v>
      </c>
      <c r="AC5" s="67" t="n">
        <f aca="false">Production!AC6</f>
        <v>360</v>
      </c>
      <c r="AD5" s="67" t="n">
        <f aca="false">Production!AD6</f>
        <v>360</v>
      </c>
      <c r="AE5" s="67" t="n">
        <f aca="false">Production!AE6</f>
        <v>360</v>
      </c>
      <c r="AF5" s="67" t="n">
        <f aca="false">Production!AF6</f>
        <v>360</v>
      </c>
      <c r="AG5" s="67" t="n">
        <f aca="false">Production!AG6</f>
        <v>360</v>
      </c>
      <c r="AH5" s="67" t="n">
        <f aca="false">Production!AH6</f>
        <v>360</v>
      </c>
      <c r="AI5" s="67" t="n">
        <f aca="false">Production!AI6</f>
        <v>360</v>
      </c>
      <c r="AJ5" s="67" t="n">
        <f aca="false">Production!AJ6</f>
        <v>360</v>
      </c>
      <c r="AK5" s="67" t="n">
        <f aca="false">Production!AK6</f>
        <v>360</v>
      </c>
      <c r="AL5" s="67" t="n">
        <f aca="false">Production!AL6</f>
        <v>360</v>
      </c>
      <c r="AM5" s="67" t="n">
        <f aca="false">Production!AM6</f>
        <v>360</v>
      </c>
      <c r="AN5" s="66" t="n">
        <f aca="false">SUM(AB5:AM5)</f>
        <v>4320</v>
      </c>
      <c r="AO5" s="67" t="n">
        <f aca="false">Production!AO6</f>
        <v>380</v>
      </c>
      <c r="AP5" s="67" t="n">
        <f aca="false">Production!AP6</f>
        <v>380</v>
      </c>
      <c r="AQ5" s="67" t="n">
        <f aca="false">Production!AQ6</f>
        <v>380</v>
      </c>
      <c r="AR5" s="67" t="n">
        <f aca="false">Production!AR6</f>
        <v>380</v>
      </c>
      <c r="AS5" s="67" t="n">
        <f aca="false">Production!AS6</f>
        <v>380</v>
      </c>
      <c r="AT5" s="67" t="n">
        <f aca="false">Production!AT6</f>
        <v>380</v>
      </c>
      <c r="AU5" s="67" t="n">
        <f aca="false">Production!AU6</f>
        <v>380</v>
      </c>
      <c r="AV5" s="67" t="n">
        <f aca="false">Production!AV6</f>
        <v>380</v>
      </c>
      <c r="AW5" s="67" t="n">
        <f aca="false">Production!AW6</f>
        <v>380</v>
      </c>
      <c r="AX5" s="67" t="n">
        <f aca="false">Production!AX6</f>
        <v>380</v>
      </c>
      <c r="AY5" s="67" t="n">
        <f aca="false">Production!AY6</f>
        <v>380</v>
      </c>
      <c r="AZ5" s="67" t="n">
        <f aca="false">Production!AZ6</f>
        <v>380</v>
      </c>
      <c r="BA5" s="66" t="n">
        <f aca="false">SUM(AO5:AZ5)</f>
        <v>4560</v>
      </c>
      <c r="BB5" s="67" t="n">
        <f aca="false">Production!BB6</f>
        <v>400</v>
      </c>
      <c r="BC5" s="67" t="n">
        <f aca="false">Production!BC6</f>
        <v>400</v>
      </c>
      <c r="BD5" s="67" t="n">
        <f aca="false">Production!BD6</f>
        <v>400</v>
      </c>
      <c r="BE5" s="67" t="n">
        <f aca="false">Production!BE6</f>
        <v>400</v>
      </c>
      <c r="BF5" s="67" t="n">
        <f aca="false">Production!BF6</f>
        <v>400</v>
      </c>
      <c r="BG5" s="67" t="n">
        <f aca="false">Production!BG6</f>
        <v>400</v>
      </c>
      <c r="BH5" s="67" t="n">
        <f aca="false">Production!BH6</f>
        <v>400</v>
      </c>
      <c r="BI5" s="67" t="n">
        <f aca="false">Production!BI6</f>
        <v>400</v>
      </c>
      <c r="BJ5" s="67" t="n">
        <f aca="false">Production!BJ6</f>
        <v>400</v>
      </c>
      <c r="BK5" s="67" t="n">
        <f aca="false">Production!BK6</f>
        <v>400</v>
      </c>
      <c r="BL5" s="67" t="n">
        <f aca="false">Production!BL6</f>
        <v>400</v>
      </c>
      <c r="BM5" s="67" t="n">
        <f aca="false">Production!BM6</f>
        <v>400</v>
      </c>
      <c r="BN5" s="66" t="n">
        <f aca="false">SUM(BB5:BM5)</f>
        <v>4800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12000</v>
      </c>
      <c r="C6" s="68" t="n">
        <f aca="false">Assumptions!$C$23*(1+Assumptions!$C$24)^0</f>
        <v>12000</v>
      </c>
      <c r="D6" s="68" t="n">
        <f aca="false">Assumptions!$C$23*(1+Assumptions!$C$24)^0</f>
        <v>12000</v>
      </c>
      <c r="E6" s="68" t="n">
        <f aca="false">Assumptions!$C$23*(1+Assumptions!$C$24)^0</f>
        <v>12000</v>
      </c>
      <c r="F6" s="68" t="n">
        <f aca="false">Assumptions!$C$23*(1+Assumptions!$C$24)^0</f>
        <v>12000</v>
      </c>
      <c r="G6" s="68" t="n">
        <f aca="false">Assumptions!$C$23*(1+Assumptions!$C$24)^0</f>
        <v>12000</v>
      </c>
      <c r="H6" s="68" t="n">
        <f aca="false">Assumptions!$C$23*(1+Assumptions!$C$24)^0</f>
        <v>12000</v>
      </c>
      <c r="I6" s="68" t="n">
        <f aca="false">Assumptions!$C$23*(1+Assumptions!$C$24)^0</f>
        <v>12000</v>
      </c>
      <c r="J6" s="68" t="n">
        <f aca="false">Assumptions!$C$23*(1+Assumptions!$C$24)^0</f>
        <v>12000</v>
      </c>
      <c r="K6" s="68" t="n">
        <f aca="false">Assumptions!$C$23*(1+Assumptions!$C$24)^0</f>
        <v>12000</v>
      </c>
      <c r="L6" s="68" t="n">
        <f aca="false">Assumptions!$C$23*(1+Assumptions!$C$24)^0</f>
        <v>12000</v>
      </c>
      <c r="M6" s="68" t="n">
        <f aca="false">Assumptions!$C$23*(1+Assumptions!$C$24)^0</f>
        <v>12000</v>
      </c>
      <c r="N6" s="69" t="n">
        <f aca="false">Assumptions!$C$23*(1+Assumptions!$C$24)^0</f>
        <v>12000</v>
      </c>
      <c r="O6" s="68" t="n">
        <f aca="false">Assumptions!$C$23*(1+Assumptions!$C$24)^1</f>
        <v>12600</v>
      </c>
      <c r="P6" s="68" t="n">
        <f aca="false">Assumptions!$C$23*(1+Assumptions!$C$24)^1</f>
        <v>12600</v>
      </c>
      <c r="Q6" s="68" t="n">
        <f aca="false">Assumptions!$C$23*(1+Assumptions!$C$24)^1</f>
        <v>12600</v>
      </c>
      <c r="R6" s="68" t="n">
        <f aca="false">Assumptions!$C$23*(1+Assumptions!$C$24)^1</f>
        <v>12600</v>
      </c>
      <c r="S6" s="68" t="n">
        <f aca="false">Assumptions!$C$23*(1+Assumptions!$C$24)^1</f>
        <v>12600</v>
      </c>
      <c r="T6" s="68" t="n">
        <f aca="false">Assumptions!$C$23*(1+Assumptions!$C$24)^1</f>
        <v>12600</v>
      </c>
      <c r="U6" s="68" t="n">
        <f aca="false">Assumptions!$C$23*(1+Assumptions!$C$24)^1</f>
        <v>12600</v>
      </c>
      <c r="V6" s="68" t="n">
        <f aca="false">Assumptions!$C$23*(1+Assumptions!$C$24)^1</f>
        <v>12600</v>
      </c>
      <c r="W6" s="68" t="n">
        <f aca="false">Assumptions!$C$23*(1+Assumptions!$C$24)^1</f>
        <v>12600</v>
      </c>
      <c r="X6" s="68" t="n">
        <f aca="false">Assumptions!$C$23*(1+Assumptions!$C$24)^1</f>
        <v>12600</v>
      </c>
      <c r="Y6" s="68" t="n">
        <f aca="false">Assumptions!$C$23*(1+Assumptions!$C$24)^1</f>
        <v>12600</v>
      </c>
      <c r="Z6" s="68" t="n">
        <f aca="false">Assumptions!$C$23*(1+Assumptions!$C$24)^1</f>
        <v>12600</v>
      </c>
      <c r="AA6" s="69" t="n">
        <f aca="false">Assumptions!$C$23*(1+Assumptions!$C$24)^1</f>
        <v>12600</v>
      </c>
      <c r="AB6" s="68" t="n">
        <f aca="false">Assumptions!$C$23*(1+Assumptions!$C$24)^2</f>
        <v>13230</v>
      </c>
      <c r="AC6" s="68" t="n">
        <f aca="false">Assumptions!$C$23*(1+Assumptions!$C$24)^2</f>
        <v>13230</v>
      </c>
      <c r="AD6" s="68" t="n">
        <f aca="false">Assumptions!$C$23*(1+Assumptions!$C$24)^2</f>
        <v>13230</v>
      </c>
      <c r="AE6" s="68" t="n">
        <f aca="false">Assumptions!$C$23*(1+Assumptions!$C$24)^2</f>
        <v>13230</v>
      </c>
      <c r="AF6" s="68" t="n">
        <f aca="false">Assumptions!$C$23*(1+Assumptions!$C$24)^2</f>
        <v>13230</v>
      </c>
      <c r="AG6" s="68" t="n">
        <f aca="false">Assumptions!$C$23*(1+Assumptions!$C$24)^2</f>
        <v>13230</v>
      </c>
      <c r="AH6" s="68" t="n">
        <f aca="false">Assumptions!$C$23*(1+Assumptions!$C$24)^2</f>
        <v>13230</v>
      </c>
      <c r="AI6" s="68" t="n">
        <f aca="false">Assumptions!$C$23*(1+Assumptions!$C$24)^2</f>
        <v>13230</v>
      </c>
      <c r="AJ6" s="68" t="n">
        <f aca="false">Assumptions!$C$23*(1+Assumptions!$C$24)^2</f>
        <v>13230</v>
      </c>
      <c r="AK6" s="68" t="n">
        <f aca="false">Assumptions!$C$23*(1+Assumptions!$C$24)^2</f>
        <v>13230</v>
      </c>
      <c r="AL6" s="68" t="n">
        <f aca="false">Assumptions!$C$23*(1+Assumptions!$C$24)^2</f>
        <v>13230</v>
      </c>
      <c r="AM6" s="68" t="n">
        <f aca="false">Assumptions!$C$23*(1+Assumptions!$C$24)^2</f>
        <v>13230</v>
      </c>
      <c r="AN6" s="69" t="n">
        <f aca="false">Assumptions!$C$23*(1+Assumptions!$C$24)^2</f>
        <v>13230</v>
      </c>
      <c r="AO6" s="68" t="n">
        <f aca="false">Assumptions!$C$23*(1+Assumptions!$C$24)^3</f>
        <v>13891.5</v>
      </c>
      <c r="AP6" s="68" t="n">
        <f aca="false">Assumptions!$C$23*(1+Assumptions!$C$24)^3</f>
        <v>13891.5</v>
      </c>
      <c r="AQ6" s="68" t="n">
        <f aca="false">Assumptions!$C$23*(1+Assumptions!$C$24)^3</f>
        <v>13891.5</v>
      </c>
      <c r="AR6" s="68" t="n">
        <f aca="false">Assumptions!$C$23*(1+Assumptions!$C$24)^3</f>
        <v>13891.5</v>
      </c>
      <c r="AS6" s="68" t="n">
        <f aca="false">Assumptions!$C$23*(1+Assumptions!$C$24)^3</f>
        <v>13891.5</v>
      </c>
      <c r="AT6" s="68" t="n">
        <f aca="false">Assumptions!$C$23*(1+Assumptions!$C$24)^3</f>
        <v>13891.5</v>
      </c>
      <c r="AU6" s="68" t="n">
        <f aca="false">Assumptions!$C$23*(1+Assumptions!$C$24)^3</f>
        <v>13891.5</v>
      </c>
      <c r="AV6" s="68" t="n">
        <f aca="false">Assumptions!$C$23*(1+Assumptions!$C$24)^3</f>
        <v>13891.5</v>
      </c>
      <c r="AW6" s="68" t="n">
        <f aca="false">Assumptions!$C$23*(1+Assumptions!$C$24)^3</f>
        <v>13891.5</v>
      </c>
      <c r="AX6" s="68" t="n">
        <f aca="false">Assumptions!$C$23*(1+Assumptions!$C$24)^3</f>
        <v>13891.5</v>
      </c>
      <c r="AY6" s="68" t="n">
        <f aca="false">Assumptions!$C$23*(1+Assumptions!$C$24)^3</f>
        <v>13891.5</v>
      </c>
      <c r="AZ6" s="68" t="n">
        <f aca="false">Assumptions!$C$23*(1+Assumptions!$C$24)^3</f>
        <v>13891.5</v>
      </c>
      <c r="BA6" s="69" t="n">
        <f aca="false">Assumptions!$C$23*(1+Assumptions!$C$24)^3</f>
        <v>13891.5</v>
      </c>
      <c r="BB6" s="68" t="n">
        <f aca="false">Assumptions!$C$23*(1+Assumptions!$C$24)^4</f>
        <v>14586.075</v>
      </c>
      <c r="BC6" s="68" t="n">
        <f aca="false">Assumptions!$C$23*(1+Assumptions!$C$24)^4</f>
        <v>14586.075</v>
      </c>
      <c r="BD6" s="68" t="n">
        <f aca="false">Assumptions!$C$23*(1+Assumptions!$C$24)^4</f>
        <v>14586.075</v>
      </c>
      <c r="BE6" s="68" t="n">
        <f aca="false">Assumptions!$C$23*(1+Assumptions!$C$24)^4</f>
        <v>14586.075</v>
      </c>
      <c r="BF6" s="68" t="n">
        <f aca="false">Assumptions!$C$23*(1+Assumptions!$C$24)^4</f>
        <v>14586.075</v>
      </c>
      <c r="BG6" s="68" t="n">
        <f aca="false">Assumptions!$C$23*(1+Assumptions!$C$24)^4</f>
        <v>14586.075</v>
      </c>
      <c r="BH6" s="68" t="n">
        <f aca="false">Assumptions!$C$23*(1+Assumptions!$C$24)^4</f>
        <v>14586.075</v>
      </c>
      <c r="BI6" s="68" t="n">
        <f aca="false">Assumptions!$C$23*(1+Assumptions!$C$24)^4</f>
        <v>14586.075</v>
      </c>
      <c r="BJ6" s="68" t="n">
        <f aca="false">Assumptions!$C$23*(1+Assumptions!$C$24)^4</f>
        <v>14586.075</v>
      </c>
      <c r="BK6" s="68" t="n">
        <f aca="false">Assumptions!$C$23*(1+Assumptions!$C$24)^4</f>
        <v>14586.075</v>
      </c>
      <c r="BL6" s="68" t="n">
        <f aca="false">Assumptions!$C$23*(1+Assumptions!$C$24)^4</f>
        <v>14586.075</v>
      </c>
      <c r="BM6" s="68" t="n">
        <f aca="false">Assumptions!$C$23*(1+Assumptions!$C$24)^4</f>
        <v>14586.075</v>
      </c>
      <c r="BN6" s="69" t="n">
        <f aca="false">Assumptions!$C$23*(1+Assumptions!$C$24)^4</f>
        <v>14586.075</v>
      </c>
    </row>
    <row r="7" customFormat="false" ht="15" hidden="false" customHeight="true" outlineLevel="0" collapsed="false">
      <c r="A7" s="64" t="s">
        <v>342</v>
      </c>
      <c r="B7" s="65" t="n">
        <f aca="false">B5*B6</f>
        <v>3840000</v>
      </c>
      <c r="C7" s="65" t="n">
        <f aca="false">C5*C6</f>
        <v>3840000</v>
      </c>
      <c r="D7" s="65" t="n">
        <f aca="false">D5*D6</f>
        <v>3840000</v>
      </c>
      <c r="E7" s="65" t="n">
        <f aca="false">E5*E6</f>
        <v>3840000</v>
      </c>
      <c r="F7" s="65" t="n">
        <f aca="false">F5*F6</f>
        <v>3840000</v>
      </c>
      <c r="G7" s="65" t="n">
        <f aca="false">G5*G6</f>
        <v>3840000</v>
      </c>
      <c r="H7" s="65" t="n">
        <f aca="false">H5*H6</f>
        <v>3840000</v>
      </c>
      <c r="I7" s="65" t="n">
        <f aca="false">I5*I6</f>
        <v>3840000</v>
      </c>
      <c r="J7" s="65" t="n">
        <f aca="false">J5*J6</f>
        <v>3840000</v>
      </c>
      <c r="K7" s="65" t="n">
        <f aca="false">K5*K6</f>
        <v>3840000</v>
      </c>
      <c r="L7" s="65" t="n">
        <f aca="false">L5*L6</f>
        <v>3840000</v>
      </c>
      <c r="M7" s="65" t="n">
        <f aca="false">M5*M6</f>
        <v>3840000</v>
      </c>
      <c r="N7" s="66" t="n">
        <f aca="false">SUM(B7:M7)</f>
        <v>46080000</v>
      </c>
      <c r="O7" s="65" t="n">
        <f aca="false">O5*O6</f>
        <v>4284000</v>
      </c>
      <c r="P7" s="65" t="n">
        <f aca="false">P5*P6</f>
        <v>4284000</v>
      </c>
      <c r="Q7" s="65" t="n">
        <f aca="false">Q5*Q6</f>
        <v>4284000</v>
      </c>
      <c r="R7" s="65" t="n">
        <f aca="false">R5*R6</f>
        <v>4284000</v>
      </c>
      <c r="S7" s="65" t="n">
        <f aca="false">S5*S6</f>
        <v>4284000</v>
      </c>
      <c r="T7" s="65" t="n">
        <f aca="false">T5*T6</f>
        <v>4284000</v>
      </c>
      <c r="U7" s="65" t="n">
        <f aca="false">U5*U6</f>
        <v>4284000</v>
      </c>
      <c r="V7" s="65" t="n">
        <f aca="false">V5*V6</f>
        <v>4284000</v>
      </c>
      <c r="W7" s="65" t="n">
        <f aca="false">W5*W6</f>
        <v>4284000</v>
      </c>
      <c r="X7" s="65" t="n">
        <f aca="false">X5*X6</f>
        <v>4284000</v>
      </c>
      <c r="Y7" s="65" t="n">
        <f aca="false">Y5*Y6</f>
        <v>4284000</v>
      </c>
      <c r="Z7" s="65" t="n">
        <f aca="false">Z5*Z6</f>
        <v>4284000</v>
      </c>
      <c r="AA7" s="66" t="n">
        <f aca="false">SUM(O7:Z7)</f>
        <v>51408000</v>
      </c>
      <c r="AB7" s="65" t="n">
        <f aca="false">AB5*AB6</f>
        <v>4762800</v>
      </c>
      <c r="AC7" s="65" t="n">
        <f aca="false">AC5*AC6</f>
        <v>4762800</v>
      </c>
      <c r="AD7" s="65" t="n">
        <f aca="false">AD5*AD6</f>
        <v>4762800</v>
      </c>
      <c r="AE7" s="65" t="n">
        <f aca="false">AE5*AE6</f>
        <v>4762800</v>
      </c>
      <c r="AF7" s="65" t="n">
        <f aca="false">AF5*AF6</f>
        <v>4762800</v>
      </c>
      <c r="AG7" s="65" t="n">
        <f aca="false">AG5*AG6</f>
        <v>4762800</v>
      </c>
      <c r="AH7" s="65" t="n">
        <f aca="false">AH5*AH6</f>
        <v>4762800</v>
      </c>
      <c r="AI7" s="65" t="n">
        <f aca="false">AI5*AI6</f>
        <v>4762800</v>
      </c>
      <c r="AJ7" s="65" t="n">
        <f aca="false">AJ5*AJ6</f>
        <v>4762800</v>
      </c>
      <c r="AK7" s="65" t="n">
        <f aca="false">AK5*AK6</f>
        <v>4762800</v>
      </c>
      <c r="AL7" s="65" t="n">
        <f aca="false">AL5*AL6</f>
        <v>4762800</v>
      </c>
      <c r="AM7" s="65" t="n">
        <f aca="false">AM5*AM6</f>
        <v>4762800</v>
      </c>
      <c r="AN7" s="66" t="n">
        <f aca="false">SUM(AB7:AM7)</f>
        <v>57153600</v>
      </c>
      <c r="AO7" s="65" t="n">
        <f aca="false">AO5*AO6</f>
        <v>5278770</v>
      </c>
      <c r="AP7" s="65" t="n">
        <f aca="false">AP5*AP6</f>
        <v>5278770</v>
      </c>
      <c r="AQ7" s="65" t="n">
        <f aca="false">AQ5*AQ6</f>
        <v>5278770</v>
      </c>
      <c r="AR7" s="65" t="n">
        <f aca="false">AR5*AR6</f>
        <v>5278770</v>
      </c>
      <c r="AS7" s="65" t="n">
        <f aca="false">AS5*AS6</f>
        <v>5278770</v>
      </c>
      <c r="AT7" s="65" t="n">
        <f aca="false">AT5*AT6</f>
        <v>5278770</v>
      </c>
      <c r="AU7" s="65" t="n">
        <f aca="false">AU5*AU6</f>
        <v>5278770</v>
      </c>
      <c r="AV7" s="65" t="n">
        <f aca="false">AV5*AV6</f>
        <v>5278770</v>
      </c>
      <c r="AW7" s="65" t="n">
        <f aca="false">AW5*AW6</f>
        <v>5278770</v>
      </c>
      <c r="AX7" s="65" t="n">
        <f aca="false">AX5*AX6</f>
        <v>5278770</v>
      </c>
      <c r="AY7" s="65" t="n">
        <f aca="false">AY5*AY6</f>
        <v>5278770</v>
      </c>
      <c r="AZ7" s="65" t="n">
        <f aca="false">AZ5*AZ6</f>
        <v>5278770</v>
      </c>
      <c r="BA7" s="66" t="n">
        <f aca="false">SUM(AO7:AZ7)</f>
        <v>63345240</v>
      </c>
      <c r="BB7" s="65" t="n">
        <f aca="false">BB5*BB6</f>
        <v>5834430</v>
      </c>
      <c r="BC7" s="65" t="n">
        <f aca="false">BC5*BC6</f>
        <v>5834430</v>
      </c>
      <c r="BD7" s="65" t="n">
        <f aca="false">BD5*BD6</f>
        <v>5834430</v>
      </c>
      <c r="BE7" s="65" t="n">
        <f aca="false">BE5*BE6</f>
        <v>5834430</v>
      </c>
      <c r="BF7" s="65" t="n">
        <f aca="false">BF5*BF6</f>
        <v>5834430</v>
      </c>
      <c r="BG7" s="65" t="n">
        <f aca="false">BG5*BG6</f>
        <v>5834430</v>
      </c>
      <c r="BH7" s="65" t="n">
        <f aca="false">BH5*BH6</f>
        <v>5834430</v>
      </c>
      <c r="BI7" s="65" t="n">
        <f aca="false">BI5*BI6</f>
        <v>5834430</v>
      </c>
      <c r="BJ7" s="65" t="n">
        <f aca="false">BJ5*BJ6</f>
        <v>5834430</v>
      </c>
      <c r="BK7" s="65" t="n">
        <f aca="false">BK5*BK6</f>
        <v>5834430</v>
      </c>
      <c r="BL7" s="65" t="n">
        <f aca="false">BL5*BL6</f>
        <v>5834430</v>
      </c>
      <c r="BM7" s="65" t="n">
        <f aca="false">BM5*BM6</f>
        <v>5834430</v>
      </c>
      <c r="BN7" s="66" t="n">
        <f aca="false">SUM(BB7:BM7)</f>
        <v>70013160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Direct delivery cost</v>
      </c>
      <c r="B5" s="67" t="n">
        <f aca="false">Production!B6*(Assumptions!$C$25*(1+Assumptions!$C$26)^0)</f>
        <v>960000</v>
      </c>
      <c r="C5" s="67" t="n">
        <f aca="false">Production!C6*(Assumptions!$C$25*(1+Assumptions!$C$26)^0)</f>
        <v>960000</v>
      </c>
      <c r="D5" s="67" t="n">
        <f aca="false">Production!D6*(Assumptions!$C$25*(1+Assumptions!$C$26)^0)</f>
        <v>960000</v>
      </c>
      <c r="E5" s="67" t="n">
        <f aca="false">Production!E6*(Assumptions!$C$25*(1+Assumptions!$C$26)^0)</f>
        <v>960000</v>
      </c>
      <c r="F5" s="67" t="n">
        <f aca="false">Production!F6*(Assumptions!$C$25*(1+Assumptions!$C$26)^0)</f>
        <v>960000</v>
      </c>
      <c r="G5" s="67" t="n">
        <f aca="false">Production!G6*(Assumptions!$C$25*(1+Assumptions!$C$26)^0)</f>
        <v>960000</v>
      </c>
      <c r="H5" s="67" t="n">
        <f aca="false">Production!H6*(Assumptions!$C$25*(1+Assumptions!$C$26)^0)</f>
        <v>960000</v>
      </c>
      <c r="I5" s="67" t="n">
        <f aca="false">Production!I6*(Assumptions!$C$25*(1+Assumptions!$C$26)^0)</f>
        <v>960000</v>
      </c>
      <c r="J5" s="67" t="n">
        <f aca="false">Production!J6*(Assumptions!$C$25*(1+Assumptions!$C$26)^0)</f>
        <v>960000</v>
      </c>
      <c r="K5" s="67" t="n">
        <f aca="false">Production!K6*(Assumptions!$C$25*(1+Assumptions!$C$26)^0)</f>
        <v>960000</v>
      </c>
      <c r="L5" s="67" t="n">
        <f aca="false">Production!L6*(Assumptions!$C$25*(1+Assumptions!$C$26)^0)</f>
        <v>960000</v>
      </c>
      <c r="M5" s="67" t="n">
        <f aca="false">Production!M6*(Assumptions!$C$25*(1+Assumptions!$C$26)^0)</f>
        <v>960000</v>
      </c>
      <c r="N5" s="66" t="n">
        <f aca="false">SUM(B5:M5)</f>
        <v>11520000</v>
      </c>
      <c r="O5" s="67" t="n">
        <f aca="false">Production!O6*(Assumptions!$C$25*(1+Assumptions!$C$26)^1)</f>
        <v>1081200</v>
      </c>
      <c r="P5" s="67" t="n">
        <f aca="false">Production!P6*(Assumptions!$C$25*(1+Assumptions!$C$26)^1)</f>
        <v>1081200</v>
      </c>
      <c r="Q5" s="67" t="n">
        <f aca="false">Production!Q6*(Assumptions!$C$25*(1+Assumptions!$C$26)^1)</f>
        <v>1081200</v>
      </c>
      <c r="R5" s="67" t="n">
        <f aca="false">Production!R6*(Assumptions!$C$25*(1+Assumptions!$C$26)^1)</f>
        <v>1081200</v>
      </c>
      <c r="S5" s="67" t="n">
        <f aca="false">Production!S6*(Assumptions!$C$25*(1+Assumptions!$C$26)^1)</f>
        <v>1081200</v>
      </c>
      <c r="T5" s="67" t="n">
        <f aca="false">Production!T6*(Assumptions!$C$25*(1+Assumptions!$C$26)^1)</f>
        <v>1081200</v>
      </c>
      <c r="U5" s="67" t="n">
        <f aca="false">Production!U6*(Assumptions!$C$25*(1+Assumptions!$C$26)^1)</f>
        <v>1081200</v>
      </c>
      <c r="V5" s="67" t="n">
        <f aca="false">Production!V6*(Assumptions!$C$25*(1+Assumptions!$C$26)^1)</f>
        <v>1081200</v>
      </c>
      <c r="W5" s="67" t="n">
        <f aca="false">Production!W6*(Assumptions!$C$25*(1+Assumptions!$C$26)^1)</f>
        <v>1081200</v>
      </c>
      <c r="X5" s="67" t="n">
        <f aca="false">Production!X6*(Assumptions!$C$25*(1+Assumptions!$C$26)^1)</f>
        <v>1081200</v>
      </c>
      <c r="Y5" s="67" t="n">
        <f aca="false">Production!Y6*(Assumptions!$C$25*(1+Assumptions!$C$26)^1)</f>
        <v>1081200</v>
      </c>
      <c r="Z5" s="67" t="n">
        <f aca="false">Production!Z6*(Assumptions!$C$25*(1+Assumptions!$C$26)^1)</f>
        <v>1081200</v>
      </c>
      <c r="AA5" s="66" t="n">
        <f aca="false">SUM(O5:Z5)</f>
        <v>12974400</v>
      </c>
      <c r="AB5" s="67" t="n">
        <f aca="false">Production!AB6*(Assumptions!$C$25*(1+Assumptions!$C$26)^2)</f>
        <v>1213488</v>
      </c>
      <c r="AC5" s="67" t="n">
        <f aca="false">Production!AC6*(Assumptions!$C$25*(1+Assumptions!$C$26)^2)</f>
        <v>1213488</v>
      </c>
      <c r="AD5" s="67" t="n">
        <f aca="false">Production!AD6*(Assumptions!$C$25*(1+Assumptions!$C$26)^2)</f>
        <v>1213488</v>
      </c>
      <c r="AE5" s="67" t="n">
        <f aca="false">Production!AE6*(Assumptions!$C$25*(1+Assumptions!$C$26)^2)</f>
        <v>1213488</v>
      </c>
      <c r="AF5" s="67" t="n">
        <f aca="false">Production!AF6*(Assumptions!$C$25*(1+Assumptions!$C$26)^2)</f>
        <v>1213488</v>
      </c>
      <c r="AG5" s="67" t="n">
        <f aca="false">Production!AG6*(Assumptions!$C$25*(1+Assumptions!$C$26)^2)</f>
        <v>1213488</v>
      </c>
      <c r="AH5" s="67" t="n">
        <f aca="false">Production!AH6*(Assumptions!$C$25*(1+Assumptions!$C$26)^2)</f>
        <v>1213488</v>
      </c>
      <c r="AI5" s="67" t="n">
        <f aca="false">Production!AI6*(Assumptions!$C$25*(1+Assumptions!$C$26)^2)</f>
        <v>1213488</v>
      </c>
      <c r="AJ5" s="67" t="n">
        <f aca="false">Production!AJ6*(Assumptions!$C$25*(1+Assumptions!$C$26)^2)</f>
        <v>1213488</v>
      </c>
      <c r="AK5" s="67" t="n">
        <f aca="false">Production!AK6*(Assumptions!$C$25*(1+Assumptions!$C$26)^2)</f>
        <v>1213488</v>
      </c>
      <c r="AL5" s="67" t="n">
        <f aca="false">Production!AL6*(Assumptions!$C$25*(1+Assumptions!$C$26)^2)</f>
        <v>1213488</v>
      </c>
      <c r="AM5" s="67" t="n">
        <f aca="false">Production!AM6*(Assumptions!$C$25*(1+Assumptions!$C$26)^2)</f>
        <v>1213488</v>
      </c>
      <c r="AN5" s="66" t="n">
        <f aca="false">SUM(AB5:AM5)</f>
        <v>14561856</v>
      </c>
      <c r="AO5" s="67" t="n">
        <f aca="false">Production!AO6*(Assumptions!$C$25*(1+Assumptions!$C$26)^3)</f>
        <v>1357758.24</v>
      </c>
      <c r="AP5" s="67" t="n">
        <f aca="false">Production!AP6*(Assumptions!$C$25*(1+Assumptions!$C$26)^3)</f>
        <v>1357758.24</v>
      </c>
      <c r="AQ5" s="67" t="n">
        <f aca="false">Production!AQ6*(Assumptions!$C$25*(1+Assumptions!$C$26)^3)</f>
        <v>1357758.24</v>
      </c>
      <c r="AR5" s="67" t="n">
        <f aca="false">Production!AR6*(Assumptions!$C$25*(1+Assumptions!$C$26)^3)</f>
        <v>1357758.24</v>
      </c>
      <c r="AS5" s="67" t="n">
        <f aca="false">Production!AS6*(Assumptions!$C$25*(1+Assumptions!$C$26)^3)</f>
        <v>1357758.24</v>
      </c>
      <c r="AT5" s="67" t="n">
        <f aca="false">Production!AT6*(Assumptions!$C$25*(1+Assumptions!$C$26)^3)</f>
        <v>1357758.24</v>
      </c>
      <c r="AU5" s="67" t="n">
        <f aca="false">Production!AU6*(Assumptions!$C$25*(1+Assumptions!$C$26)^3)</f>
        <v>1357758.24</v>
      </c>
      <c r="AV5" s="67" t="n">
        <f aca="false">Production!AV6*(Assumptions!$C$25*(1+Assumptions!$C$26)^3)</f>
        <v>1357758.24</v>
      </c>
      <c r="AW5" s="67" t="n">
        <f aca="false">Production!AW6*(Assumptions!$C$25*(1+Assumptions!$C$26)^3)</f>
        <v>1357758.24</v>
      </c>
      <c r="AX5" s="67" t="n">
        <f aca="false">Production!AX6*(Assumptions!$C$25*(1+Assumptions!$C$26)^3)</f>
        <v>1357758.24</v>
      </c>
      <c r="AY5" s="67" t="n">
        <f aca="false">Production!AY6*(Assumptions!$C$25*(1+Assumptions!$C$26)^3)</f>
        <v>1357758.24</v>
      </c>
      <c r="AZ5" s="67" t="n">
        <f aca="false">Production!AZ6*(Assumptions!$C$25*(1+Assumptions!$C$26)^3)</f>
        <v>1357758.24</v>
      </c>
      <c r="BA5" s="66" t="n">
        <f aca="false">SUM(AO5:AZ5)</f>
        <v>16293098.88</v>
      </c>
      <c r="BB5" s="67" t="n">
        <f aca="false">Production!BB6*(Assumptions!$C$25*(1+Assumptions!$C$26)^4)</f>
        <v>1514972.352</v>
      </c>
      <c r="BC5" s="67" t="n">
        <f aca="false">Production!BC6*(Assumptions!$C$25*(1+Assumptions!$C$26)^4)</f>
        <v>1514972.352</v>
      </c>
      <c r="BD5" s="67" t="n">
        <f aca="false">Production!BD6*(Assumptions!$C$25*(1+Assumptions!$C$26)^4)</f>
        <v>1514972.352</v>
      </c>
      <c r="BE5" s="67" t="n">
        <f aca="false">Production!BE6*(Assumptions!$C$25*(1+Assumptions!$C$26)^4)</f>
        <v>1514972.352</v>
      </c>
      <c r="BF5" s="67" t="n">
        <f aca="false">Production!BF6*(Assumptions!$C$25*(1+Assumptions!$C$26)^4)</f>
        <v>1514972.352</v>
      </c>
      <c r="BG5" s="67" t="n">
        <f aca="false">Production!BG6*(Assumptions!$C$25*(1+Assumptions!$C$26)^4)</f>
        <v>1514972.352</v>
      </c>
      <c r="BH5" s="67" t="n">
        <f aca="false">Production!BH6*(Assumptions!$C$25*(1+Assumptions!$C$26)^4)</f>
        <v>1514972.352</v>
      </c>
      <c r="BI5" s="67" t="n">
        <f aca="false">Production!BI6*(Assumptions!$C$25*(1+Assumptions!$C$26)^4)</f>
        <v>1514972.352</v>
      </c>
      <c r="BJ5" s="67" t="n">
        <f aca="false">Production!BJ6*(Assumptions!$C$25*(1+Assumptions!$C$26)^4)</f>
        <v>1514972.352</v>
      </c>
      <c r="BK5" s="67" t="n">
        <f aca="false">Production!BK6*(Assumptions!$C$25*(1+Assumptions!$C$26)^4)</f>
        <v>1514972.352</v>
      </c>
      <c r="BL5" s="67" t="n">
        <f aca="false">Production!BL6*(Assumptions!$C$25*(1+Assumptions!$C$26)^4)</f>
        <v>1514972.352</v>
      </c>
      <c r="BM5" s="67" t="n">
        <f aca="false">Production!BM6*(Assumptions!$C$25*(1+Assumptions!$C$26)^4)</f>
        <v>1514972.352</v>
      </c>
      <c r="BN5" s="66" t="n">
        <f aca="false">SUM(BB5:BM5)</f>
        <v>18179668.224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Infrastructure &amp; hosting</v>
      </c>
      <c r="B6" s="67" t="n">
        <f aca="false">Production!B6*(Assumptions!$C$27*(1+Assumptions!$C$28)^0)</f>
        <v>640000</v>
      </c>
      <c r="C6" s="67" t="n">
        <f aca="false">Production!C6*(Assumptions!$C$27*(1+Assumptions!$C$28)^0)</f>
        <v>640000</v>
      </c>
      <c r="D6" s="67" t="n">
        <f aca="false">Production!D6*(Assumptions!$C$27*(1+Assumptions!$C$28)^0)</f>
        <v>640000</v>
      </c>
      <c r="E6" s="67" t="n">
        <f aca="false">Production!E6*(Assumptions!$C$27*(1+Assumptions!$C$28)^0)</f>
        <v>640000</v>
      </c>
      <c r="F6" s="67" t="n">
        <f aca="false">Production!F6*(Assumptions!$C$27*(1+Assumptions!$C$28)^0)</f>
        <v>640000</v>
      </c>
      <c r="G6" s="67" t="n">
        <f aca="false">Production!G6*(Assumptions!$C$27*(1+Assumptions!$C$28)^0)</f>
        <v>640000</v>
      </c>
      <c r="H6" s="67" t="n">
        <f aca="false">Production!H6*(Assumptions!$C$27*(1+Assumptions!$C$28)^0)</f>
        <v>640000</v>
      </c>
      <c r="I6" s="67" t="n">
        <f aca="false">Production!I6*(Assumptions!$C$27*(1+Assumptions!$C$28)^0)</f>
        <v>640000</v>
      </c>
      <c r="J6" s="67" t="n">
        <f aca="false">Production!J6*(Assumptions!$C$27*(1+Assumptions!$C$28)^0)</f>
        <v>640000</v>
      </c>
      <c r="K6" s="67" t="n">
        <f aca="false">Production!K6*(Assumptions!$C$27*(1+Assumptions!$C$28)^0)</f>
        <v>640000</v>
      </c>
      <c r="L6" s="67" t="n">
        <f aca="false">Production!L6*(Assumptions!$C$27*(1+Assumptions!$C$28)^0)</f>
        <v>640000</v>
      </c>
      <c r="M6" s="67" t="n">
        <f aca="false">Production!M6*(Assumptions!$C$27*(1+Assumptions!$C$28)^0)</f>
        <v>640000</v>
      </c>
      <c r="N6" s="66" t="n">
        <f aca="false">SUM(B6:M6)</f>
        <v>7680000</v>
      </c>
      <c r="O6" s="67" t="n">
        <f aca="false">Production!O6*(Assumptions!$C$27*(1+Assumptions!$C$28)^1)</f>
        <v>714000</v>
      </c>
      <c r="P6" s="67" t="n">
        <f aca="false">Production!P6*(Assumptions!$C$27*(1+Assumptions!$C$28)^1)</f>
        <v>714000</v>
      </c>
      <c r="Q6" s="67" t="n">
        <f aca="false">Production!Q6*(Assumptions!$C$27*(1+Assumptions!$C$28)^1)</f>
        <v>714000</v>
      </c>
      <c r="R6" s="67" t="n">
        <f aca="false">Production!R6*(Assumptions!$C$27*(1+Assumptions!$C$28)^1)</f>
        <v>714000</v>
      </c>
      <c r="S6" s="67" t="n">
        <f aca="false">Production!S6*(Assumptions!$C$27*(1+Assumptions!$C$28)^1)</f>
        <v>714000</v>
      </c>
      <c r="T6" s="67" t="n">
        <f aca="false">Production!T6*(Assumptions!$C$27*(1+Assumptions!$C$28)^1)</f>
        <v>714000</v>
      </c>
      <c r="U6" s="67" t="n">
        <f aca="false">Production!U6*(Assumptions!$C$27*(1+Assumptions!$C$28)^1)</f>
        <v>714000</v>
      </c>
      <c r="V6" s="67" t="n">
        <f aca="false">Production!V6*(Assumptions!$C$27*(1+Assumptions!$C$28)^1)</f>
        <v>714000</v>
      </c>
      <c r="W6" s="67" t="n">
        <f aca="false">Production!W6*(Assumptions!$C$27*(1+Assumptions!$C$28)^1)</f>
        <v>714000</v>
      </c>
      <c r="X6" s="67" t="n">
        <f aca="false">Production!X6*(Assumptions!$C$27*(1+Assumptions!$C$28)^1)</f>
        <v>714000</v>
      </c>
      <c r="Y6" s="67" t="n">
        <f aca="false">Production!Y6*(Assumptions!$C$27*(1+Assumptions!$C$28)^1)</f>
        <v>714000</v>
      </c>
      <c r="Z6" s="67" t="n">
        <f aca="false">Production!Z6*(Assumptions!$C$27*(1+Assumptions!$C$28)^1)</f>
        <v>714000</v>
      </c>
      <c r="AA6" s="66" t="n">
        <f aca="false">SUM(O6:Z6)</f>
        <v>8568000</v>
      </c>
      <c r="AB6" s="67" t="n">
        <f aca="false">Production!AB6*(Assumptions!$C$27*(1+Assumptions!$C$28)^2)</f>
        <v>793800</v>
      </c>
      <c r="AC6" s="67" t="n">
        <f aca="false">Production!AC6*(Assumptions!$C$27*(1+Assumptions!$C$28)^2)</f>
        <v>793800</v>
      </c>
      <c r="AD6" s="67" t="n">
        <f aca="false">Production!AD6*(Assumptions!$C$27*(1+Assumptions!$C$28)^2)</f>
        <v>793800</v>
      </c>
      <c r="AE6" s="67" t="n">
        <f aca="false">Production!AE6*(Assumptions!$C$27*(1+Assumptions!$C$28)^2)</f>
        <v>793800</v>
      </c>
      <c r="AF6" s="67" t="n">
        <f aca="false">Production!AF6*(Assumptions!$C$27*(1+Assumptions!$C$28)^2)</f>
        <v>793800</v>
      </c>
      <c r="AG6" s="67" t="n">
        <f aca="false">Production!AG6*(Assumptions!$C$27*(1+Assumptions!$C$28)^2)</f>
        <v>793800</v>
      </c>
      <c r="AH6" s="67" t="n">
        <f aca="false">Production!AH6*(Assumptions!$C$27*(1+Assumptions!$C$28)^2)</f>
        <v>793800</v>
      </c>
      <c r="AI6" s="67" t="n">
        <f aca="false">Production!AI6*(Assumptions!$C$27*(1+Assumptions!$C$28)^2)</f>
        <v>793800</v>
      </c>
      <c r="AJ6" s="67" t="n">
        <f aca="false">Production!AJ6*(Assumptions!$C$27*(1+Assumptions!$C$28)^2)</f>
        <v>793800</v>
      </c>
      <c r="AK6" s="67" t="n">
        <f aca="false">Production!AK6*(Assumptions!$C$27*(1+Assumptions!$C$28)^2)</f>
        <v>793800</v>
      </c>
      <c r="AL6" s="67" t="n">
        <f aca="false">Production!AL6*(Assumptions!$C$27*(1+Assumptions!$C$28)^2)</f>
        <v>793800</v>
      </c>
      <c r="AM6" s="67" t="n">
        <f aca="false">Production!AM6*(Assumptions!$C$27*(1+Assumptions!$C$28)^2)</f>
        <v>793800</v>
      </c>
      <c r="AN6" s="66" t="n">
        <f aca="false">SUM(AB6:AM6)</f>
        <v>9525600</v>
      </c>
      <c r="AO6" s="67" t="n">
        <f aca="false">Production!AO6*(Assumptions!$C$27*(1+Assumptions!$C$28)^3)</f>
        <v>879795</v>
      </c>
      <c r="AP6" s="67" t="n">
        <f aca="false">Production!AP6*(Assumptions!$C$27*(1+Assumptions!$C$28)^3)</f>
        <v>879795</v>
      </c>
      <c r="AQ6" s="67" t="n">
        <f aca="false">Production!AQ6*(Assumptions!$C$27*(1+Assumptions!$C$28)^3)</f>
        <v>879795</v>
      </c>
      <c r="AR6" s="67" t="n">
        <f aca="false">Production!AR6*(Assumptions!$C$27*(1+Assumptions!$C$28)^3)</f>
        <v>879795</v>
      </c>
      <c r="AS6" s="67" t="n">
        <f aca="false">Production!AS6*(Assumptions!$C$27*(1+Assumptions!$C$28)^3)</f>
        <v>879795</v>
      </c>
      <c r="AT6" s="67" t="n">
        <f aca="false">Production!AT6*(Assumptions!$C$27*(1+Assumptions!$C$28)^3)</f>
        <v>879795</v>
      </c>
      <c r="AU6" s="67" t="n">
        <f aca="false">Production!AU6*(Assumptions!$C$27*(1+Assumptions!$C$28)^3)</f>
        <v>879795</v>
      </c>
      <c r="AV6" s="67" t="n">
        <f aca="false">Production!AV6*(Assumptions!$C$27*(1+Assumptions!$C$28)^3)</f>
        <v>879795</v>
      </c>
      <c r="AW6" s="67" t="n">
        <f aca="false">Production!AW6*(Assumptions!$C$27*(1+Assumptions!$C$28)^3)</f>
        <v>879795</v>
      </c>
      <c r="AX6" s="67" t="n">
        <f aca="false">Production!AX6*(Assumptions!$C$27*(1+Assumptions!$C$28)^3)</f>
        <v>879795</v>
      </c>
      <c r="AY6" s="67" t="n">
        <f aca="false">Production!AY6*(Assumptions!$C$27*(1+Assumptions!$C$28)^3)</f>
        <v>879795</v>
      </c>
      <c r="AZ6" s="67" t="n">
        <f aca="false">Production!AZ6*(Assumptions!$C$27*(1+Assumptions!$C$28)^3)</f>
        <v>879795</v>
      </c>
      <c r="BA6" s="66" t="n">
        <f aca="false">SUM(AO6:AZ6)</f>
        <v>10557540</v>
      </c>
      <c r="BB6" s="67" t="n">
        <f aca="false">Production!BB6*(Assumptions!$C$27*(1+Assumptions!$C$28)^4)</f>
        <v>972405</v>
      </c>
      <c r="BC6" s="67" t="n">
        <f aca="false">Production!BC6*(Assumptions!$C$27*(1+Assumptions!$C$28)^4)</f>
        <v>972405</v>
      </c>
      <c r="BD6" s="67" t="n">
        <f aca="false">Production!BD6*(Assumptions!$C$27*(1+Assumptions!$C$28)^4)</f>
        <v>972405</v>
      </c>
      <c r="BE6" s="67" t="n">
        <f aca="false">Production!BE6*(Assumptions!$C$27*(1+Assumptions!$C$28)^4)</f>
        <v>972405</v>
      </c>
      <c r="BF6" s="67" t="n">
        <f aca="false">Production!BF6*(Assumptions!$C$27*(1+Assumptions!$C$28)^4)</f>
        <v>972405</v>
      </c>
      <c r="BG6" s="67" t="n">
        <f aca="false">Production!BG6*(Assumptions!$C$27*(1+Assumptions!$C$28)^4)</f>
        <v>972405</v>
      </c>
      <c r="BH6" s="67" t="n">
        <f aca="false">Production!BH6*(Assumptions!$C$27*(1+Assumptions!$C$28)^4)</f>
        <v>972405</v>
      </c>
      <c r="BI6" s="67" t="n">
        <f aca="false">Production!BI6*(Assumptions!$C$27*(1+Assumptions!$C$28)^4)</f>
        <v>972405</v>
      </c>
      <c r="BJ6" s="67" t="n">
        <f aca="false">Production!BJ6*(Assumptions!$C$27*(1+Assumptions!$C$28)^4)</f>
        <v>972405</v>
      </c>
      <c r="BK6" s="67" t="n">
        <f aca="false">Production!BK6*(Assumptions!$C$27*(1+Assumptions!$C$28)^4)</f>
        <v>972405</v>
      </c>
      <c r="BL6" s="67" t="n">
        <f aca="false">Production!BL6*(Assumptions!$C$27*(1+Assumptions!$C$28)^4)</f>
        <v>972405</v>
      </c>
      <c r="BM6" s="67" t="n">
        <f aca="false">Production!BM6*(Assumptions!$C$27*(1+Assumptions!$C$28)^4)</f>
        <v>972405</v>
      </c>
      <c r="BN6" s="66" t="n">
        <f aca="false">SUM(BB6:BM6)</f>
        <v>11668860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400000</v>
      </c>
      <c r="C7" s="70" t="n">
        <f aca="false">Assumptions!$C$32*(1+Assumptions!$C$33)^0</f>
        <v>400000</v>
      </c>
      <c r="D7" s="70" t="n">
        <f aca="false">Assumptions!$C$32*(1+Assumptions!$C$33)^0</f>
        <v>400000</v>
      </c>
      <c r="E7" s="70" t="n">
        <f aca="false">Assumptions!$C$32*(1+Assumptions!$C$33)^0</f>
        <v>400000</v>
      </c>
      <c r="F7" s="70" t="n">
        <f aca="false">Assumptions!$C$32*(1+Assumptions!$C$33)^0</f>
        <v>400000</v>
      </c>
      <c r="G7" s="70" t="n">
        <f aca="false">Assumptions!$C$32*(1+Assumptions!$C$33)^0</f>
        <v>400000</v>
      </c>
      <c r="H7" s="70" t="n">
        <f aca="false">Assumptions!$C$32*(1+Assumptions!$C$33)^0</f>
        <v>400000</v>
      </c>
      <c r="I7" s="70" t="n">
        <f aca="false">Assumptions!$C$32*(1+Assumptions!$C$33)^0</f>
        <v>400000</v>
      </c>
      <c r="J7" s="70" t="n">
        <f aca="false">Assumptions!$C$32*(1+Assumptions!$C$33)^0</f>
        <v>400000</v>
      </c>
      <c r="K7" s="70" t="n">
        <f aca="false">Assumptions!$C$32*(1+Assumptions!$C$33)^0</f>
        <v>400000</v>
      </c>
      <c r="L7" s="70" t="n">
        <f aca="false">Assumptions!$C$32*(1+Assumptions!$C$33)^0</f>
        <v>400000</v>
      </c>
      <c r="M7" s="70" t="n">
        <f aca="false">Assumptions!$C$32*(1+Assumptions!$C$33)^0</f>
        <v>400000</v>
      </c>
      <c r="N7" s="66" t="n">
        <f aca="false">SUM(B7:M7)</f>
        <v>4800000</v>
      </c>
      <c r="O7" s="70" t="n">
        <f aca="false">Assumptions!$C$32*(1+Assumptions!$C$33)^1</f>
        <v>428000</v>
      </c>
      <c r="P7" s="70" t="n">
        <f aca="false">Assumptions!$C$32*(1+Assumptions!$C$33)^1</f>
        <v>428000</v>
      </c>
      <c r="Q7" s="70" t="n">
        <f aca="false">Assumptions!$C$32*(1+Assumptions!$C$33)^1</f>
        <v>428000</v>
      </c>
      <c r="R7" s="70" t="n">
        <f aca="false">Assumptions!$C$32*(1+Assumptions!$C$33)^1</f>
        <v>428000</v>
      </c>
      <c r="S7" s="70" t="n">
        <f aca="false">Assumptions!$C$32*(1+Assumptions!$C$33)^1</f>
        <v>428000</v>
      </c>
      <c r="T7" s="70" t="n">
        <f aca="false">Assumptions!$C$32*(1+Assumptions!$C$33)^1</f>
        <v>428000</v>
      </c>
      <c r="U7" s="70" t="n">
        <f aca="false">Assumptions!$C$32*(1+Assumptions!$C$33)^1</f>
        <v>428000</v>
      </c>
      <c r="V7" s="70" t="n">
        <f aca="false">Assumptions!$C$32*(1+Assumptions!$C$33)^1</f>
        <v>428000</v>
      </c>
      <c r="W7" s="70" t="n">
        <f aca="false">Assumptions!$C$32*(1+Assumptions!$C$33)^1</f>
        <v>428000</v>
      </c>
      <c r="X7" s="70" t="n">
        <f aca="false">Assumptions!$C$32*(1+Assumptions!$C$33)^1</f>
        <v>428000</v>
      </c>
      <c r="Y7" s="70" t="n">
        <f aca="false">Assumptions!$C$32*(1+Assumptions!$C$33)^1</f>
        <v>428000</v>
      </c>
      <c r="Z7" s="70" t="n">
        <f aca="false">Assumptions!$C$32*(1+Assumptions!$C$33)^1</f>
        <v>428000</v>
      </c>
      <c r="AA7" s="66" t="n">
        <f aca="false">SUM(O7:Z7)</f>
        <v>5136000</v>
      </c>
      <c r="AB7" s="70" t="n">
        <f aca="false">Assumptions!$C$32*(1+Assumptions!$C$33)^2</f>
        <v>457960</v>
      </c>
      <c r="AC7" s="70" t="n">
        <f aca="false">Assumptions!$C$32*(1+Assumptions!$C$33)^2</f>
        <v>457960</v>
      </c>
      <c r="AD7" s="70" t="n">
        <f aca="false">Assumptions!$C$32*(1+Assumptions!$C$33)^2</f>
        <v>457960</v>
      </c>
      <c r="AE7" s="70" t="n">
        <f aca="false">Assumptions!$C$32*(1+Assumptions!$C$33)^2</f>
        <v>457960</v>
      </c>
      <c r="AF7" s="70" t="n">
        <f aca="false">Assumptions!$C$32*(1+Assumptions!$C$33)^2</f>
        <v>457960</v>
      </c>
      <c r="AG7" s="70" t="n">
        <f aca="false">Assumptions!$C$32*(1+Assumptions!$C$33)^2</f>
        <v>457960</v>
      </c>
      <c r="AH7" s="70" t="n">
        <f aca="false">Assumptions!$C$32*(1+Assumptions!$C$33)^2</f>
        <v>457960</v>
      </c>
      <c r="AI7" s="70" t="n">
        <f aca="false">Assumptions!$C$32*(1+Assumptions!$C$33)^2</f>
        <v>457960</v>
      </c>
      <c r="AJ7" s="70" t="n">
        <f aca="false">Assumptions!$C$32*(1+Assumptions!$C$33)^2</f>
        <v>457960</v>
      </c>
      <c r="AK7" s="70" t="n">
        <f aca="false">Assumptions!$C$32*(1+Assumptions!$C$33)^2</f>
        <v>457960</v>
      </c>
      <c r="AL7" s="70" t="n">
        <f aca="false">Assumptions!$C$32*(1+Assumptions!$C$33)^2</f>
        <v>457960</v>
      </c>
      <c r="AM7" s="70" t="n">
        <f aca="false">Assumptions!$C$32*(1+Assumptions!$C$33)^2</f>
        <v>457960</v>
      </c>
      <c r="AN7" s="66" t="n">
        <f aca="false">SUM(AB7:AM7)</f>
        <v>5495520</v>
      </c>
      <c r="AO7" s="70" t="n">
        <f aca="false">Assumptions!$C$32*(1+Assumptions!$C$33)^3</f>
        <v>490017.2</v>
      </c>
      <c r="AP7" s="70" t="n">
        <f aca="false">Assumptions!$C$32*(1+Assumptions!$C$33)^3</f>
        <v>490017.2</v>
      </c>
      <c r="AQ7" s="70" t="n">
        <f aca="false">Assumptions!$C$32*(1+Assumptions!$C$33)^3</f>
        <v>490017.2</v>
      </c>
      <c r="AR7" s="70" t="n">
        <f aca="false">Assumptions!$C$32*(1+Assumptions!$C$33)^3</f>
        <v>490017.2</v>
      </c>
      <c r="AS7" s="70" t="n">
        <f aca="false">Assumptions!$C$32*(1+Assumptions!$C$33)^3</f>
        <v>490017.2</v>
      </c>
      <c r="AT7" s="70" t="n">
        <f aca="false">Assumptions!$C$32*(1+Assumptions!$C$33)^3</f>
        <v>490017.2</v>
      </c>
      <c r="AU7" s="70" t="n">
        <f aca="false">Assumptions!$C$32*(1+Assumptions!$C$33)^3</f>
        <v>490017.2</v>
      </c>
      <c r="AV7" s="70" t="n">
        <f aca="false">Assumptions!$C$32*(1+Assumptions!$C$33)^3</f>
        <v>490017.2</v>
      </c>
      <c r="AW7" s="70" t="n">
        <f aca="false">Assumptions!$C$32*(1+Assumptions!$C$33)^3</f>
        <v>490017.2</v>
      </c>
      <c r="AX7" s="70" t="n">
        <f aca="false">Assumptions!$C$32*(1+Assumptions!$C$33)^3</f>
        <v>490017.2</v>
      </c>
      <c r="AY7" s="70" t="n">
        <f aca="false">Assumptions!$C$32*(1+Assumptions!$C$33)^3</f>
        <v>490017.2</v>
      </c>
      <c r="AZ7" s="70" t="n">
        <f aca="false">Assumptions!$C$32*(1+Assumptions!$C$33)^3</f>
        <v>490017.2</v>
      </c>
      <c r="BA7" s="66" t="n">
        <f aca="false">SUM(AO7:AZ7)</f>
        <v>5880206.4</v>
      </c>
      <c r="BB7" s="70" t="n">
        <f aca="false">Assumptions!$C$32*(1+Assumptions!$C$33)^4</f>
        <v>524318.404</v>
      </c>
      <c r="BC7" s="70" t="n">
        <f aca="false">Assumptions!$C$32*(1+Assumptions!$C$33)^4</f>
        <v>524318.404</v>
      </c>
      <c r="BD7" s="70" t="n">
        <f aca="false">Assumptions!$C$32*(1+Assumptions!$C$33)^4</f>
        <v>524318.404</v>
      </c>
      <c r="BE7" s="70" t="n">
        <f aca="false">Assumptions!$C$32*(1+Assumptions!$C$33)^4</f>
        <v>524318.404</v>
      </c>
      <c r="BF7" s="70" t="n">
        <f aca="false">Assumptions!$C$32*(1+Assumptions!$C$33)^4</f>
        <v>524318.404</v>
      </c>
      <c r="BG7" s="70" t="n">
        <f aca="false">Assumptions!$C$32*(1+Assumptions!$C$33)^4</f>
        <v>524318.404</v>
      </c>
      <c r="BH7" s="70" t="n">
        <f aca="false">Assumptions!$C$32*(1+Assumptions!$C$33)^4</f>
        <v>524318.404</v>
      </c>
      <c r="BI7" s="70" t="n">
        <f aca="false">Assumptions!$C$32*(1+Assumptions!$C$33)^4</f>
        <v>524318.404</v>
      </c>
      <c r="BJ7" s="70" t="n">
        <f aca="false">Assumptions!$C$32*(1+Assumptions!$C$33)^4</f>
        <v>524318.404</v>
      </c>
      <c r="BK7" s="70" t="n">
        <f aca="false">Assumptions!$C$32*(1+Assumptions!$C$33)^4</f>
        <v>524318.404</v>
      </c>
      <c r="BL7" s="70" t="n">
        <f aca="false">Assumptions!$C$32*(1+Assumptions!$C$33)^4</f>
        <v>524318.404</v>
      </c>
      <c r="BM7" s="70" t="n">
        <f aca="false">Assumptions!$C$32*(1+Assumptions!$C$33)^4</f>
        <v>524318.404</v>
      </c>
      <c r="BN7" s="66" t="n">
        <f aca="false">SUM(BB7:BM7)</f>
        <v>6291820.848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320000</v>
      </c>
      <c r="C8" s="67" t="n">
        <f aca="false">Production!C6*(Assumptions!$C$29*(1+Assumptions!$C$30)^0)</f>
        <v>320000</v>
      </c>
      <c r="D8" s="67" t="n">
        <f aca="false">Production!D6*(Assumptions!$C$29*(1+Assumptions!$C$30)^0)</f>
        <v>320000</v>
      </c>
      <c r="E8" s="67" t="n">
        <f aca="false">Production!E6*(Assumptions!$C$29*(1+Assumptions!$C$30)^0)</f>
        <v>320000</v>
      </c>
      <c r="F8" s="67" t="n">
        <f aca="false">Production!F6*(Assumptions!$C$29*(1+Assumptions!$C$30)^0)</f>
        <v>320000</v>
      </c>
      <c r="G8" s="67" t="n">
        <f aca="false">Production!G6*(Assumptions!$C$29*(1+Assumptions!$C$30)^0)</f>
        <v>320000</v>
      </c>
      <c r="H8" s="67" t="n">
        <f aca="false">Production!H6*(Assumptions!$C$29*(1+Assumptions!$C$30)^0)</f>
        <v>320000</v>
      </c>
      <c r="I8" s="67" t="n">
        <f aca="false">Production!I6*(Assumptions!$C$29*(1+Assumptions!$C$30)^0)</f>
        <v>320000</v>
      </c>
      <c r="J8" s="67" t="n">
        <f aca="false">Production!J6*(Assumptions!$C$29*(1+Assumptions!$C$30)^0)</f>
        <v>320000</v>
      </c>
      <c r="K8" s="67" t="n">
        <f aca="false">Production!K6*(Assumptions!$C$29*(1+Assumptions!$C$30)^0)</f>
        <v>320000</v>
      </c>
      <c r="L8" s="67" t="n">
        <f aca="false">Production!L6*(Assumptions!$C$29*(1+Assumptions!$C$30)^0)</f>
        <v>320000</v>
      </c>
      <c r="M8" s="67" t="n">
        <f aca="false">Production!M6*(Assumptions!$C$29*(1+Assumptions!$C$30)^0)</f>
        <v>320000</v>
      </c>
      <c r="N8" s="66" t="n">
        <f aca="false">SUM(B8:M8)</f>
        <v>3840000</v>
      </c>
      <c r="O8" s="67" t="n">
        <f aca="false">Production!O6*(Assumptions!$C$29*(1+Assumptions!$C$30)^1)</f>
        <v>353600</v>
      </c>
      <c r="P8" s="67" t="n">
        <f aca="false">Production!P6*(Assumptions!$C$29*(1+Assumptions!$C$30)^1)</f>
        <v>353600</v>
      </c>
      <c r="Q8" s="67" t="n">
        <f aca="false">Production!Q6*(Assumptions!$C$29*(1+Assumptions!$C$30)^1)</f>
        <v>353600</v>
      </c>
      <c r="R8" s="67" t="n">
        <f aca="false">Production!R6*(Assumptions!$C$29*(1+Assumptions!$C$30)^1)</f>
        <v>353600</v>
      </c>
      <c r="S8" s="67" t="n">
        <f aca="false">Production!S6*(Assumptions!$C$29*(1+Assumptions!$C$30)^1)</f>
        <v>353600</v>
      </c>
      <c r="T8" s="67" t="n">
        <f aca="false">Production!T6*(Assumptions!$C$29*(1+Assumptions!$C$30)^1)</f>
        <v>353600</v>
      </c>
      <c r="U8" s="67" t="n">
        <f aca="false">Production!U6*(Assumptions!$C$29*(1+Assumptions!$C$30)^1)</f>
        <v>353600</v>
      </c>
      <c r="V8" s="67" t="n">
        <f aca="false">Production!V6*(Assumptions!$C$29*(1+Assumptions!$C$30)^1)</f>
        <v>353600</v>
      </c>
      <c r="W8" s="67" t="n">
        <f aca="false">Production!W6*(Assumptions!$C$29*(1+Assumptions!$C$30)^1)</f>
        <v>353600</v>
      </c>
      <c r="X8" s="67" t="n">
        <f aca="false">Production!X6*(Assumptions!$C$29*(1+Assumptions!$C$30)^1)</f>
        <v>353600</v>
      </c>
      <c r="Y8" s="67" t="n">
        <f aca="false">Production!Y6*(Assumptions!$C$29*(1+Assumptions!$C$30)^1)</f>
        <v>353600</v>
      </c>
      <c r="Z8" s="67" t="n">
        <f aca="false">Production!Z6*(Assumptions!$C$29*(1+Assumptions!$C$30)^1)</f>
        <v>353600</v>
      </c>
      <c r="AA8" s="66" t="n">
        <f aca="false">SUM(O8:Z8)</f>
        <v>4243200</v>
      </c>
      <c r="AB8" s="67" t="n">
        <f aca="false">Production!AB6*(Assumptions!$C$29*(1+Assumptions!$C$30)^2)</f>
        <v>389376</v>
      </c>
      <c r="AC8" s="67" t="n">
        <f aca="false">Production!AC6*(Assumptions!$C$29*(1+Assumptions!$C$30)^2)</f>
        <v>389376</v>
      </c>
      <c r="AD8" s="67" t="n">
        <f aca="false">Production!AD6*(Assumptions!$C$29*(1+Assumptions!$C$30)^2)</f>
        <v>389376</v>
      </c>
      <c r="AE8" s="67" t="n">
        <f aca="false">Production!AE6*(Assumptions!$C$29*(1+Assumptions!$C$30)^2)</f>
        <v>389376</v>
      </c>
      <c r="AF8" s="67" t="n">
        <f aca="false">Production!AF6*(Assumptions!$C$29*(1+Assumptions!$C$30)^2)</f>
        <v>389376</v>
      </c>
      <c r="AG8" s="67" t="n">
        <f aca="false">Production!AG6*(Assumptions!$C$29*(1+Assumptions!$C$30)^2)</f>
        <v>389376</v>
      </c>
      <c r="AH8" s="67" t="n">
        <f aca="false">Production!AH6*(Assumptions!$C$29*(1+Assumptions!$C$30)^2)</f>
        <v>389376</v>
      </c>
      <c r="AI8" s="67" t="n">
        <f aca="false">Production!AI6*(Assumptions!$C$29*(1+Assumptions!$C$30)^2)</f>
        <v>389376</v>
      </c>
      <c r="AJ8" s="67" t="n">
        <f aca="false">Production!AJ6*(Assumptions!$C$29*(1+Assumptions!$C$30)^2)</f>
        <v>389376</v>
      </c>
      <c r="AK8" s="67" t="n">
        <f aca="false">Production!AK6*(Assumptions!$C$29*(1+Assumptions!$C$30)^2)</f>
        <v>389376</v>
      </c>
      <c r="AL8" s="67" t="n">
        <f aca="false">Production!AL6*(Assumptions!$C$29*(1+Assumptions!$C$30)^2)</f>
        <v>389376</v>
      </c>
      <c r="AM8" s="67" t="n">
        <f aca="false">Production!AM6*(Assumptions!$C$29*(1+Assumptions!$C$30)^2)</f>
        <v>389376</v>
      </c>
      <c r="AN8" s="66" t="n">
        <f aca="false">SUM(AB8:AM8)</f>
        <v>4672512</v>
      </c>
      <c r="AO8" s="67" t="n">
        <f aca="false">Production!AO6*(Assumptions!$C$29*(1+Assumptions!$C$30)^3)</f>
        <v>427448.32</v>
      </c>
      <c r="AP8" s="67" t="n">
        <f aca="false">Production!AP6*(Assumptions!$C$29*(1+Assumptions!$C$30)^3)</f>
        <v>427448.32</v>
      </c>
      <c r="AQ8" s="67" t="n">
        <f aca="false">Production!AQ6*(Assumptions!$C$29*(1+Assumptions!$C$30)^3)</f>
        <v>427448.32</v>
      </c>
      <c r="AR8" s="67" t="n">
        <f aca="false">Production!AR6*(Assumptions!$C$29*(1+Assumptions!$C$30)^3)</f>
        <v>427448.32</v>
      </c>
      <c r="AS8" s="67" t="n">
        <f aca="false">Production!AS6*(Assumptions!$C$29*(1+Assumptions!$C$30)^3)</f>
        <v>427448.32</v>
      </c>
      <c r="AT8" s="67" t="n">
        <f aca="false">Production!AT6*(Assumptions!$C$29*(1+Assumptions!$C$30)^3)</f>
        <v>427448.32</v>
      </c>
      <c r="AU8" s="67" t="n">
        <f aca="false">Production!AU6*(Assumptions!$C$29*(1+Assumptions!$C$30)^3)</f>
        <v>427448.32</v>
      </c>
      <c r="AV8" s="67" t="n">
        <f aca="false">Production!AV6*(Assumptions!$C$29*(1+Assumptions!$C$30)^3)</f>
        <v>427448.32</v>
      </c>
      <c r="AW8" s="67" t="n">
        <f aca="false">Production!AW6*(Assumptions!$C$29*(1+Assumptions!$C$30)^3)</f>
        <v>427448.32</v>
      </c>
      <c r="AX8" s="67" t="n">
        <f aca="false">Production!AX6*(Assumptions!$C$29*(1+Assumptions!$C$30)^3)</f>
        <v>427448.32</v>
      </c>
      <c r="AY8" s="67" t="n">
        <f aca="false">Production!AY6*(Assumptions!$C$29*(1+Assumptions!$C$30)^3)</f>
        <v>427448.32</v>
      </c>
      <c r="AZ8" s="67" t="n">
        <f aca="false">Production!AZ6*(Assumptions!$C$29*(1+Assumptions!$C$30)^3)</f>
        <v>427448.32</v>
      </c>
      <c r="BA8" s="66" t="n">
        <f aca="false">SUM(AO8:AZ8)</f>
        <v>5129379.84</v>
      </c>
      <c r="BB8" s="67" t="n">
        <f aca="false">Production!BB6*(Assumptions!$C$29*(1+Assumptions!$C$30)^4)</f>
        <v>467943.424</v>
      </c>
      <c r="BC8" s="67" t="n">
        <f aca="false">Production!BC6*(Assumptions!$C$29*(1+Assumptions!$C$30)^4)</f>
        <v>467943.424</v>
      </c>
      <c r="BD8" s="67" t="n">
        <f aca="false">Production!BD6*(Assumptions!$C$29*(1+Assumptions!$C$30)^4)</f>
        <v>467943.424</v>
      </c>
      <c r="BE8" s="67" t="n">
        <f aca="false">Production!BE6*(Assumptions!$C$29*(1+Assumptions!$C$30)^4)</f>
        <v>467943.424</v>
      </c>
      <c r="BF8" s="67" t="n">
        <f aca="false">Production!BF6*(Assumptions!$C$29*(1+Assumptions!$C$30)^4)</f>
        <v>467943.424</v>
      </c>
      <c r="BG8" s="67" t="n">
        <f aca="false">Production!BG6*(Assumptions!$C$29*(1+Assumptions!$C$30)^4)</f>
        <v>467943.424</v>
      </c>
      <c r="BH8" s="67" t="n">
        <f aca="false">Production!BH6*(Assumptions!$C$29*(1+Assumptions!$C$30)^4)</f>
        <v>467943.424</v>
      </c>
      <c r="BI8" s="67" t="n">
        <f aca="false">Production!BI6*(Assumptions!$C$29*(1+Assumptions!$C$30)^4)</f>
        <v>467943.424</v>
      </c>
      <c r="BJ8" s="67" t="n">
        <f aca="false">Production!BJ6*(Assumptions!$C$29*(1+Assumptions!$C$30)^4)</f>
        <v>467943.424</v>
      </c>
      <c r="BK8" s="67" t="n">
        <f aca="false">Production!BK6*(Assumptions!$C$29*(1+Assumptions!$C$30)^4)</f>
        <v>467943.424</v>
      </c>
      <c r="BL8" s="67" t="n">
        <f aca="false">Production!BL6*(Assumptions!$C$29*(1+Assumptions!$C$30)^4)</f>
        <v>467943.424</v>
      </c>
      <c r="BM8" s="67" t="n">
        <f aca="false">Production!BM6*(Assumptions!$C$29*(1+Assumptions!$C$30)^4)</f>
        <v>467943.424</v>
      </c>
      <c r="BN8" s="66" t="n">
        <f aca="false">SUM(BB8:BM8)</f>
        <v>5615321.088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Operating overheads</v>
      </c>
      <c r="B9" s="70" t="n">
        <f aca="false">Assumptions!$C$34*(1+Assumptions!$C$35)^0</f>
        <v>100000</v>
      </c>
      <c r="C9" s="70" t="n">
        <f aca="false">Assumptions!$C$34*(1+Assumptions!$C$35)^0</f>
        <v>100000</v>
      </c>
      <c r="D9" s="70" t="n">
        <f aca="false">Assumptions!$C$34*(1+Assumptions!$C$35)^0</f>
        <v>100000</v>
      </c>
      <c r="E9" s="70" t="n">
        <f aca="false">Assumptions!$C$34*(1+Assumptions!$C$35)^0</f>
        <v>100000</v>
      </c>
      <c r="F9" s="70" t="n">
        <f aca="false">Assumptions!$C$34*(1+Assumptions!$C$35)^0</f>
        <v>100000</v>
      </c>
      <c r="G9" s="70" t="n">
        <f aca="false">Assumptions!$C$34*(1+Assumptions!$C$35)^0</f>
        <v>100000</v>
      </c>
      <c r="H9" s="70" t="n">
        <f aca="false">Assumptions!$C$34*(1+Assumptions!$C$35)^0</f>
        <v>100000</v>
      </c>
      <c r="I9" s="70" t="n">
        <f aca="false">Assumptions!$C$34*(1+Assumptions!$C$35)^0</f>
        <v>100000</v>
      </c>
      <c r="J9" s="70" t="n">
        <f aca="false">Assumptions!$C$34*(1+Assumptions!$C$35)^0</f>
        <v>100000</v>
      </c>
      <c r="K9" s="70" t="n">
        <f aca="false">Assumptions!$C$34*(1+Assumptions!$C$35)^0</f>
        <v>100000</v>
      </c>
      <c r="L9" s="70" t="n">
        <f aca="false">Assumptions!$C$34*(1+Assumptions!$C$35)^0</f>
        <v>100000</v>
      </c>
      <c r="M9" s="70" t="n">
        <f aca="false">Assumptions!$C$34*(1+Assumptions!$C$35)^0</f>
        <v>100000</v>
      </c>
      <c r="N9" s="66" t="n">
        <f aca="false">SUM(B9:M9)</f>
        <v>1200000</v>
      </c>
      <c r="O9" s="70" t="n">
        <f aca="false">Assumptions!$C$34*(1+Assumptions!$C$35)^1</f>
        <v>105000</v>
      </c>
      <c r="P9" s="70" t="n">
        <f aca="false">Assumptions!$C$34*(1+Assumptions!$C$35)^1</f>
        <v>105000</v>
      </c>
      <c r="Q9" s="70" t="n">
        <f aca="false">Assumptions!$C$34*(1+Assumptions!$C$35)^1</f>
        <v>105000</v>
      </c>
      <c r="R9" s="70" t="n">
        <f aca="false">Assumptions!$C$34*(1+Assumptions!$C$35)^1</f>
        <v>105000</v>
      </c>
      <c r="S9" s="70" t="n">
        <f aca="false">Assumptions!$C$34*(1+Assumptions!$C$35)^1</f>
        <v>105000</v>
      </c>
      <c r="T9" s="70" t="n">
        <f aca="false">Assumptions!$C$34*(1+Assumptions!$C$35)^1</f>
        <v>105000</v>
      </c>
      <c r="U9" s="70" t="n">
        <f aca="false">Assumptions!$C$34*(1+Assumptions!$C$35)^1</f>
        <v>105000</v>
      </c>
      <c r="V9" s="70" t="n">
        <f aca="false">Assumptions!$C$34*(1+Assumptions!$C$35)^1</f>
        <v>105000</v>
      </c>
      <c r="W9" s="70" t="n">
        <f aca="false">Assumptions!$C$34*(1+Assumptions!$C$35)^1</f>
        <v>105000</v>
      </c>
      <c r="X9" s="70" t="n">
        <f aca="false">Assumptions!$C$34*(1+Assumptions!$C$35)^1</f>
        <v>105000</v>
      </c>
      <c r="Y9" s="70" t="n">
        <f aca="false">Assumptions!$C$34*(1+Assumptions!$C$35)^1</f>
        <v>105000</v>
      </c>
      <c r="Z9" s="70" t="n">
        <f aca="false">Assumptions!$C$34*(1+Assumptions!$C$35)^1</f>
        <v>105000</v>
      </c>
      <c r="AA9" s="66" t="n">
        <f aca="false">SUM(O9:Z9)</f>
        <v>1260000</v>
      </c>
      <c r="AB9" s="70" t="n">
        <f aca="false">Assumptions!$C$34*(1+Assumptions!$C$35)^2</f>
        <v>110250</v>
      </c>
      <c r="AC9" s="70" t="n">
        <f aca="false">Assumptions!$C$34*(1+Assumptions!$C$35)^2</f>
        <v>110250</v>
      </c>
      <c r="AD9" s="70" t="n">
        <f aca="false">Assumptions!$C$34*(1+Assumptions!$C$35)^2</f>
        <v>110250</v>
      </c>
      <c r="AE9" s="70" t="n">
        <f aca="false">Assumptions!$C$34*(1+Assumptions!$C$35)^2</f>
        <v>110250</v>
      </c>
      <c r="AF9" s="70" t="n">
        <f aca="false">Assumptions!$C$34*(1+Assumptions!$C$35)^2</f>
        <v>110250</v>
      </c>
      <c r="AG9" s="70" t="n">
        <f aca="false">Assumptions!$C$34*(1+Assumptions!$C$35)^2</f>
        <v>110250</v>
      </c>
      <c r="AH9" s="70" t="n">
        <f aca="false">Assumptions!$C$34*(1+Assumptions!$C$35)^2</f>
        <v>110250</v>
      </c>
      <c r="AI9" s="70" t="n">
        <f aca="false">Assumptions!$C$34*(1+Assumptions!$C$35)^2</f>
        <v>110250</v>
      </c>
      <c r="AJ9" s="70" t="n">
        <f aca="false">Assumptions!$C$34*(1+Assumptions!$C$35)^2</f>
        <v>110250</v>
      </c>
      <c r="AK9" s="70" t="n">
        <f aca="false">Assumptions!$C$34*(1+Assumptions!$C$35)^2</f>
        <v>110250</v>
      </c>
      <c r="AL9" s="70" t="n">
        <f aca="false">Assumptions!$C$34*(1+Assumptions!$C$35)^2</f>
        <v>110250</v>
      </c>
      <c r="AM9" s="70" t="n">
        <f aca="false">Assumptions!$C$34*(1+Assumptions!$C$35)^2</f>
        <v>110250</v>
      </c>
      <c r="AN9" s="66" t="n">
        <f aca="false">SUM(AB9:AM9)</f>
        <v>1323000</v>
      </c>
      <c r="AO9" s="70" t="n">
        <f aca="false">Assumptions!$C$34*(1+Assumptions!$C$35)^3</f>
        <v>115762.5</v>
      </c>
      <c r="AP9" s="70" t="n">
        <f aca="false">Assumptions!$C$34*(1+Assumptions!$C$35)^3</f>
        <v>115762.5</v>
      </c>
      <c r="AQ9" s="70" t="n">
        <f aca="false">Assumptions!$C$34*(1+Assumptions!$C$35)^3</f>
        <v>115762.5</v>
      </c>
      <c r="AR9" s="70" t="n">
        <f aca="false">Assumptions!$C$34*(1+Assumptions!$C$35)^3</f>
        <v>115762.5</v>
      </c>
      <c r="AS9" s="70" t="n">
        <f aca="false">Assumptions!$C$34*(1+Assumptions!$C$35)^3</f>
        <v>115762.5</v>
      </c>
      <c r="AT9" s="70" t="n">
        <f aca="false">Assumptions!$C$34*(1+Assumptions!$C$35)^3</f>
        <v>115762.5</v>
      </c>
      <c r="AU9" s="70" t="n">
        <f aca="false">Assumptions!$C$34*(1+Assumptions!$C$35)^3</f>
        <v>115762.5</v>
      </c>
      <c r="AV9" s="70" t="n">
        <f aca="false">Assumptions!$C$34*(1+Assumptions!$C$35)^3</f>
        <v>115762.5</v>
      </c>
      <c r="AW9" s="70" t="n">
        <f aca="false">Assumptions!$C$34*(1+Assumptions!$C$35)^3</f>
        <v>115762.5</v>
      </c>
      <c r="AX9" s="70" t="n">
        <f aca="false">Assumptions!$C$34*(1+Assumptions!$C$35)^3</f>
        <v>115762.5</v>
      </c>
      <c r="AY9" s="70" t="n">
        <f aca="false">Assumptions!$C$34*(1+Assumptions!$C$35)^3</f>
        <v>115762.5</v>
      </c>
      <c r="AZ9" s="70" t="n">
        <f aca="false">Assumptions!$C$34*(1+Assumptions!$C$35)^3</f>
        <v>115762.5</v>
      </c>
      <c r="BA9" s="66" t="n">
        <f aca="false">SUM(AO9:AZ9)</f>
        <v>1389150</v>
      </c>
      <c r="BB9" s="70" t="n">
        <f aca="false">Assumptions!$C$34*(1+Assumptions!$C$35)^4</f>
        <v>121550.625</v>
      </c>
      <c r="BC9" s="70" t="n">
        <f aca="false">Assumptions!$C$34*(1+Assumptions!$C$35)^4</f>
        <v>121550.625</v>
      </c>
      <c r="BD9" s="70" t="n">
        <f aca="false">Assumptions!$C$34*(1+Assumptions!$C$35)^4</f>
        <v>121550.625</v>
      </c>
      <c r="BE9" s="70" t="n">
        <f aca="false">Assumptions!$C$34*(1+Assumptions!$C$35)^4</f>
        <v>121550.625</v>
      </c>
      <c r="BF9" s="70" t="n">
        <f aca="false">Assumptions!$C$34*(1+Assumptions!$C$35)^4</f>
        <v>121550.625</v>
      </c>
      <c r="BG9" s="70" t="n">
        <f aca="false">Assumptions!$C$34*(1+Assumptions!$C$35)^4</f>
        <v>121550.625</v>
      </c>
      <c r="BH9" s="70" t="n">
        <f aca="false">Assumptions!$C$34*(1+Assumptions!$C$35)^4</f>
        <v>121550.625</v>
      </c>
      <c r="BI9" s="70" t="n">
        <f aca="false">Assumptions!$C$34*(1+Assumptions!$C$35)^4</f>
        <v>121550.625</v>
      </c>
      <c r="BJ9" s="70" t="n">
        <f aca="false">Assumptions!$C$34*(1+Assumptions!$C$35)^4</f>
        <v>121550.625</v>
      </c>
      <c r="BK9" s="70" t="n">
        <f aca="false">Assumptions!$C$34*(1+Assumptions!$C$35)^4</f>
        <v>121550.625</v>
      </c>
      <c r="BL9" s="70" t="n">
        <f aca="false">Assumptions!$C$34*(1+Assumptions!$C$35)^4</f>
        <v>121550.625</v>
      </c>
      <c r="BM9" s="70" t="n">
        <f aca="false">Assumptions!$C$34*(1+Assumptions!$C$35)^4</f>
        <v>121550.625</v>
      </c>
      <c r="BN9" s="66" t="n">
        <f aca="false">SUM(BB9:BM9)</f>
        <v>1458607.5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20000</v>
      </c>
      <c r="C10" s="70" t="n">
        <f aca="false">Assumptions!$C$36*(1+Assumptions!$C$37)^0</f>
        <v>20000</v>
      </c>
      <c r="D10" s="70" t="n">
        <f aca="false">Assumptions!$C$36*(1+Assumptions!$C$37)^0</f>
        <v>20000</v>
      </c>
      <c r="E10" s="70" t="n">
        <f aca="false">Assumptions!$C$36*(1+Assumptions!$C$37)^0</f>
        <v>20000</v>
      </c>
      <c r="F10" s="70" t="n">
        <f aca="false">Assumptions!$C$36*(1+Assumptions!$C$37)^0</f>
        <v>20000</v>
      </c>
      <c r="G10" s="70" t="n">
        <f aca="false">Assumptions!$C$36*(1+Assumptions!$C$37)^0</f>
        <v>20000</v>
      </c>
      <c r="H10" s="70" t="n">
        <f aca="false">Assumptions!$C$36*(1+Assumptions!$C$37)^0</f>
        <v>20000</v>
      </c>
      <c r="I10" s="70" t="n">
        <f aca="false">Assumptions!$C$36*(1+Assumptions!$C$37)^0</f>
        <v>20000</v>
      </c>
      <c r="J10" s="70" t="n">
        <f aca="false">Assumptions!$C$36*(1+Assumptions!$C$37)^0</f>
        <v>20000</v>
      </c>
      <c r="K10" s="70" t="n">
        <f aca="false">Assumptions!$C$36*(1+Assumptions!$C$37)^0</f>
        <v>20000</v>
      </c>
      <c r="L10" s="70" t="n">
        <f aca="false">Assumptions!$C$36*(1+Assumptions!$C$37)^0</f>
        <v>20000</v>
      </c>
      <c r="M10" s="70" t="n">
        <f aca="false">Assumptions!$C$36*(1+Assumptions!$C$37)^0</f>
        <v>20000</v>
      </c>
      <c r="N10" s="66" t="n">
        <f aca="false">SUM(B10:M10)</f>
        <v>240000</v>
      </c>
      <c r="O10" s="70" t="n">
        <f aca="false">Assumptions!$C$36*(1+Assumptions!$C$37)^1</f>
        <v>20800</v>
      </c>
      <c r="P10" s="70" t="n">
        <f aca="false">Assumptions!$C$36*(1+Assumptions!$C$37)^1</f>
        <v>20800</v>
      </c>
      <c r="Q10" s="70" t="n">
        <f aca="false">Assumptions!$C$36*(1+Assumptions!$C$37)^1</f>
        <v>20800</v>
      </c>
      <c r="R10" s="70" t="n">
        <f aca="false">Assumptions!$C$36*(1+Assumptions!$C$37)^1</f>
        <v>20800</v>
      </c>
      <c r="S10" s="70" t="n">
        <f aca="false">Assumptions!$C$36*(1+Assumptions!$C$37)^1</f>
        <v>20800</v>
      </c>
      <c r="T10" s="70" t="n">
        <f aca="false">Assumptions!$C$36*(1+Assumptions!$C$37)^1</f>
        <v>20800</v>
      </c>
      <c r="U10" s="70" t="n">
        <f aca="false">Assumptions!$C$36*(1+Assumptions!$C$37)^1</f>
        <v>20800</v>
      </c>
      <c r="V10" s="70" t="n">
        <f aca="false">Assumptions!$C$36*(1+Assumptions!$C$37)^1</f>
        <v>20800</v>
      </c>
      <c r="W10" s="70" t="n">
        <f aca="false">Assumptions!$C$36*(1+Assumptions!$C$37)^1</f>
        <v>20800</v>
      </c>
      <c r="X10" s="70" t="n">
        <f aca="false">Assumptions!$C$36*(1+Assumptions!$C$37)^1</f>
        <v>20800</v>
      </c>
      <c r="Y10" s="70" t="n">
        <f aca="false">Assumptions!$C$36*(1+Assumptions!$C$37)^1</f>
        <v>20800</v>
      </c>
      <c r="Z10" s="70" t="n">
        <f aca="false">Assumptions!$C$36*(1+Assumptions!$C$37)^1</f>
        <v>20800</v>
      </c>
      <c r="AA10" s="66" t="n">
        <f aca="false">SUM(O10:Z10)</f>
        <v>249600</v>
      </c>
      <c r="AB10" s="70" t="n">
        <f aca="false">Assumptions!$C$36*(1+Assumptions!$C$37)^2</f>
        <v>21632</v>
      </c>
      <c r="AC10" s="70" t="n">
        <f aca="false">Assumptions!$C$36*(1+Assumptions!$C$37)^2</f>
        <v>21632</v>
      </c>
      <c r="AD10" s="70" t="n">
        <f aca="false">Assumptions!$C$36*(1+Assumptions!$C$37)^2</f>
        <v>21632</v>
      </c>
      <c r="AE10" s="70" t="n">
        <f aca="false">Assumptions!$C$36*(1+Assumptions!$C$37)^2</f>
        <v>21632</v>
      </c>
      <c r="AF10" s="70" t="n">
        <f aca="false">Assumptions!$C$36*(1+Assumptions!$C$37)^2</f>
        <v>21632</v>
      </c>
      <c r="AG10" s="70" t="n">
        <f aca="false">Assumptions!$C$36*(1+Assumptions!$C$37)^2</f>
        <v>21632</v>
      </c>
      <c r="AH10" s="70" t="n">
        <f aca="false">Assumptions!$C$36*(1+Assumptions!$C$37)^2</f>
        <v>21632</v>
      </c>
      <c r="AI10" s="70" t="n">
        <f aca="false">Assumptions!$C$36*(1+Assumptions!$C$37)^2</f>
        <v>21632</v>
      </c>
      <c r="AJ10" s="70" t="n">
        <f aca="false">Assumptions!$C$36*(1+Assumptions!$C$37)^2</f>
        <v>21632</v>
      </c>
      <c r="AK10" s="70" t="n">
        <f aca="false">Assumptions!$C$36*(1+Assumptions!$C$37)^2</f>
        <v>21632</v>
      </c>
      <c r="AL10" s="70" t="n">
        <f aca="false">Assumptions!$C$36*(1+Assumptions!$C$37)^2</f>
        <v>21632</v>
      </c>
      <c r="AM10" s="70" t="n">
        <f aca="false">Assumptions!$C$36*(1+Assumptions!$C$37)^2</f>
        <v>21632</v>
      </c>
      <c r="AN10" s="66" t="n">
        <f aca="false">SUM(AB10:AM10)</f>
        <v>259584</v>
      </c>
      <c r="AO10" s="70" t="n">
        <f aca="false">Assumptions!$C$36*(1+Assumptions!$C$37)^3</f>
        <v>22497.28</v>
      </c>
      <c r="AP10" s="70" t="n">
        <f aca="false">Assumptions!$C$36*(1+Assumptions!$C$37)^3</f>
        <v>22497.28</v>
      </c>
      <c r="AQ10" s="70" t="n">
        <f aca="false">Assumptions!$C$36*(1+Assumptions!$C$37)^3</f>
        <v>22497.28</v>
      </c>
      <c r="AR10" s="70" t="n">
        <f aca="false">Assumptions!$C$36*(1+Assumptions!$C$37)^3</f>
        <v>22497.28</v>
      </c>
      <c r="AS10" s="70" t="n">
        <f aca="false">Assumptions!$C$36*(1+Assumptions!$C$37)^3</f>
        <v>22497.28</v>
      </c>
      <c r="AT10" s="70" t="n">
        <f aca="false">Assumptions!$C$36*(1+Assumptions!$C$37)^3</f>
        <v>22497.28</v>
      </c>
      <c r="AU10" s="70" t="n">
        <f aca="false">Assumptions!$C$36*(1+Assumptions!$C$37)^3</f>
        <v>22497.28</v>
      </c>
      <c r="AV10" s="70" t="n">
        <f aca="false">Assumptions!$C$36*(1+Assumptions!$C$37)^3</f>
        <v>22497.28</v>
      </c>
      <c r="AW10" s="70" t="n">
        <f aca="false">Assumptions!$C$36*(1+Assumptions!$C$37)^3</f>
        <v>22497.28</v>
      </c>
      <c r="AX10" s="70" t="n">
        <f aca="false">Assumptions!$C$36*(1+Assumptions!$C$37)^3</f>
        <v>22497.28</v>
      </c>
      <c r="AY10" s="70" t="n">
        <f aca="false">Assumptions!$C$36*(1+Assumptions!$C$37)^3</f>
        <v>22497.28</v>
      </c>
      <c r="AZ10" s="70" t="n">
        <f aca="false">Assumptions!$C$36*(1+Assumptions!$C$37)^3</f>
        <v>22497.28</v>
      </c>
      <c r="BA10" s="66" t="n">
        <f aca="false">SUM(AO10:AZ10)</f>
        <v>269967.36</v>
      </c>
      <c r="BB10" s="70" t="n">
        <f aca="false">Assumptions!$C$36*(1+Assumptions!$C$37)^4</f>
        <v>23397.1712</v>
      </c>
      <c r="BC10" s="70" t="n">
        <f aca="false">Assumptions!$C$36*(1+Assumptions!$C$37)^4</f>
        <v>23397.1712</v>
      </c>
      <c r="BD10" s="70" t="n">
        <f aca="false">Assumptions!$C$36*(1+Assumptions!$C$37)^4</f>
        <v>23397.1712</v>
      </c>
      <c r="BE10" s="70" t="n">
        <f aca="false">Assumptions!$C$36*(1+Assumptions!$C$37)^4</f>
        <v>23397.1712</v>
      </c>
      <c r="BF10" s="70" t="n">
        <f aca="false">Assumptions!$C$36*(1+Assumptions!$C$37)^4</f>
        <v>23397.1712</v>
      </c>
      <c r="BG10" s="70" t="n">
        <f aca="false">Assumptions!$C$36*(1+Assumptions!$C$37)^4</f>
        <v>23397.1712</v>
      </c>
      <c r="BH10" s="70" t="n">
        <f aca="false">Assumptions!$C$36*(1+Assumptions!$C$37)^4</f>
        <v>23397.1712</v>
      </c>
      <c r="BI10" s="70" t="n">
        <f aca="false">Assumptions!$C$36*(1+Assumptions!$C$37)^4</f>
        <v>23397.1712</v>
      </c>
      <c r="BJ10" s="70" t="n">
        <f aca="false">Assumptions!$C$36*(1+Assumptions!$C$37)^4</f>
        <v>23397.1712</v>
      </c>
      <c r="BK10" s="70" t="n">
        <f aca="false">Assumptions!$C$36*(1+Assumptions!$C$37)^4</f>
        <v>23397.1712</v>
      </c>
      <c r="BL10" s="70" t="n">
        <f aca="false">Assumptions!$C$36*(1+Assumptions!$C$37)^4</f>
        <v>23397.1712</v>
      </c>
      <c r="BM10" s="70" t="n">
        <f aca="false">Assumptions!$C$36*(1+Assumptions!$C$37)^4</f>
        <v>23397.1712</v>
      </c>
      <c r="BN10" s="66" t="n">
        <f aca="false">SUM(BB10:BM10)</f>
        <v>280766.0544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50000</v>
      </c>
      <c r="C11" s="70" t="n">
        <f aca="false">Assumptions!$C$38*(1+Assumptions!$C$39)^0</f>
        <v>50000</v>
      </c>
      <c r="D11" s="70" t="n">
        <f aca="false">Assumptions!$C$38*(1+Assumptions!$C$39)^0</f>
        <v>50000</v>
      </c>
      <c r="E11" s="70" t="n">
        <f aca="false">Assumptions!$C$38*(1+Assumptions!$C$39)^0</f>
        <v>50000</v>
      </c>
      <c r="F11" s="70" t="n">
        <f aca="false">Assumptions!$C$38*(1+Assumptions!$C$39)^0</f>
        <v>50000</v>
      </c>
      <c r="G11" s="70" t="n">
        <f aca="false">Assumptions!$C$38*(1+Assumptions!$C$39)^0</f>
        <v>50000</v>
      </c>
      <c r="H11" s="70" t="n">
        <f aca="false">Assumptions!$C$38*(1+Assumptions!$C$39)^0</f>
        <v>50000</v>
      </c>
      <c r="I11" s="70" t="n">
        <f aca="false">Assumptions!$C$38*(1+Assumptions!$C$39)^0</f>
        <v>50000</v>
      </c>
      <c r="J11" s="70" t="n">
        <f aca="false">Assumptions!$C$38*(1+Assumptions!$C$39)^0</f>
        <v>50000</v>
      </c>
      <c r="K11" s="70" t="n">
        <f aca="false">Assumptions!$C$38*(1+Assumptions!$C$39)^0</f>
        <v>50000</v>
      </c>
      <c r="L11" s="70" t="n">
        <f aca="false">Assumptions!$C$38*(1+Assumptions!$C$39)^0</f>
        <v>50000</v>
      </c>
      <c r="M11" s="70" t="n">
        <f aca="false">Assumptions!$C$38*(1+Assumptions!$C$39)^0</f>
        <v>50000</v>
      </c>
      <c r="N11" s="66" t="n">
        <f aca="false">SUM(B11:M11)</f>
        <v>600000</v>
      </c>
      <c r="O11" s="70" t="n">
        <f aca="false">Assumptions!$C$38*(1+Assumptions!$C$39)^1</f>
        <v>52500</v>
      </c>
      <c r="P11" s="70" t="n">
        <f aca="false">Assumptions!$C$38*(1+Assumptions!$C$39)^1</f>
        <v>52500</v>
      </c>
      <c r="Q11" s="70" t="n">
        <f aca="false">Assumptions!$C$38*(1+Assumptions!$C$39)^1</f>
        <v>52500</v>
      </c>
      <c r="R11" s="70" t="n">
        <f aca="false">Assumptions!$C$38*(1+Assumptions!$C$39)^1</f>
        <v>52500</v>
      </c>
      <c r="S11" s="70" t="n">
        <f aca="false">Assumptions!$C$38*(1+Assumptions!$C$39)^1</f>
        <v>52500</v>
      </c>
      <c r="T11" s="70" t="n">
        <f aca="false">Assumptions!$C$38*(1+Assumptions!$C$39)^1</f>
        <v>52500</v>
      </c>
      <c r="U11" s="70" t="n">
        <f aca="false">Assumptions!$C$38*(1+Assumptions!$C$39)^1</f>
        <v>52500</v>
      </c>
      <c r="V11" s="70" t="n">
        <f aca="false">Assumptions!$C$38*(1+Assumptions!$C$39)^1</f>
        <v>52500</v>
      </c>
      <c r="W11" s="70" t="n">
        <f aca="false">Assumptions!$C$38*(1+Assumptions!$C$39)^1</f>
        <v>52500</v>
      </c>
      <c r="X11" s="70" t="n">
        <f aca="false">Assumptions!$C$38*(1+Assumptions!$C$39)^1</f>
        <v>52500</v>
      </c>
      <c r="Y11" s="70" t="n">
        <f aca="false">Assumptions!$C$38*(1+Assumptions!$C$39)^1</f>
        <v>52500</v>
      </c>
      <c r="Z11" s="70" t="n">
        <f aca="false">Assumptions!$C$38*(1+Assumptions!$C$39)^1</f>
        <v>52500</v>
      </c>
      <c r="AA11" s="66" t="n">
        <f aca="false">SUM(O11:Z11)</f>
        <v>630000</v>
      </c>
      <c r="AB11" s="70" t="n">
        <f aca="false">Assumptions!$C$38*(1+Assumptions!$C$39)^2</f>
        <v>55125</v>
      </c>
      <c r="AC11" s="70" t="n">
        <f aca="false">Assumptions!$C$38*(1+Assumptions!$C$39)^2</f>
        <v>55125</v>
      </c>
      <c r="AD11" s="70" t="n">
        <f aca="false">Assumptions!$C$38*(1+Assumptions!$C$39)^2</f>
        <v>55125</v>
      </c>
      <c r="AE11" s="70" t="n">
        <f aca="false">Assumptions!$C$38*(1+Assumptions!$C$39)^2</f>
        <v>55125</v>
      </c>
      <c r="AF11" s="70" t="n">
        <f aca="false">Assumptions!$C$38*(1+Assumptions!$C$39)^2</f>
        <v>55125</v>
      </c>
      <c r="AG11" s="70" t="n">
        <f aca="false">Assumptions!$C$38*(1+Assumptions!$C$39)^2</f>
        <v>55125</v>
      </c>
      <c r="AH11" s="70" t="n">
        <f aca="false">Assumptions!$C$38*(1+Assumptions!$C$39)^2</f>
        <v>55125</v>
      </c>
      <c r="AI11" s="70" t="n">
        <f aca="false">Assumptions!$C$38*(1+Assumptions!$C$39)^2</f>
        <v>55125</v>
      </c>
      <c r="AJ11" s="70" t="n">
        <f aca="false">Assumptions!$C$38*(1+Assumptions!$C$39)^2</f>
        <v>55125</v>
      </c>
      <c r="AK11" s="70" t="n">
        <f aca="false">Assumptions!$C$38*(1+Assumptions!$C$39)^2</f>
        <v>55125</v>
      </c>
      <c r="AL11" s="70" t="n">
        <f aca="false">Assumptions!$C$38*(1+Assumptions!$C$39)^2</f>
        <v>55125</v>
      </c>
      <c r="AM11" s="70" t="n">
        <f aca="false">Assumptions!$C$38*(1+Assumptions!$C$39)^2</f>
        <v>55125</v>
      </c>
      <c r="AN11" s="66" t="n">
        <f aca="false">SUM(AB11:AM11)</f>
        <v>661500</v>
      </c>
      <c r="AO11" s="70" t="n">
        <f aca="false">Assumptions!$C$38*(1+Assumptions!$C$39)^3</f>
        <v>57881.25</v>
      </c>
      <c r="AP11" s="70" t="n">
        <f aca="false">Assumptions!$C$38*(1+Assumptions!$C$39)^3</f>
        <v>57881.25</v>
      </c>
      <c r="AQ11" s="70" t="n">
        <f aca="false">Assumptions!$C$38*(1+Assumptions!$C$39)^3</f>
        <v>57881.25</v>
      </c>
      <c r="AR11" s="70" t="n">
        <f aca="false">Assumptions!$C$38*(1+Assumptions!$C$39)^3</f>
        <v>57881.25</v>
      </c>
      <c r="AS11" s="70" t="n">
        <f aca="false">Assumptions!$C$38*(1+Assumptions!$C$39)^3</f>
        <v>57881.25</v>
      </c>
      <c r="AT11" s="70" t="n">
        <f aca="false">Assumptions!$C$38*(1+Assumptions!$C$39)^3</f>
        <v>57881.25</v>
      </c>
      <c r="AU11" s="70" t="n">
        <f aca="false">Assumptions!$C$38*(1+Assumptions!$C$39)^3</f>
        <v>57881.25</v>
      </c>
      <c r="AV11" s="70" t="n">
        <f aca="false">Assumptions!$C$38*(1+Assumptions!$C$39)^3</f>
        <v>57881.25</v>
      </c>
      <c r="AW11" s="70" t="n">
        <f aca="false">Assumptions!$C$38*(1+Assumptions!$C$39)^3</f>
        <v>57881.25</v>
      </c>
      <c r="AX11" s="70" t="n">
        <f aca="false">Assumptions!$C$38*(1+Assumptions!$C$39)^3</f>
        <v>57881.25</v>
      </c>
      <c r="AY11" s="70" t="n">
        <f aca="false">Assumptions!$C$38*(1+Assumptions!$C$39)^3</f>
        <v>57881.25</v>
      </c>
      <c r="AZ11" s="70" t="n">
        <f aca="false">Assumptions!$C$38*(1+Assumptions!$C$39)^3</f>
        <v>57881.25</v>
      </c>
      <c r="BA11" s="66" t="n">
        <f aca="false">SUM(AO11:AZ11)</f>
        <v>694575</v>
      </c>
      <c r="BB11" s="70" t="n">
        <f aca="false">Assumptions!$C$38*(1+Assumptions!$C$39)^4</f>
        <v>60775.3125</v>
      </c>
      <c r="BC11" s="70" t="n">
        <f aca="false">Assumptions!$C$38*(1+Assumptions!$C$39)^4</f>
        <v>60775.3125</v>
      </c>
      <c r="BD11" s="70" t="n">
        <f aca="false">Assumptions!$C$38*(1+Assumptions!$C$39)^4</f>
        <v>60775.3125</v>
      </c>
      <c r="BE11" s="70" t="n">
        <f aca="false">Assumptions!$C$38*(1+Assumptions!$C$39)^4</f>
        <v>60775.3125</v>
      </c>
      <c r="BF11" s="70" t="n">
        <f aca="false">Assumptions!$C$38*(1+Assumptions!$C$39)^4</f>
        <v>60775.3125</v>
      </c>
      <c r="BG11" s="70" t="n">
        <f aca="false">Assumptions!$C$38*(1+Assumptions!$C$39)^4</f>
        <v>60775.3125</v>
      </c>
      <c r="BH11" s="70" t="n">
        <f aca="false">Assumptions!$C$38*(1+Assumptions!$C$39)^4</f>
        <v>60775.3125</v>
      </c>
      <c r="BI11" s="70" t="n">
        <f aca="false">Assumptions!$C$38*(1+Assumptions!$C$39)^4</f>
        <v>60775.3125</v>
      </c>
      <c r="BJ11" s="70" t="n">
        <f aca="false">Assumptions!$C$38*(1+Assumptions!$C$39)^4</f>
        <v>60775.3125</v>
      </c>
      <c r="BK11" s="70" t="n">
        <f aca="false">Assumptions!$C$38*(1+Assumptions!$C$39)^4</f>
        <v>60775.3125</v>
      </c>
      <c r="BL11" s="70" t="n">
        <f aca="false">Assumptions!$C$38*(1+Assumptions!$C$39)^4</f>
        <v>60775.3125</v>
      </c>
      <c r="BM11" s="70" t="n">
        <f aca="false">Assumptions!$C$38*(1+Assumptions!$C$39)^4</f>
        <v>60775.3125</v>
      </c>
      <c r="BN11" s="66" t="n">
        <f aca="false">SUM(BB11:BM11)</f>
        <v>729303.75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192000</v>
      </c>
      <c r="C12" s="67" t="n">
        <f aca="false">Sales!C7*Assumptions!$C$40</f>
        <v>192000</v>
      </c>
      <c r="D12" s="67" t="n">
        <f aca="false">Sales!D7*Assumptions!$C$40</f>
        <v>192000</v>
      </c>
      <c r="E12" s="67" t="n">
        <f aca="false">Sales!E7*Assumptions!$C$40</f>
        <v>192000</v>
      </c>
      <c r="F12" s="67" t="n">
        <f aca="false">Sales!F7*Assumptions!$C$40</f>
        <v>192000</v>
      </c>
      <c r="G12" s="67" t="n">
        <f aca="false">Sales!G7*Assumptions!$C$40</f>
        <v>192000</v>
      </c>
      <c r="H12" s="67" t="n">
        <f aca="false">Sales!H7*Assumptions!$C$40</f>
        <v>192000</v>
      </c>
      <c r="I12" s="67" t="n">
        <f aca="false">Sales!I7*Assumptions!$C$40</f>
        <v>192000</v>
      </c>
      <c r="J12" s="67" t="n">
        <f aca="false">Sales!J7*Assumptions!$C$40</f>
        <v>192000</v>
      </c>
      <c r="K12" s="67" t="n">
        <f aca="false">Sales!K7*Assumptions!$C$40</f>
        <v>192000</v>
      </c>
      <c r="L12" s="67" t="n">
        <f aca="false">Sales!L7*Assumptions!$C$40</f>
        <v>192000</v>
      </c>
      <c r="M12" s="67" t="n">
        <f aca="false">Sales!M7*Assumptions!$C$40</f>
        <v>192000</v>
      </c>
      <c r="N12" s="66" t="n">
        <f aca="false">SUM(B12:M12)</f>
        <v>2304000</v>
      </c>
      <c r="O12" s="67" t="n">
        <f aca="false">Sales!O7*Assumptions!$C$40</f>
        <v>214200</v>
      </c>
      <c r="P12" s="67" t="n">
        <f aca="false">Sales!P7*Assumptions!$C$40</f>
        <v>214200</v>
      </c>
      <c r="Q12" s="67" t="n">
        <f aca="false">Sales!Q7*Assumptions!$C$40</f>
        <v>214200</v>
      </c>
      <c r="R12" s="67" t="n">
        <f aca="false">Sales!R7*Assumptions!$C$40</f>
        <v>214200</v>
      </c>
      <c r="S12" s="67" t="n">
        <f aca="false">Sales!S7*Assumptions!$C$40</f>
        <v>214200</v>
      </c>
      <c r="T12" s="67" t="n">
        <f aca="false">Sales!T7*Assumptions!$C$40</f>
        <v>214200</v>
      </c>
      <c r="U12" s="67" t="n">
        <f aca="false">Sales!U7*Assumptions!$C$40</f>
        <v>214200</v>
      </c>
      <c r="V12" s="67" t="n">
        <f aca="false">Sales!V7*Assumptions!$C$40</f>
        <v>214200</v>
      </c>
      <c r="W12" s="67" t="n">
        <f aca="false">Sales!W7*Assumptions!$C$40</f>
        <v>214200</v>
      </c>
      <c r="X12" s="67" t="n">
        <f aca="false">Sales!X7*Assumptions!$C$40</f>
        <v>214200</v>
      </c>
      <c r="Y12" s="67" t="n">
        <f aca="false">Sales!Y7*Assumptions!$C$40</f>
        <v>214200</v>
      </c>
      <c r="Z12" s="67" t="n">
        <f aca="false">Sales!Z7*Assumptions!$C$40</f>
        <v>214200</v>
      </c>
      <c r="AA12" s="66" t="n">
        <f aca="false">SUM(O12:Z12)</f>
        <v>2570400</v>
      </c>
      <c r="AB12" s="67" t="n">
        <f aca="false">Sales!AB7*Assumptions!$C$40</f>
        <v>238140</v>
      </c>
      <c r="AC12" s="67" t="n">
        <f aca="false">Sales!AC7*Assumptions!$C$40</f>
        <v>238140</v>
      </c>
      <c r="AD12" s="67" t="n">
        <f aca="false">Sales!AD7*Assumptions!$C$40</f>
        <v>238140</v>
      </c>
      <c r="AE12" s="67" t="n">
        <f aca="false">Sales!AE7*Assumptions!$C$40</f>
        <v>238140</v>
      </c>
      <c r="AF12" s="67" t="n">
        <f aca="false">Sales!AF7*Assumptions!$C$40</f>
        <v>238140</v>
      </c>
      <c r="AG12" s="67" t="n">
        <f aca="false">Sales!AG7*Assumptions!$C$40</f>
        <v>238140</v>
      </c>
      <c r="AH12" s="67" t="n">
        <f aca="false">Sales!AH7*Assumptions!$C$40</f>
        <v>238140</v>
      </c>
      <c r="AI12" s="67" t="n">
        <f aca="false">Sales!AI7*Assumptions!$C$40</f>
        <v>238140</v>
      </c>
      <c r="AJ12" s="67" t="n">
        <f aca="false">Sales!AJ7*Assumptions!$C$40</f>
        <v>238140</v>
      </c>
      <c r="AK12" s="67" t="n">
        <f aca="false">Sales!AK7*Assumptions!$C$40</f>
        <v>238140</v>
      </c>
      <c r="AL12" s="67" t="n">
        <f aca="false">Sales!AL7*Assumptions!$C$40</f>
        <v>238140</v>
      </c>
      <c r="AM12" s="67" t="n">
        <f aca="false">Sales!AM7*Assumptions!$C$40</f>
        <v>238140</v>
      </c>
      <c r="AN12" s="66" t="n">
        <f aca="false">SUM(AB12:AM12)</f>
        <v>2857680</v>
      </c>
      <c r="AO12" s="67" t="n">
        <f aca="false">Sales!AO7*Assumptions!$C$40</f>
        <v>263938.5</v>
      </c>
      <c r="AP12" s="67" t="n">
        <f aca="false">Sales!AP7*Assumptions!$C$40</f>
        <v>263938.5</v>
      </c>
      <c r="AQ12" s="67" t="n">
        <f aca="false">Sales!AQ7*Assumptions!$C$40</f>
        <v>263938.5</v>
      </c>
      <c r="AR12" s="67" t="n">
        <f aca="false">Sales!AR7*Assumptions!$C$40</f>
        <v>263938.5</v>
      </c>
      <c r="AS12" s="67" t="n">
        <f aca="false">Sales!AS7*Assumptions!$C$40</f>
        <v>263938.5</v>
      </c>
      <c r="AT12" s="67" t="n">
        <f aca="false">Sales!AT7*Assumptions!$C$40</f>
        <v>263938.5</v>
      </c>
      <c r="AU12" s="67" t="n">
        <f aca="false">Sales!AU7*Assumptions!$C$40</f>
        <v>263938.5</v>
      </c>
      <c r="AV12" s="67" t="n">
        <f aca="false">Sales!AV7*Assumptions!$C$40</f>
        <v>263938.5</v>
      </c>
      <c r="AW12" s="67" t="n">
        <f aca="false">Sales!AW7*Assumptions!$C$40</f>
        <v>263938.5</v>
      </c>
      <c r="AX12" s="67" t="n">
        <f aca="false">Sales!AX7*Assumptions!$C$40</f>
        <v>263938.5</v>
      </c>
      <c r="AY12" s="67" t="n">
        <f aca="false">Sales!AY7*Assumptions!$C$40</f>
        <v>263938.5</v>
      </c>
      <c r="AZ12" s="67" t="n">
        <f aca="false">Sales!AZ7*Assumptions!$C$40</f>
        <v>263938.5</v>
      </c>
      <c r="BA12" s="66" t="n">
        <f aca="false">SUM(AO12:AZ12)</f>
        <v>3167262</v>
      </c>
      <c r="BB12" s="67" t="n">
        <f aca="false">Sales!BB7*Assumptions!$C$40</f>
        <v>291721.5</v>
      </c>
      <c r="BC12" s="67" t="n">
        <f aca="false">Sales!BC7*Assumptions!$C$40</f>
        <v>291721.5</v>
      </c>
      <c r="BD12" s="67" t="n">
        <f aca="false">Sales!BD7*Assumptions!$C$40</f>
        <v>291721.5</v>
      </c>
      <c r="BE12" s="67" t="n">
        <f aca="false">Sales!BE7*Assumptions!$C$40</f>
        <v>291721.5</v>
      </c>
      <c r="BF12" s="67" t="n">
        <f aca="false">Sales!BF7*Assumptions!$C$40</f>
        <v>291721.5</v>
      </c>
      <c r="BG12" s="67" t="n">
        <f aca="false">Sales!BG7*Assumptions!$C$40</f>
        <v>291721.5</v>
      </c>
      <c r="BH12" s="67" t="n">
        <f aca="false">Sales!BH7*Assumptions!$C$40</f>
        <v>291721.5</v>
      </c>
      <c r="BI12" s="67" t="n">
        <f aca="false">Sales!BI7*Assumptions!$C$40</f>
        <v>291721.5</v>
      </c>
      <c r="BJ12" s="67" t="n">
        <f aca="false">Sales!BJ7*Assumptions!$C$40</f>
        <v>291721.5</v>
      </c>
      <c r="BK12" s="67" t="n">
        <f aca="false">Sales!BK7*Assumptions!$C$40</f>
        <v>291721.5</v>
      </c>
      <c r="BL12" s="67" t="n">
        <f aca="false">Sales!BL7*Assumptions!$C$40</f>
        <v>291721.5</v>
      </c>
      <c r="BM12" s="67" t="n">
        <f aca="false">Sales!BM7*Assumptions!$C$40</f>
        <v>291721.5</v>
      </c>
      <c r="BN12" s="66" t="n">
        <f aca="false">SUM(BB12:BM12)</f>
        <v>3500658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7916.66666666667</v>
      </c>
      <c r="C13" s="70" t="n">
        <f aca="false">(Assumptions!$C$43*Assumptions!$C$44+Assumptions!$C$45*Assumptions!$C$46+Assumptions!$C$47*Assumptions!$C$48)/12</f>
        <v>7916.66666666667</v>
      </c>
      <c r="D13" s="70" t="n">
        <f aca="false">(Assumptions!$C$43*Assumptions!$C$44+Assumptions!$C$45*Assumptions!$C$46+Assumptions!$C$47*Assumptions!$C$48)/12</f>
        <v>7916.66666666667</v>
      </c>
      <c r="E13" s="70" t="n">
        <f aca="false">(Assumptions!$C$43*Assumptions!$C$44+Assumptions!$C$45*Assumptions!$C$46+Assumptions!$C$47*Assumptions!$C$48)/12</f>
        <v>7916.66666666667</v>
      </c>
      <c r="F13" s="70" t="n">
        <f aca="false">(Assumptions!$C$43*Assumptions!$C$44+Assumptions!$C$45*Assumptions!$C$46+Assumptions!$C$47*Assumptions!$C$48)/12</f>
        <v>7916.66666666667</v>
      </c>
      <c r="G13" s="70" t="n">
        <f aca="false">(Assumptions!$C$43*Assumptions!$C$44+Assumptions!$C$45*Assumptions!$C$46+Assumptions!$C$47*Assumptions!$C$48)/12</f>
        <v>7916.66666666667</v>
      </c>
      <c r="H13" s="70" t="n">
        <f aca="false">(Assumptions!$C$43*Assumptions!$C$44+Assumptions!$C$45*Assumptions!$C$46+Assumptions!$C$47*Assumptions!$C$48)/12</f>
        <v>7916.66666666667</v>
      </c>
      <c r="I13" s="70" t="n">
        <f aca="false">(Assumptions!$C$43*Assumptions!$C$44+Assumptions!$C$45*Assumptions!$C$46+Assumptions!$C$47*Assumptions!$C$48)/12</f>
        <v>7916.66666666667</v>
      </c>
      <c r="J13" s="70" t="n">
        <f aca="false">(Assumptions!$C$43*Assumptions!$C$44+Assumptions!$C$45*Assumptions!$C$46+Assumptions!$C$47*Assumptions!$C$48)/12</f>
        <v>7916.66666666667</v>
      </c>
      <c r="K13" s="70" t="n">
        <f aca="false">(Assumptions!$C$43*Assumptions!$C$44+Assumptions!$C$45*Assumptions!$C$46+Assumptions!$C$47*Assumptions!$C$48)/12</f>
        <v>7916.66666666667</v>
      </c>
      <c r="L13" s="70" t="n">
        <f aca="false">(Assumptions!$C$43*Assumptions!$C$44+Assumptions!$C$45*Assumptions!$C$46+Assumptions!$C$47*Assumptions!$C$48)/12</f>
        <v>7916.66666666667</v>
      </c>
      <c r="M13" s="70" t="n">
        <f aca="false">(Assumptions!$C$43*Assumptions!$C$44+Assumptions!$C$45*Assumptions!$C$46+Assumptions!$C$47*Assumptions!$C$48)/12</f>
        <v>7916.66666666667</v>
      </c>
      <c r="N13" s="66" t="n">
        <f aca="false">SUM(B13:M13)</f>
        <v>95000</v>
      </c>
      <c r="O13" s="70" t="n">
        <f aca="false">(Assumptions!$C$43*Assumptions!$C$44+Assumptions!$C$45*Assumptions!$C$46+Assumptions!$C$47*Assumptions!$C$48)/12</f>
        <v>7916.66666666667</v>
      </c>
      <c r="P13" s="70" t="n">
        <f aca="false">(Assumptions!$C$43*Assumptions!$C$44+Assumptions!$C$45*Assumptions!$C$46+Assumptions!$C$47*Assumptions!$C$48)/12</f>
        <v>7916.66666666667</v>
      </c>
      <c r="Q13" s="70" t="n">
        <f aca="false">(Assumptions!$C$43*Assumptions!$C$44+Assumptions!$C$45*Assumptions!$C$46+Assumptions!$C$47*Assumptions!$C$48)/12</f>
        <v>7916.66666666667</v>
      </c>
      <c r="R13" s="70" t="n">
        <f aca="false">(Assumptions!$C$43*Assumptions!$C$44+Assumptions!$C$45*Assumptions!$C$46+Assumptions!$C$47*Assumptions!$C$48)/12</f>
        <v>7916.66666666667</v>
      </c>
      <c r="S13" s="70" t="n">
        <f aca="false">(Assumptions!$C$43*Assumptions!$C$44+Assumptions!$C$45*Assumptions!$C$46+Assumptions!$C$47*Assumptions!$C$48)/12</f>
        <v>7916.66666666667</v>
      </c>
      <c r="T13" s="70" t="n">
        <f aca="false">(Assumptions!$C$43*Assumptions!$C$44+Assumptions!$C$45*Assumptions!$C$46+Assumptions!$C$47*Assumptions!$C$48)/12</f>
        <v>7916.66666666667</v>
      </c>
      <c r="U13" s="70" t="n">
        <f aca="false">(Assumptions!$C$43*Assumptions!$C$44+Assumptions!$C$45*Assumptions!$C$46+Assumptions!$C$47*Assumptions!$C$48)/12</f>
        <v>7916.66666666667</v>
      </c>
      <c r="V13" s="70" t="n">
        <f aca="false">(Assumptions!$C$43*Assumptions!$C$44+Assumptions!$C$45*Assumptions!$C$46+Assumptions!$C$47*Assumptions!$C$48)/12</f>
        <v>7916.66666666667</v>
      </c>
      <c r="W13" s="70" t="n">
        <f aca="false">(Assumptions!$C$43*Assumptions!$C$44+Assumptions!$C$45*Assumptions!$C$46+Assumptions!$C$47*Assumptions!$C$48)/12</f>
        <v>7916.66666666667</v>
      </c>
      <c r="X13" s="70" t="n">
        <f aca="false">(Assumptions!$C$43*Assumptions!$C$44+Assumptions!$C$45*Assumptions!$C$46+Assumptions!$C$47*Assumptions!$C$48)/12</f>
        <v>7916.66666666667</v>
      </c>
      <c r="Y13" s="70" t="n">
        <f aca="false">(Assumptions!$C$43*Assumptions!$C$44+Assumptions!$C$45*Assumptions!$C$46+Assumptions!$C$47*Assumptions!$C$48)/12</f>
        <v>7916.66666666667</v>
      </c>
      <c r="Z13" s="70" t="n">
        <f aca="false">(Assumptions!$C$43*Assumptions!$C$44+Assumptions!$C$45*Assumptions!$C$46+Assumptions!$C$47*Assumptions!$C$48)/12</f>
        <v>7916.66666666667</v>
      </c>
      <c r="AA13" s="66" t="n">
        <f aca="false">SUM(O13:Z13)</f>
        <v>95000</v>
      </c>
      <c r="AB13" s="70" t="n">
        <f aca="false">(Assumptions!$C$43*Assumptions!$C$44+Assumptions!$C$45*Assumptions!$C$46+Assumptions!$C$47*Assumptions!$C$48)/12</f>
        <v>7916.66666666667</v>
      </c>
      <c r="AC13" s="70" t="n">
        <f aca="false">(Assumptions!$C$43*Assumptions!$C$44+Assumptions!$C$45*Assumptions!$C$46+Assumptions!$C$47*Assumptions!$C$48)/12</f>
        <v>7916.66666666667</v>
      </c>
      <c r="AD13" s="70" t="n">
        <f aca="false">(Assumptions!$C$43*Assumptions!$C$44+Assumptions!$C$45*Assumptions!$C$46+Assumptions!$C$47*Assumptions!$C$48)/12</f>
        <v>7916.66666666667</v>
      </c>
      <c r="AE13" s="70" t="n">
        <f aca="false">(Assumptions!$C$43*Assumptions!$C$44+Assumptions!$C$45*Assumptions!$C$46+Assumptions!$C$47*Assumptions!$C$48)/12</f>
        <v>7916.66666666667</v>
      </c>
      <c r="AF13" s="70" t="n">
        <f aca="false">(Assumptions!$C$43*Assumptions!$C$44+Assumptions!$C$45*Assumptions!$C$46+Assumptions!$C$47*Assumptions!$C$48)/12</f>
        <v>7916.66666666667</v>
      </c>
      <c r="AG13" s="70" t="n">
        <f aca="false">(Assumptions!$C$43*Assumptions!$C$44+Assumptions!$C$45*Assumptions!$C$46+Assumptions!$C$47*Assumptions!$C$48)/12</f>
        <v>7916.66666666667</v>
      </c>
      <c r="AH13" s="70" t="n">
        <f aca="false">(Assumptions!$C$43*Assumptions!$C$44+Assumptions!$C$45*Assumptions!$C$46+Assumptions!$C$47*Assumptions!$C$48)/12</f>
        <v>7916.66666666667</v>
      </c>
      <c r="AI13" s="70" t="n">
        <f aca="false">(Assumptions!$C$43*Assumptions!$C$44+Assumptions!$C$45*Assumptions!$C$46+Assumptions!$C$47*Assumptions!$C$48)/12</f>
        <v>7916.66666666667</v>
      </c>
      <c r="AJ13" s="70" t="n">
        <f aca="false">(Assumptions!$C$43*Assumptions!$C$44+Assumptions!$C$45*Assumptions!$C$46+Assumptions!$C$47*Assumptions!$C$48)/12</f>
        <v>7916.66666666667</v>
      </c>
      <c r="AK13" s="70" t="n">
        <f aca="false">(Assumptions!$C$43*Assumptions!$C$44+Assumptions!$C$45*Assumptions!$C$46+Assumptions!$C$47*Assumptions!$C$48)/12</f>
        <v>7916.66666666667</v>
      </c>
      <c r="AL13" s="70" t="n">
        <f aca="false">(Assumptions!$C$43*Assumptions!$C$44+Assumptions!$C$45*Assumptions!$C$46+Assumptions!$C$47*Assumptions!$C$48)/12</f>
        <v>7916.66666666667</v>
      </c>
      <c r="AM13" s="70" t="n">
        <f aca="false">(Assumptions!$C$43*Assumptions!$C$44+Assumptions!$C$45*Assumptions!$C$46+Assumptions!$C$47*Assumptions!$C$48)/12</f>
        <v>7916.66666666667</v>
      </c>
      <c r="AN13" s="66" t="n">
        <f aca="false">SUM(AB13:AM13)</f>
        <v>95000</v>
      </c>
      <c r="AO13" s="70" t="n">
        <f aca="false">(Assumptions!$C$43*Assumptions!$C$44+Assumptions!$C$45*Assumptions!$C$46+Assumptions!$C$47*Assumptions!$C$48)/12</f>
        <v>7916.66666666667</v>
      </c>
      <c r="AP13" s="70" t="n">
        <f aca="false">(Assumptions!$C$43*Assumptions!$C$44+Assumptions!$C$45*Assumptions!$C$46+Assumptions!$C$47*Assumptions!$C$48)/12</f>
        <v>7916.66666666667</v>
      </c>
      <c r="AQ13" s="70" t="n">
        <f aca="false">(Assumptions!$C$43*Assumptions!$C$44+Assumptions!$C$45*Assumptions!$C$46+Assumptions!$C$47*Assumptions!$C$48)/12</f>
        <v>7916.66666666667</v>
      </c>
      <c r="AR13" s="70" t="n">
        <f aca="false">(Assumptions!$C$43*Assumptions!$C$44+Assumptions!$C$45*Assumptions!$C$46+Assumptions!$C$47*Assumptions!$C$48)/12</f>
        <v>7916.66666666667</v>
      </c>
      <c r="AS13" s="70" t="n">
        <f aca="false">(Assumptions!$C$43*Assumptions!$C$44+Assumptions!$C$45*Assumptions!$C$46+Assumptions!$C$47*Assumptions!$C$48)/12</f>
        <v>7916.66666666667</v>
      </c>
      <c r="AT13" s="70" t="n">
        <f aca="false">(Assumptions!$C$43*Assumptions!$C$44+Assumptions!$C$45*Assumptions!$C$46+Assumptions!$C$47*Assumptions!$C$48)/12</f>
        <v>7916.66666666667</v>
      </c>
      <c r="AU13" s="70" t="n">
        <f aca="false">(Assumptions!$C$43*Assumptions!$C$44+Assumptions!$C$45*Assumptions!$C$46+Assumptions!$C$47*Assumptions!$C$48)/12</f>
        <v>7916.66666666667</v>
      </c>
      <c r="AV13" s="70" t="n">
        <f aca="false">(Assumptions!$C$43*Assumptions!$C$44+Assumptions!$C$45*Assumptions!$C$46+Assumptions!$C$47*Assumptions!$C$48)/12</f>
        <v>7916.66666666667</v>
      </c>
      <c r="AW13" s="70" t="n">
        <f aca="false">(Assumptions!$C$43*Assumptions!$C$44+Assumptions!$C$45*Assumptions!$C$46+Assumptions!$C$47*Assumptions!$C$48)/12</f>
        <v>7916.66666666667</v>
      </c>
      <c r="AX13" s="70" t="n">
        <f aca="false">(Assumptions!$C$43*Assumptions!$C$44+Assumptions!$C$45*Assumptions!$C$46+Assumptions!$C$47*Assumptions!$C$48)/12</f>
        <v>7916.66666666667</v>
      </c>
      <c r="AY13" s="70" t="n">
        <f aca="false">(Assumptions!$C$43*Assumptions!$C$44+Assumptions!$C$45*Assumptions!$C$46+Assumptions!$C$47*Assumptions!$C$48)/12</f>
        <v>7916.66666666667</v>
      </c>
      <c r="AZ13" s="70" t="n">
        <f aca="false">(Assumptions!$C$43*Assumptions!$C$44+Assumptions!$C$45*Assumptions!$C$46+Assumptions!$C$47*Assumptions!$C$48)/12</f>
        <v>7916.66666666667</v>
      </c>
      <c r="BA13" s="66" t="n">
        <f aca="false">SUM(AO13:AZ13)</f>
        <v>95000</v>
      </c>
      <c r="BB13" s="70" t="n">
        <f aca="false">(Assumptions!$C$43*Assumptions!$C$44+Assumptions!$C$45*Assumptions!$C$46+Assumptions!$C$47*Assumptions!$C$48)/12</f>
        <v>7916.66666666667</v>
      </c>
      <c r="BC13" s="70" t="n">
        <f aca="false">(Assumptions!$C$43*Assumptions!$C$44+Assumptions!$C$45*Assumptions!$C$46+Assumptions!$C$47*Assumptions!$C$48)/12</f>
        <v>7916.66666666667</v>
      </c>
      <c r="BD13" s="70" t="n">
        <f aca="false">(Assumptions!$C$43*Assumptions!$C$44+Assumptions!$C$45*Assumptions!$C$46+Assumptions!$C$47*Assumptions!$C$48)/12</f>
        <v>7916.66666666667</v>
      </c>
      <c r="BE13" s="70" t="n">
        <f aca="false">(Assumptions!$C$43*Assumptions!$C$44+Assumptions!$C$45*Assumptions!$C$46+Assumptions!$C$47*Assumptions!$C$48)/12</f>
        <v>7916.66666666667</v>
      </c>
      <c r="BF13" s="70" t="n">
        <f aca="false">(Assumptions!$C$43*Assumptions!$C$44+Assumptions!$C$45*Assumptions!$C$46+Assumptions!$C$47*Assumptions!$C$48)/12</f>
        <v>7916.66666666667</v>
      </c>
      <c r="BG13" s="70" t="n">
        <f aca="false">(Assumptions!$C$43*Assumptions!$C$44+Assumptions!$C$45*Assumptions!$C$46+Assumptions!$C$47*Assumptions!$C$48)/12</f>
        <v>7916.66666666667</v>
      </c>
      <c r="BH13" s="70" t="n">
        <f aca="false">(Assumptions!$C$43*Assumptions!$C$44+Assumptions!$C$45*Assumptions!$C$46+Assumptions!$C$47*Assumptions!$C$48)/12</f>
        <v>7916.66666666667</v>
      </c>
      <c r="BI13" s="70" t="n">
        <f aca="false">(Assumptions!$C$43*Assumptions!$C$44+Assumptions!$C$45*Assumptions!$C$46+Assumptions!$C$47*Assumptions!$C$48)/12</f>
        <v>7916.66666666667</v>
      </c>
      <c r="BJ13" s="70" t="n">
        <f aca="false">(Assumptions!$C$43*Assumptions!$C$44+Assumptions!$C$45*Assumptions!$C$46+Assumptions!$C$47*Assumptions!$C$48)/12</f>
        <v>7916.66666666667</v>
      </c>
      <c r="BK13" s="70" t="n">
        <f aca="false">(Assumptions!$C$43*Assumptions!$C$44+Assumptions!$C$45*Assumptions!$C$46+Assumptions!$C$47*Assumptions!$C$48)/12</f>
        <v>7916.66666666667</v>
      </c>
      <c r="BL13" s="70" t="n">
        <f aca="false">(Assumptions!$C$43*Assumptions!$C$44+Assumptions!$C$45*Assumptions!$C$46+Assumptions!$C$47*Assumptions!$C$48)/12</f>
        <v>7916.66666666667</v>
      </c>
      <c r="BM13" s="70" t="n">
        <f aca="false">(Assumptions!$C$43*Assumptions!$C$44+Assumptions!$C$45*Assumptions!$C$46+Assumptions!$C$47*Assumptions!$C$48)/12</f>
        <v>7916.66666666667</v>
      </c>
      <c r="BN13" s="66" t="n">
        <f aca="false">SUM(BB13:BM13)</f>
        <v>95000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35000</v>
      </c>
      <c r="C14" s="67" t="n">
        <f aca="false">Repayment!C6/12</f>
        <v>35000</v>
      </c>
      <c r="D14" s="67" t="n">
        <f aca="false">Repayment!C6/12</f>
        <v>35000</v>
      </c>
      <c r="E14" s="67" t="n">
        <f aca="false">Repayment!C6/12</f>
        <v>35000</v>
      </c>
      <c r="F14" s="67" t="n">
        <f aca="false">Repayment!C6/12</f>
        <v>35000</v>
      </c>
      <c r="G14" s="67" t="n">
        <f aca="false">Repayment!C6/12</f>
        <v>35000</v>
      </c>
      <c r="H14" s="67" t="n">
        <f aca="false">Repayment!C6/12</f>
        <v>35000</v>
      </c>
      <c r="I14" s="67" t="n">
        <f aca="false">Repayment!C6/12</f>
        <v>35000</v>
      </c>
      <c r="J14" s="67" t="n">
        <f aca="false">Repayment!C6/12</f>
        <v>35000</v>
      </c>
      <c r="K14" s="67" t="n">
        <f aca="false">Repayment!C6/12</f>
        <v>35000</v>
      </c>
      <c r="L14" s="67" t="n">
        <f aca="false">Repayment!C6/12</f>
        <v>35000</v>
      </c>
      <c r="M14" s="67" t="n">
        <f aca="false">Repayment!C6/12</f>
        <v>35000</v>
      </c>
      <c r="N14" s="66" t="n">
        <f aca="false">SUM(B14:M14)</f>
        <v>420000</v>
      </c>
      <c r="O14" s="67" t="n">
        <f aca="false">Repayment!D6/12</f>
        <v>27222.2222222222</v>
      </c>
      <c r="P14" s="67" t="n">
        <f aca="false">Repayment!D6/12</f>
        <v>27222.2222222222</v>
      </c>
      <c r="Q14" s="67" t="n">
        <f aca="false">Repayment!D6/12</f>
        <v>27222.2222222222</v>
      </c>
      <c r="R14" s="67" t="n">
        <f aca="false">Repayment!D6/12</f>
        <v>27222.2222222222</v>
      </c>
      <c r="S14" s="67" t="n">
        <f aca="false">Repayment!D6/12</f>
        <v>27222.2222222222</v>
      </c>
      <c r="T14" s="67" t="n">
        <f aca="false">Repayment!D6/12</f>
        <v>27222.2222222222</v>
      </c>
      <c r="U14" s="67" t="n">
        <f aca="false">Repayment!D6/12</f>
        <v>27222.2222222222</v>
      </c>
      <c r="V14" s="67" t="n">
        <f aca="false">Repayment!D6/12</f>
        <v>27222.2222222222</v>
      </c>
      <c r="W14" s="67" t="n">
        <f aca="false">Repayment!D6/12</f>
        <v>27222.2222222222</v>
      </c>
      <c r="X14" s="67" t="n">
        <f aca="false">Repayment!D6/12</f>
        <v>27222.2222222222</v>
      </c>
      <c r="Y14" s="67" t="n">
        <f aca="false">Repayment!D6/12</f>
        <v>27222.2222222222</v>
      </c>
      <c r="Z14" s="67" t="n">
        <f aca="false">Repayment!D6/12</f>
        <v>27222.2222222222</v>
      </c>
      <c r="AA14" s="66" t="n">
        <f aca="false">SUM(O14:Z14)</f>
        <v>326666.666666667</v>
      </c>
      <c r="AB14" s="67" t="n">
        <f aca="false">Repayment!E6/12</f>
        <v>19444.4444444444</v>
      </c>
      <c r="AC14" s="67" t="n">
        <f aca="false">Repayment!E6/12</f>
        <v>19444.4444444444</v>
      </c>
      <c r="AD14" s="67" t="n">
        <f aca="false">Repayment!E6/12</f>
        <v>19444.4444444444</v>
      </c>
      <c r="AE14" s="67" t="n">
        <f aca="false">Repayment!E6/12</f>
        <v>19444.4444444444</v>
      </c>
      <c r="AF14" s="67" t="n">
        <f aca="false">Repayment!E6/12</f>
        <v>19444.4444444444</v>
      </c>
      <c r="AG14" s="67" t="n">
        <f aca="false">Repayment!E6/12</f>
        <v>19444.4444444444</v>
      </c>
      <c r="AH14" s="67" t="n">
        <f aca="false">Repayment!E6/12</f>
        <v>19444.4444444444</v>
      </c>
      <c r="AI14" s="67" t="n">
        <f aca="false">Repayment!E6/12</f>
        <v>19444.4444444444</v>
      </c>
      <c r="AJ14" s="67" t="n">
        <f aca="false">Repayment!E6/12</f>
        <v>19444.4444444444</v>
      </c>
      <c r="AK14" s="67" t="n">
        <f aca="false">Repayment!E6/12</f>
        <v>19444.4444444444</v>
      </c>
      <c r="AL14" s="67" t="n">
        <f aca="false">Repayment!E6/12</f>
        <v>19444.4444444444</v>
      </c>
      <c r="AM14" s="67" t="n">
        <f aca="false">Repayment!E6/12</f>
        <v>19444.4444444444</v>
      </c>
      <c r="AN14" s="66" t="n">
        <f aca="false">SUM(AB14:AM14)</f>
        <v>233333.333333333</v>
      </c>
      <c r="AO14" s="67" t="n">
        <f aca="false">Repayment!F6/12</f>
        <v>11666.6666666667</v>
      </c>
      <c r="AP14" s="67" t="n">
        <f aca="false">Repayment!F6/12</f>
        <v>11666.6666666667</v>
      </c>
      <c r="AQ14" s="67" t="n">
        <f aca="false">Repayment!F6/12</f>
        <v>11666.6666666667</v>
      </c>
      <c r="AR14" s="67" t="n">
        <f aca="false">Repayment!F6/12</f>
        <v>11666.6666666667</v>
      </c>
      <c r="AS14" s="67" t="n">
        <f aca="false">Repayment!F6/12</f>
        <v>11666.6666666667</v>
      </c>
      <c r="AT14" s="67" t="n">
        <f aca="false">Repayment!F6/12</f>
        <v>11666.6666666667</v>
      </c>
      <c r="AU14" s="67" t="n">
        <f aca="false">Repayment!F6/12</f>
        <v>11666.6666666667</v>
      </c>
      <c r="AV14" s="67" t="n">
        <f aca="false">Repayment!F6/12</f>
        <v>11666.6666666667</v>
      </c>
      <c r="AW14" s="67" t="n">
        <f aca="false">Repayment!F6/12</f>
        <v>11666.6666666667</v>
      </c>
      <c r="AX14" s="67" t="n">
        <f aca="false">Repayment!F6/12</f>
        <v>11666.6666666667</v>
      </c>
      <c r="AY14" s="67" t="n">
        <f aca="false">Repayment!F6/12</f>
        <v>11666.6666666667</v>
      </c>
      <c r="AZ14" s="67" t="n">
        <f aca="false">Repayment!F6/12</f>
        <v>11666.6666666667</v>
      </c>
      <c r="BA14" s="66" t="n">
        <f aca="false">SUM(AO14:AZ14)</f>
        <v>140000</v>
      </c>
      <c r="BB14" s="67" t="n">
        <f aca="false">Repayment!G6/12</f>
        <v>3888.88888888889</v>
      </c>
      <c r="BC14" s="67" t="n">
        <f aca="false">Repayment!G6/12</f>
        <v>3888.88888888889</v>
      </c>
      <c r="BD14" s="67" t="n">
        <f aca="false">Repayment!G6/12</f>
        <v>3888.88888888889</v>
      </c>
      <c r="BE14" s="67" t="n">
        <f aca="false">Repayment!G6/12</f>
        <v>3888.88888888889</v>
      </c>
      <c r="BF14" s="67" t="n">
        <f aca="false">Repayment!G6/12</f>
        <v>3888.88888888889</v>
      </c>
      <c r="BG14" s="67" t="n">
        <f aca="false">Repayment!G6/12</f>
        <v>3888.88888888889</v>
      </c>
      <c r="BH14" s="67" t="n">
        <f aca="false">Repayment!G6/12</f>
        <v>3888.88888888889</v>
      </c>
      <c r="BI14" s="67" t="n">
        <f aca="false">Repayment!G6/12</f>
        <v>3888.88888888889</v>
      </c>
      <c r="BJ14" s="67" t="n">
        <f aca="false">Repayment!G6/12</f>
        <v>3888.88888888889</v>
      </c>
      <c r="BK14" s="67" t="n">
        <f aca="false">Repayment!G6/12</f>
        <v>3888.88888888889</v>
      </c>
      <c r="BL14" s="67" t="n">
        <f aca="false">Repayment!G6/12</f>
        <v>3888.88888888889</v>
      </c>
      <c r="BM14" s="67" t="n">
        <f aca="false">Repayment!G6/12</f>
        <v>3888.88888888889</v>
      </c>
      <c r="BN14" s="66" t="n">
        <f aca="false">SUM(BB14:BM14)</f>
        <v>46666.6666666666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22686.9863013699</v>
      </c>
      <c r="C15" s="67" t="n">
        <f aca="false">Form_V_MPBF!C11*Assumptions!$C$13/12</f>
        <v>22686.9863013699</v>
      </c>
      <c r="D15" s="67" t="n">
        <f aca="false">Form_V_MPBF!C11*Assumptions!$C$13/12</f>
        <v>22686.9863013699</v>
      </c>
      <c r="E15" s="67" t="n">
        <f aca="false">Form_V_MPBF!C11*Assumptions!$C$13/12</f>
        <v>22686.9863013699</v>
      </c>
      <c r="F15" s="67" t="n">
        <f aca="false">Form_V_MPBF!C11*Assumptions!$C$13/12</f>
        <v>22686.9863013699</v>
      </c>
      <c r="G15" s="67" t="n">
        <f aca="false">Form_V_MPBF!C11*Assumptions!$C$13/12</f>
        <v>22686.9863013699</v>
      </c>
      <c r="H15" s="67" t="n">
        <f aca="false">Form_V_MPBF!C11*Assumptions!$C$13/12</f>
        <v>22686.9863013699</v>
      </c>
      <c r="I15" s="67" t="n">
        <f aca="false">Form_V_MPBF!C11*Assumptions!$C$13/12</f>
        <v>22686.9863013699</v>
      </c>
      <c r="J15" s="67" t="n">
        <f aca="false">Form_V_MPBF!C11*Assumptions!$C$13/12</f>
        <v>22686.9863013699</v>
      </c>
      <c r="K15" s="67" t="n">
        <f aca="false">Form_V_MPBF!C11*Assumptions!$C$13/12</f>
        <v>22686.9863013699</v>
      </c>
      <c r="L15" s="67" t="n">
        <f aca="false">Form_V_MPBF!C11*Assumptions!$C$13/12</f>
        <v>22686.9863013699</v>
      </c>
      <c r="M15" s="67" t="n">
        <f aca="false">Form_V_MPBF!C11*Assumptions!$C$13/12</f>
        <v>22686.9863013699</v>
      </c>
      <c r="N15" s="66" t="n">
        <f aca="false">SUM(B15:M15)</f>
        <v>272243.835616438</v>
      </c>
      <c r="O15" s="67" t="n">
        <f aca="false">Form_V_MPBF!D11*Assumptions!$C$13/12</f>
        <v>24775.9726027397</v>
      </c>
      <c r="P15" s="67" t="n">
        <f aca="false">Form_V_MPBF!D11*Assumptions!$C$13/12</f>
        <v>24775.9726027397</v>
      </c>
      <c r="Q15" s="67" t="n">
        <f aca="false">Form_V_MPBF!D11*Assumptions!$C$13/12</f>
        <v>24775.9726027397</v>
      </c>
      <c r="R15" s="67" t="n">
        <f aca="false">Form_V_MPBF!D11*Assumptions!$C$13/12</f>
        <v>24775.9726027397</v>
      </c>
      <c r="S15" s="67" t="n">
        <f aca="false">Form_V_MPBF!D11*Assumptions!$C$13/12</f>
        <v>24775.9726027397</v>
      </c>
      <c r="T15" s="67" t="n">
        <f aca="false">Form_V_MPBF!D11*Assumptions!$C$13/12</f>
        <v>24775.9726027397</v>
      </c>
      <c r="U15" s="67" t="n">
        <f aca="false">Form_V_MPBF!D11*Assumptions!$C$13/12</f>
        <v>24775.9726027397</v>
      </c>
      <c r="V15" s="67" t="n">
        <f aca="false">Form_V_MPBF!D11*Assumptions!$C$13/12</f>
        <v>24775.9726027397</v>
      </c>
      <c r="W15" s="67" t="n">
        <f aca="false">Form_V_MPBF!D11*Assumptions!$C$13/12</f>
        <v>24775.9726027397</v>
      </c>
      <c r="X15" s="67" t="n">
        <f aca="false">Form_V_MPBF!D11*Assumptions!$C$13/12</f>
        <v>24775.9726027397</v>
      </c>
      <c r="Y15" s="67" t="n">
        <f aca="false">Form_V_MPBF!D11*Assumptions!$C$13/12</f>
        <v>24775.9726027397</v>
      </c>
      <c r="Z15" s="67" t="n">
        <f aca="false">Form_V_MPBF!D11*Assumptions!$C$13/12</f>
        <v>24775.9726027397</v>
      </c>
      <c r="AA15" s="66" t="n">
        <f aca="false">SUM(O15:Z15)</f>
        <v>297311.671232877</v>
      </c>
      <c r="AB15" s="67" t="n">
        <f aca="false">Form_V_MPBF!E11*Assumptions!$C$13/12</f>
        <v>27013.0224657534</v>
      </c>
      <c r="AC15" s="67" t="n">
        <f aca="false">Form_V_MPBF!E11*Assumptions!$C$13/12</f>
        <v>27013.0224657534</v>
      </c>
      <c r="AD15" s="67" t="n">
        <f aca="false">Form_V_MPBF!E11*Assumptions!$C$13/12</f>
        <v>27013.0224657534</v>
      </c>
      <c r="AE15" s="67" t="n">
        <f aca="false">Form_V_MPBF!E11*Assumptions!$C$13/12</f>
        <v>27013.0224657534</v>
      </c>
      <c r="AF15" s="67" t="n">
        <f aca="false">Form_V_MPBF!E11*Assumptions!$C$13/12</f>
        <v>27013.0224657534</v>
      </c>
      <c r="AG15" s="67" t="n">
        <f aca="false">Form_V_MPBF!E11*Assumptions!$C$13/12</f>
        <v>27013.0224657534</v>
      </c>
      <c r="AH15" s="67" t="n">
        <f aca="false">Form_V_MPBF!E11*Assumptions!$C$13/12</f>
        <v>27013.0224657534</v>
      </c>
      <c r="AI15" s="67" t="n">
        <f aca="false">Form_V_MPBF!E11*Assumptions!$C$13/12</f>
        <v>27013.0224657534</v>
      </c>
      <c r="AJ15" s="67" t="n">
        <f aca="false">Form_V_MPBF!E11*Assumptions!$C$13/12</f>
        <v>27013.0224657534</v>
      </c>
      <c r="AK15" s="67" t="n">
        <f aca="false">Form_V_MPBF!E11*Assumptions!$C$13/12</f>
        <v>27013.0224657534</v>
      </c>
      <c r="AL15" s="67" t="n">
        <f aca="false">Form_V_MPBF!E11*Assumptions!$C$13/12</f>
        <v>27013.0224657534</v>
      </c>
      <c r="AM15" s="67" t="n">
        <f aca="false">Form_V_MPBF!E11*Assumptions!$C$13/12</f>
        <v>27013.0224657534</v>
      </c>
      <c r="AN15" s="66" t="n">
        <f aca="false">SUM(AB15:AM15)</f>
        <v>324156.269589041</v>
      </c>
      <c r="AO15" s="67" t="n">
        <f aca="false">Form_V_MPBF!F11*Assumptions!$C$13/12</f>
        <v>29406.8474958904</v>
      </c>
      <c r="AP15" s="67" t="n">
        <f aca="false">Form_V_MPBF!F11*Assumptions!$C$13/12</f>
        <v>29406.8474958904</v>
      </c>
      <c r="AQ15" s="67" t="n">
        <f aca="false">Form_V_MPBF!F11*Assumptions!$C$13/12</f>
        <v>29406.8474958904</v>
      </c>
      <c r="AR15" s="67" t="n">
        <f aca="false">Form_V_MPBF!F11*Assumptions!$C$13/12</f>
        <v>29406.8474958904</v>
      </c>
      <c r="AS15" s="67" t="n">
        <f aca="false">Form_V_MPBF!F11*Assumptions!$C$13/12</f>
        <v>29406.8474958904</v>
      </c>
      <c r="AT15" s="67" t="n">
        <f aca="false">Form_V_MPBF!F11*Assumptions!$C$13/12</f>
        <v>29406.8474958904</v>
      </c>
      <c r="AU15" s="67" t="n">
        <f aca="false">Form_V_MPBF!F11*Assumptions!$C$13/12</f>
        <v>29406.8474958904</v>
      </c>
      <c r="AV15" s="67" t="n">
        <f aca="false">Form_V_MPBF!F11*Assumptions!$C$13/12</f>
        <v>29406.8474958904</v>
      </c>
      <c r="AW15" s="67" t="n">
        <f aca="false">Form_V_MPBF!F11*Assumptions!$C$13/12</f>
        <v>29406.8474958904</v>
      </c>
      <c r="AX15" s="67" t="n">
        <f aca="false">Form_V_MPBF!F11*Assumptions!$C$13/12</f>
        <v>29406.8474958904</v>
      </c>
      <c r="AY15" s="67" t="n">
        <f aca="false">Form_V_MPBF!F11*Assumptions!$C$13/12</f>
        <v>29406.8474958904</v>
      </c>
      <c r="AZ15" s="67" t="n">
        <f aca="false">Form_V_MPBF!F11*Assumptions!$C$13/12</f>
        <v>29406.8474958904</v>
      </c>
      <c r="BA15" s="66" t="n">
        <f aca="false">SUM(AO15:AZ15)</f>
        <v>352882.169950685</v>
      </c>
      <c r="BB15" s="67" t="n">
        <f aca="false">Form_V_MPBF!G11*Assumptions!$C$13/12</f>
        <v>31966.6041994521</v>
      </c>
      <c r="BC15" s="67" t="n">
        <f aca="false">Form_V_MPBF!G11*Assumptions!$C$13/12</f>
        <v>31966.6041994521</v>
      </c>
      <c r="BD15" s="67" t="n">
        <f aca="false">Form_V_MPBF!G11*Assumptions!$C$13/12</f>
        <v>31966.6041994521</v>
      </c>
      <c r="BE15" s="67" t="n">
        <f aca="false">Form_V_MPBF!G11*Assumptions!$C$13/12</f>
        <v>31966.6041994521</v>
      </c>
      <c r="BF15" s="67" t="n">
        <f aca="false">Form_V_MPBF!G11*Assumptions!$C$13/12</f>
        <v>31966.6041994521</v>
      </c>
      <c r="BG15" s="67" t="n">
        <f aca="false">Form_V_MPBF!G11*Assumptions!$C$13/12</f>
        <v>31966.6041994521</v>
      </c>
      <c r="BH15" s="67" t="n">
        <f aca="false">Form_V_MPBF!G11*Assumptions!$C$13/12</f>
        <v>31966.6041994521</v>
      </c>
      <c r="BI15" s="67" t="n">
        <f aca="false">Form_V_MPBF!G11*Assumptions!$C$13/12</f>
        <v>31966.6041994521</v>
      </c>
      <c r="BJ15" s="67" t="n">
        <f aca="false">Form_V_MPBF!G11*Assumptions!$C$13/12</f>
        <v>31966.6041994521</v>
      </c>
      <c r="BK15" s="67" t="n">
        <f aca="false">Form_V_MPBF!G11*Assumptions!$C$13/12</f>
        <v>31966.6041994521</v>
      </c>
      <c r="BL15" s="67" t="n">
        <f aca="false">Form_V_MPBF!G11*Assumptions!$C$13/12</f>
        <v>31966.6041994521</v>
      </c>
      <c r="BM15" s="67" t="n">
        <f aca="false">Form_V_MPBF!G11*Assumptions!$C$13/12</f>
        <v>31966.6041994521</v>
      </c>
      <c r="BN15" s="66" t="n">
        <f aca="false">SUM(BB15:BM15)</f>
        <v>383599.250393425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2747603.65296804</v>
      </c>
      <c r="C16" s="66" t="n">
        <f aca="false">SUM(C5:C15)</f>
        <v>2747603.65296804</v>
      </c>
      <c r="D16" s="66" t="n">
        <f aca="false">SUM(D5:D15)</f>
        <v>2747603.65296804</v>
      </c>
      <c r="E16" s="66" t="n">
        <f aca="false">SUM(E5:E15)</f>
        <v>2747603.65296804</v>
      </c>
      <c r="F16" s="66" t="n">
        <f aca="false">SUM(F5:F15)</f>
        <v>2747603.65296804</v>
      </c>
      <c r="G16" s="66" t="n">
        <f aca="false">SUM(G5:G15)</f>
        <v>2747603.65296804</v>
      </c>
      <c r="H16" s="66" t="n">
        <f aca="false">SUM(H5:H15)</f>
        <v>2747603.65296804</v>
      </c>
      <c r="I16" s="66" t="n">
        <f aca="false">SUM(I5:I15)</f>
        <v>2747603.65296804</v>
      </c>
      <c r="J16" s="66" t="n">
        <f aca="false">SUM(J5:J15)</f>
        <v>2747603.65296804</v>
      </c>
      <c r="K16" s="66" t="n">
        <f aca="false">SUM(K5:K15)</f>
        <v>2747603.65296804</v>
      </c>
      <c r="L16" s="66" t="n">
        <f aca="false">SUM(L5:L15)</f>
        <v>2747603.65296804</v>
      </c>
      <c r="M16" s="66" t="n">
        <f aca="false">SUM(M5:M15)</f>
        <v>2747603.65296804</v>
      </c>
      <c r="N16" s="66" t="n">
        <f aca="false">SUM(B16:M16)</f>
        <v>32971243.8356164</v>
      </c>
      <c r="O16" s="66" t="n">
        <f aca="false">SUM(O5:O15)</f>
        <v>3029214.86149163</v>
      </c>
      <c r="P16" s="66" t="n">
        <f aca="false">SUM(P5:P15)</f>
        <v>3029214.86149163</v>
      </c>
      <c r="Q16" s="66" t="n">
        <f aca="false">SUM(Q5:Q15)</f>
        <v>3029214.86149163</v>
      </c>
      <c r="R16" s="66" t="n">
        <f aca="false">SUM(R5:R15)</f>
        <v>3029214.86149163</v>
      </c>
      <c r="S16" s="66" t="n">
        <f aca="false">SUM(S5:S15)</f>
        <v>3029214.86149163</v>
      </c>
      <c r="T16" s="66" t="n">
        <f aca="false">SUM(T5:T15)</f>
        <v>3029214.86149163</v>
      </c>
      <c r="U16" s="66" t="n">
        <f aca="false">SUM(U5:U15)</f>
        <v>3029214.86149163</v>
      </c>
      <c r="V16" s="66" t="n">
        <f aca="false">SUM(V5:V15)</f>
        <v>3029214.86149163</v>
      </c>
      <c r="W16" s="66" t="n">
        <f aca="false">SUM(W5:W15)</f>
        <v>3029214.86149163</v>
      </c>
      <c r="X16" s="66" t="n">
        <f aca="false">SUM(X5:X15)</f>
        <v>3029214.86149163</v>
      </c>
      <c r="Y16" s="66" t="n">
        <f aca="false">SUM(Y5:Y15)</f>
        <v>3029214.86149163</v>
      </c>
      <c r="Z16" s="66" t="n">
        <f aca="false">SUM(Z5:Z15)</f>
        <v>3029214.86149163</v>
      </c>
      <c r="AA16" s="66" t="n">
        <f aca="false">SUM(O16:Z16)</f>
        <v>36350578.3378996</v>
      </c>
      <c r="AB16" s="66" t="n">
        <f aca="false">SUM(AB5:AB15)</f>
        <v>3334145.13357687</v>
      </c>
      <c r="AC16" s="66" t="n">
        <f aca="false">SUM(AC5:AC15)</f>
        <v>3334145.13357687</v>
      </c>
      <c r="AD16" s="66" t="n">
        <f aca="false">SUM(AD5:AD15)</f>
        <v>3334145.13357687</v>
      </c>
      <c r="AE16" s="66" t="n">
        <f aca="false">SUM(AE5:AE15)</f>
        <v>3334145.13357687</v>
      </c>
      <c r="AF16" s="66" t="n">
        <f aca="false">SUM(AF5:AF15)</f>
        <v>3334145.13357687</v>
      </c>
      <c r="AG16" s="66" t="n">
        <f aca="false">SUM(AG5:AG15)</f>
        <v>3334145.13357687</v>
      </c>
      <c r="AH16" s="66" t="n">
        <f aca="false">SUM(AH5:AH15)</f>
        <v>3334145.13357687</v>
      </c>
      <c r="AI16" s="66" t="n">
        <f aca="false">SUM(AI5:AI15)</f>
        <v>3334145.13357687</v>
      </c>
      <c r="AJ16" s="66" t="n">
        <f aca="false">SUM(AJ5:AJ15)</f>
        <v>3334145.13357687</v>
      </c>
      <c r="AK16" s="66" t="n">
        <f aca="false">SUM(AK5:AK15)</f>
        <v>3334145.13357687</v>
      </c>
      <c r="AL16" s="66" t="n">
        <f aca="false">SUM(AL5:AL15)</f>
        <v>3334145.13357687</v>
      </c>
      <c r="AM16" s="66" t="n">
        <f aca="false">SUM(AM5:AM15)</f>
        <v>3334145.13357687</v>
      </c>
      <c r="AN16" s="66" t="n">
        <f aca="false">SUM(AB16:AM16)</f>
        <v>40009741.6029224</v>
      </c>
      <c r="AO16" s="66" t="n">
        <f aca="false">SUM(AO5:AO15)</f>
        <v>3664088.47082922</v>
      </c>
      <c r="AP16" s="66" t="n">
        <f aca="false">SUM(AP5:AP15)</f>
        <v>3664088.47082922</v>
      </c>
      <c r="AQ16" s="66" t="n">
        <f aca="false">SUM(AQ5:AQ15)</f>
        <v>3664088.47082922</v>
      </c>
      <c r="AR16" s="66" t="n">
        <f aca="false">SUM(AR5:AR15)</f>
        <v>3664088.47082922</v>
      </c>
      <c r="AS16" s="66" t="n">
        <f aca="false">SUM(AS5:AS15)</f>
        <v>3664088.47082922</v>
      </c>
      <c r="AT16" s="66" t="n">
        <f aca="false">SUM(AT5:AT15)</f>
        <v>3664088.47082922</v>
      </c>
      <c r="AU16" s="66" t="n">
        <f aca="false">SUM(AU5:AU15)</f>
        <v>3664088.47082922</v>
      </c>
      <c r="AV16" s="66" t="n">
        <f aca="false">SUM(AV5:AV15)</f>
        <v>3664088.47082922</v>
      </c>
      <c r="AW16" s="66" t="n">
        <f aca="false">SUM(AW5:AW15)</f>
        <v>3664088.47082922</v>
      </c>
      <c r="AX16" s="66" t="n">
        <f aca="false">SUM(AX5:AX15)</f>
        <v>3664088.47082922</v>
      </c>
      <c r="AY16" s="66" t="n">
        <f aca="false">SUM(AY5:AY15)</f>
        <v>3664088.47082922</v>
      </c>
      <c r="AZ16" s="66" t="n">
        <f aca="false">SUM(AZ5:AZ15)</f>
        <v>3664088.47082922</v>
      </c>
      <c r="BA16" s="66" t="n">
        <f aca="false">SUM(AO16:AZ16)</f>
        <v>43969061.6499507</v>
      </c>
      <c r="BB16" s="66" t="n">
        <f aca="false">SUM(BB5:BB15)</f>
        <v>4020855.94845501</v>
      </c>
      <c r="BC16" s="66" t="n">
        <f aca="false">SUM(BC5:BC15)</f>
        <v>4020855.94845501</v>
      </c>
      <c r="BD16" s="66" t="n">
        <f aca="false">SUM(BD5:BD15)</f>
        <v>4020855.94845501</v>
      </c>
      <c r="BE16" s="66" t="n">
        <f aca="false">SUM(BE5:BE15)</f>
        <v>4020855.94845501</v>
      </c>
      <c r="BF16" s="66" t="n">
        <f aca="false">SUM(BF5:BF15)</f>
        <v>4020855.94845501</v>
      </c>
      <c r="BG16" s="66" t="n">
        <f aca="false">SUM(BG5:BG15)</f>
        <v>4020855.94845501</v>
      </c>
      <c r="BH16" s="66" t="n">
        <f aca="false">SUM(BH5:BH15)</f>
        <v>4020855.94845501</v>
      </c>
      <c r="BI16" s="66" t="n">
        <f aca="false">SUM(BI5:BI15)</f>
        <v>4020855.94845501</v>
      </c>
      <c r="BJ16" s="66" t="n">
        <f aca="false">SUM(BJ5:BJ15)</f>
        <v>4020855.94845501</v>
      </c>
      <c r="BK16" s="66" t="n">
        <f aca="false">SUM(BK5:BK15)</f>
        <v>4020855.94845501</v>
      </c>
      <c r="BL16" s="66" t="n">
        <f aca="false">SUM(BL5:BL15)</f>
        <v>4020855.94845501</v>
      </c>
      <c r="BM16" s="66" t="n">
        <f aca="false">SUM(BM5:BM15)</f>
        <v>4020855.94845501</v>
      </c>
      <c r="BN16" s="66" t="n">
        <f aca="false">SUM(BB16:BM16)</f>
        <v>48250271.3814601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3840000</v>
      </c>
      <c r="C5" s="67" t="n">
        <f aca="false">Sales!C7</f>
        <v>3840000</v>
      </c>
      <c r="D5" s="67" t="n">
        <f aca="false">Sales!D7</f>
        <v>3840000</v>
      </c>
      <c r="E5" s="67" t="n">
        <f aca="false">Sales!E7</f>
        <v>3840000</v>
      </c>
      <c r="F5" s="67" t="n">
        <f aca="false">Sales!F7</f>
        <v>3840000</v>
      </c>
      <c r="G5" s="67" t="n">
        <f aca="false">Sales!G7</f>
        <v>3840000</v>
      </c>
      <c r="H5" s="67" t="n">
        <f aca="false">Sales!H7</f>
        <v>3840000</v>
      </c>
      <c r="I5" s="67" t="n">
        <f aca="false">Sales!I7</f>
        <v>3840000</v>
      </c>
      <c r="J5" s="67" t="n">
        <f aca="false">Sales!J7</f>
        <v>3840000</v>
      </c>
      <c r="K5" s="67" t="n">
        <f aca="false">Sales!K7</f>
        <v>3840000</v>
      </c>
      <c r="L5" s="67" t="n">
        <f aca="false">Sales!L7</f>
        <v>3840000</v>
      </c>
      <c r="M5" s="67" t="n">
        <f aca="false">Sales!M7</f>
        <v>3840000</v>
      </c>
      <c r="N5" s="66" t="n">
        <f aca="false">SUM(B5:M5)</f>
        <v>46080000</v>
      </c>
      <c r="O5" s="67" t="n">
        <f aca="false">Sales!O7</f>
        <v>4284000</v>
      </c>
      <c r="P5" s="67" t="n">
        <f aca="false">Sales!P7</f>
        <v>4284000</v>
      </c>
      <c r="Q5" s="67" t="n">
        <f aca="false">Sales!Q7</f>
        <v>4284000</v>
      </c>
      <c r="R5" s="67" t="n">
        <f aca="false">Sales!R7</f>
        <v>4284000</v>
      </c>
      <c r="S5" s="67" t="n">
        <f aca="false">Sales!S7</f>
        <v>4284000</v>
      </c>
      <c r="T5" s="67" t="n">
        <f aca="false">Sales!T7</f>
        <v>4284000</v>
      </c>
      <c r="U5" s="67" t="n">
        <f aca="false">Sales!U7</f>
        <v>4284000</v>
      </c>
      <c r="V5" s="67" t="n">
        <f aca="false">Sales!V7</f>
        <v>4284000</v>
      </c>
      <c r="W5" s="67" t="n">
        <f aca="false">Sales!W7</f>
        <v>4284000</v>
      </c>
      <c r="X5" s="67" t="n">
        <f aca="false">Sales!X7</f>
        <v>4284000</v>
      </c>
      <c r="Y5" s="67" t="n">
        <f aca="false">Sales!Y7</f>
        <v>4284000</v>
      </c>
      <c r="Z5" s="67" t="n">
        <f aca="false">Sales!Z7</f>
        <v>4284000</v>
      </c>
      <c r="AA5" s="66" t="n">
        <f aca="false">SUM(O5:Z5)</f>
        <v>51408000</v>
      </c>
      <c r="AB5" s="67" t="n">
        <f aca="false">Sales!AB7</f>
        <v>4762800</v>
      </c>
      <c r="AC5" s="67" t="n">
        <f aca="false">Sales!AC7</f>
        <v>4762800</v>
      </c>
      <c r="AD5" s="67" t="n">
        <f aca="false">Sales!AD7</f>
        <v>4762800</v>
      </c>
      <c r="AE5" s="67" t="n">
        <f aca="false">Sales!AE7</f>
        <v>4762800</v>
      </c>
      <c r="AF5" s="67" t="n">
        <f aca="false">Sales!AF7</f>
        <v>4762800</v>
      </c>
      <c r="AG5" s="67" t="n">
        <f aca="false">Sales!AG7</f>
        <v>4762800</v>
      </c>
      <c r="AH5" s="67" t="n">
        <f aca="false">Sales!AH7</f>
        <v>4762800</v>
      </c>
      <c r="AI5" s="67" t="n">
        <f aca="false">Sales!AI7</f>
        <v>4762800</v>
      </c>
      <c r="AJ5" s="67" t="n">
        <f aca="false">Sales!AJ7</f>
        <v>4762800</v>
      </c>
      <c r="AK5" s="67" t="n">
        <f aca="false">Sales!AK7</f>
        <v>4762800</v>
      </c>
      <c r="AL5" s="67" t="n">
        <f aca="false">Sales!AL7</f>
        <v>4762800</v>
      </c>
      <c r="AM5" s="67" t="n">
        <f aca="false">Sales!AM7</f>
        <v>4762800</v>
      </c>
      <c r="AN5" s="66" t="n">
        <f aca="false">SUM(AB5:AM5)</f>
        <v>57153600</v>
      </c>
      <c r="AO5" s="67" t="n">
        <f aca="false">Sales!AO7</f>
        <v>5278770</v>
      </c>
      <c r="AP5" s="67" t="n">
        <f aca="false">Sales!AP7</f>
        <v>5278770</v>
      </c>
      <c r="AQ5" s="67" t="n">
        <f aca="false">Sales!AQ7</f>
        <v>5278770</v>
      </c>
      <c r="AR5" s="67" t="n">
        <f aca="false">Sales!AR7</f>
        <v>5278770</v>
      </c>
      <c r="AS5" s="67" t="n">
        <f aca="false">Sales!AS7</f>
        <v>5278770</v>
      </c>
      <c r="AT5" s="67" t="n">
        <f aca="false">Sales!AT7</f>
        <v>5278770</v>
      </c>
      <c r="AU5" s="67" t="n">
        <f aca="false">Sales!AU7</f>
        <v>5278770</v>
      </c>
      <c r="AV5" s="67" t="n">
        <f aca="false">Sales!AV7</f>
        <v>5278770</v>
      </c>
      <c r="AW5" s="67" t="n">
        <f aca="false">Sales!AW7</f>
        <v>5278770</v>
      </c>
      <c r="AX5" s="67" t="n">
        <f aca="false">Sales!AX7</f>
        <v>5278770</v>
      </c>
      <c r="AY5" s="67" t="n">
        <f aca="false">Sales!AY7</f>
        <v>5278770</v>
      </c>
      <c r="AZ5" s="67" t="n">
        <f aca="false">Sales!AZ7</f>
        <v>5278770</v>
      </c>
      <c r="BA5" s="66" t="n">
        <f aca="false">SUM(AO5:AZ5)</f>
        <v>63345240</v>
      </c>
      <c r="BB5" s="67" t="n">
        <f aca="false">Sales!BB7</f>
        <v>5834430</v>
      </c>
      <c r="BC5" s="67" t="n">
        <f aca="false">Sales!BC7</f>
        <v>5834430</v>
      </c>
      <c r="BD5" s="67" t="n">
        <f aca="false">Sales!BD7</f>
        <v>5834430</v>
      </c>
      <c r="BE5" s="67" t="n">
        <f aca="false">Sales!BE7</f>
        <v>5834430</v>
      </c>
      <c r="BF5" s="67" t="n">
        <f aca="false">Sales!BF7</f>
        <v>5834430</v>
      </c>
      <c r="BG5" s="67" t="n">
        <f aca="false">Sales!BG7</f>
        <v>5834430</v>
      </c>
      <c r="BH5" s="67" t="n">
        <f aca="false">Sales!BH7</f>
        <v>5834430</v>
      </c>
      <c r="BI5" s="67" t="n">
        <f aca="false">Sales!BI7</f>
        <v>5834430</v>
      </c>
      <c r="BJ5" s="67" t="n">
        <f aca="false">Sales!BJ7</f>
        <v>5834430</v>
      </c>
      <c r="BK5" s="67" t="n">
        <f aca="false">Sales!BK7</f>
        <v>5834430</v>
      </c>
      <c r="BL5" s="67" t="n">
        <f aca="false">Sales!BL7</f>
        <v>5834430</v>
      </c>
      <c r="BM5" s="67" t="n">
        <f aca="false">Sales!BM7</f>
        <v>5834430</v>
      </c>
      <c r="BN5" s="66" t="n">
        <f aca="false">SUM(BB5:BM5)</f>
        <v>70013160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Direct delivery cost</v>
      </c>
      <c r="B6" s="67" t="n">
        <f aca="false">Expenses!B5</f>
        <v>960000</v>
      </c>
      <c r="C6" s="67" t="n">
        <f aca="false">Expenses!C5</f>
        <v>960000</v>
      </c>
      <c r="D6" s="67" t="n">
        <f aca="false">Expenses!D5</f>
        <v>960000</v>
      </c>
      <c r="E6" s="67" t="n">
        <f aca="false">Expenses!E5</f>
        <v>960000</v>
      </c>
      <c r="F6" s="67" t="n">
        <f aca="false">Expenses!F5</f>
        <v>960000</v>
      </c>
      <c r="G6" s="67" t="n">
        <f aca="false">Expenses!G5</f>
        <v>960000</v>
      </c>
      <c r="H6" s="67" t="n">
        <f aca="false">Expenses!H5</f>
        <v>960000</v>
      </c>
      <c r="I6" s="67" t="n">
        <f aca="false">Expenses!I5</f>
        <v>960000</v>
      </c>
      <c r="J6" s="67" t="n">
        <f aca="false">Expenses!J5</f>
        <v>960000</v>
      </c>
      <c r="K6" s="67" t="n">
        <f aca="false">Expenses!K5</f>
        <v>960000</v>
      </c>
      <c r="L6" s="67" t="n">
        <f aca="false">Expenses!L5</f>
        <v>960000</v>
      </c>
      <c r="M6" s="67" t="n">
        <f aca="false">Expenses!M5</f>
        <v>960000</v>
      </c>
      <c r="N6" s="66" t="n">
        <f aca="false">SUM(B6:M6)</f>
        <v>11520000</v>
      </c>
      <c r="O6" s="67" t="n">
        <f aca="false">Expenses!O5</f>
        <v>1081200</v>
      </c>
      <c r="P6" s="67" t="n">
        <f aca="false">Expenses!P5</f>
        <v>1081200</v>
      </c>
      <c r="Q6" s="67" t="n">
        <f aca="false">Expenses!Q5</f>
        <v>1081200</v>
      </c>
      <c r="R6" s="67" t="n">
        <f aca="false">Expenses!R5</f>
        <v>1081200</v>
      </c>
      <c r="S6" s="67" t="n">
        <f aca="false">Expenses!S5</f>
        <v>1081200</v>
      </c>
      <c r="T6" s="67" t="n">
        <f aca="false">Expenses!T5</f>
        <v>1081200</v>
      </c>
      <c r="U6" s="67" t="n">
        <f aca="false">Expenses!U5</f>
        <v>1081200</v>
      </c>
      <c r="V6" s="67" t="n">
        <f aca="false">Expenses!V5</f>
        <v>1081200</v>
      </c>
      <c r="W6" s="67" t="n">
        <f aca="false">Expenses!W5</f>
        <v>1081200</v>
      </c>
      <c r="X6" s="67" t="n">
        <f aca="false">Expenses!X5</f>
        <v>1081200</v>
      </c>
      <c r="Y6" s="67" t="n">
        <f aca="false">Expenses!Y5</f>
        <v>1081200</v>
      </c>
      <c r="Z6" s="67" t="n">
        <f aca="false">Expenses!Z5</f>
        <v>1081200</v>
      </c>
      <c r="AA6" s="66" t="n">
        <f aca="false">SUM(O6:Z6)</f>
        <v>12974400</v>
      </c>
      <c r="AB6" s="67" t="n">
        <f aca="false">Expenses!AB5</f>
        <v>1213488</v>
      </c>
      <c r="AC6" s="67" t="n">
        <f aca="false">Expenses!AC5</f>
        <v>1213488</v>
      </c>
      <c r="AD6" s="67" t="n">
        <f aca="false">Expenses!AD5</f>
        <v>1213488</v>
      </c>
      <c r="AE6" s="67" t="n">
        <f aca="false">Expenses!AE5</f>
        <v>1213488</v>
      </c>
      <c r="AF6" s="67" t="n">
        <f aca="false">Expenses!AF5</f>
        <v>1213488</v>
      </c>
      <c r="AG6" s="67" t="n">
        <f aca="false">Expenses!AG5</f>
        <v>1213488</v>
      </c>
      <c r="AH6" s="67" t="n">
        <f aca="false">Expenses!AH5</f>
        <v>1213488</v>
      </c>
      <c r="AI6" s="67" t="n">
        <f aca="false">Expenses!AI5</f>
        <v>1213488</v>
      </c>
      <c r="AJ6" s="67" t="n">
        <f aca="false">Expenses!AJ5</f>
        <v>1213488</v>
      </c>
      <c r="AK6" s="67" t="n">
        <f aca="false">Expenses!AK5</f>
        <v>1213488</v>
      </c>
      <c r="AL6" s="67" t="n">
        <f aca="false">Expenses!AL5</f>
        <v>1213488</v>
      </c>
      <c r="AM6" s="67" t="n">
        <f aca="false">Expenses!AM5</f>
        <v>1213488</v>
      </c>
      <c r="AN6" s="66" t="n">
        <f aca="false">SUM(AB6:AM6)</f>
        <v>14561856</v>
      </c>
      <c r="AO6" s="67" t="n">
        <f aca="false">Expenses!AO5</f>
        <v>1357758.24</v>
      </c>
      <c r="AP6" s="67" t="n">
        <f aca="false">Expenses!AP5</f>
        <v>1357758.24</v>
      </c>
      <c r="AQ6" s="67" t="n">
        <f aca="false">Expenses!AQ5</f>
        <v>1357758.24</v>
      </c>
      <c r="AR6" s="67" t="n">
        <f aca="false">Expenses!AR5</f>
        <v>1357758.24</v>
      </c>
      <c r="AS6" s="67" t="n">
        <f aca="false">Expenses!AS5</f>
        <v>1357758.24</v>
      </c>
      <c r="AT6" s="67" t="n">
        <f aca="false">Expenses!AT5</f>
        <v>1357758.24</v>
      </c>
      <c r="AU6" s="67" t="n">
        <f aca="false">Expenses!AU5</f>
        <v>1357758.24</v>
      </c>
      <c r="AV6" s="67" t="n">
        <f aca="false">Expenses!AV5</f>
        <v>1357758.24</v>
      </c>
      <c r="AW6" s="67" t="n">
        <f aca="false">Expenses!AW5</f>
        <v>1357758.24</v>
      </c>
      <c r="AX6" s="67" t="n">
        <f aca="false">Expenses!AX5</f>
        <v>1357758.24</v>
      </c>
      <c r="AY6" s="67" t="n">
        <f aca="false">Expenses!AY5</f>
        <v>1357758.24</v>
      </c>
      <c r="AZ6" s="67" t="n">
        <f aca="false">Expenses!AZ5</f>
        <v>1357758.24</v>
      </c>
      <c r="BA6" s="66" t="n">
        <f aca="false">SUM(AO6:AZ6)</f>
        <v>16293098.88</v>
      </c>
      <c r="BB6" s="67" t="n">
        <f aca="false">Expenses!BB5</f>
        <v>1514972.352</v>
      </c>
      <c r="BC6" s="67" t="n">
        <f aca="false">Expenses!BC5</f>
        <v>1514972.352</v>
      </c>
      <c r="BD6" s="67" t="n">
        <f aca="false">Expenses!BD5</f>
        <v>1514972.352</v>
      </c>
      <c r="BE6" s="67" t="n">
        <f aca="false">Expenses!BE5</f>
        <v>1514972.352</v>
      </c>
      <c r="BF6" s="67" t="n">
        <f aca="false">Expenses!BF5</f>
        <v>1514972.352</v>
      </c>
      <c r="BG6" s="67" t="n">
        <f aca="false">Expenses!BG5</f>
        <v>1514972.352</v>
      </c>
      <c r="BH6" s="67" t="n">
        <f aca="false">Expenses!BH5</f>
        <v>1514972.352</v>
      </c>
      <c r="BI6" s="67" t="n">
        <f aca="false">Expenses!BI5</f>
        <v>1514972.352</v>
      </c>
      <c r="BJ6" s="67" t="n">
        <f aca="false">Expenses!BJ5</f>
        <v>1514972.352</v>
      </c>
      <c r="BK6" s="67" t="n">
        <f aca="false">Expenses!BK5</f>
        <v>1514972.352</v>
      </c>
      <c r="BL6" s="67" t="n">
        <f aca="false">Expenses!BL5</f>
        <v>1514972.352</v>
      </c>
      <c r="BM6" s="67" t="n">
        <f aca="false">Expenses!BM5</f>
        <v>1514972.352</v>
      </c>
      <c r="BN6" s="66" t="n">
        <f aca="false">SUM(BB6:BM6)</f>
        <v>18179668.224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Infrastructure &amp; hosting</v>
      </c>
      <c r="B7" s="67" t="n">
        <f aca="false">Expenses!B6</f>
        <v>640000</v>
      </c>
      <c r="C7" s="67" t="n">
        <f aca="false">Expenses!C6</f>
        <v>640000</v>
      </c>
      <c r="D7" s="67" t="n">
        <f aca="false">Expenses!D6</f>
        <v>640000</v>
      </c>
      <c r="E7" s="67" t="n">
        <f aca="false">Expenses!E6</f>
        <v>640000</v>
      </c>
      <c r="F7" s="67" t="n">
        <f aca="false">Expenses!F6</f>
        <v>640000</v>
      </c>
      <c r="G7" s="67" t="n">
        <f aca="false">Expenses!G6</f>
        <v>640000</v>
      </c>
      <c r="H7" s="67" t="n">
        <f aca="false">Expenses!H6</f>
        <v>640000</v>
      </c>
      <c r="I7" s="67" t="n">
        <f aca="false">Expenses!I6</f>
        <v>640000</v>
      </c>
      <c r="J7" s="67" t="n">
        <f aca="false">Expenses!J6</f>
        <v>640000</v>
      </c>
      <c r="K7" s="67" t="n">
        <f aca="false">Expenses!K6</f>
        <v>640000</v>
      </c>
      <c r="L7" s="67" t="n">
        <f aca="false">Expenses!L6</f>
        <v>640000</v>
      </c>
      <c r="M7" s="67" t="n">
        <f aca="false">Expenses!M6</f>
        <v>640000</v>
      </c>
      <c r="N7" s="66" t="n">
        <f aca="false">SUM(B7:M7)</f>
        <v>7680000</v>
      </c>
      <c r="O7" s="67" t="n">
        <f aca="false">Expenses!O6</f>
        <v>714000</v>
      </c>
      <c r="P7" s="67" t="n">
        <f aca="false">Expenses!P6</f>
        <v>714000</v>
      </c>
      <c r="Q7" s="67" t="n">
        <f aca="false">Expenses!Q6</f>
        <v>714000</v>
      </c>
      <c r="R7" s="67" t="n">
        <f aca="false">Expenses!R6</f>
        <v>714000</v>
      </c>
      <c r="S7" s="67" t="n">
        <f aca="false">Expenses!S6</f>
        <v>714000</v>
      </c>
      <c r="T7" s="67" t="n">
        <f aca="false">Expenses!T6</f>
        <v>714000</v>
      </c>
      <c r="U7" s="67" t="n">
        <f aca="false">Expenses!U6</f>
        <v>714000</v>
      </c>
      <c r="V7" s="67" t="n">
        <f aca="false">Expenses!V6</f>
        <v>714000</v>
      </c>
      <c r="W7" s="67" t="n">
        <f aca="false">Expenses!W6</f>
        <v>714000</v>
      </c>
      <c r="X7" s="67" t="n">
        <f aca="false">Expenses!X6</f>
        <v>714000</v>
      </c>
      <c r="Y7" s="67" t="n">
        <f aca="false">Expenses!Y6</f>
        <v>714000</v>
      </c>
      <c r="Z7" s="67" t="n">
        <f aca="false">Expenses!Z6</f>
        <v>714000</v>
      </c>
      <c r="AA7" s="66" t="n">
        <f aca="false">SUM(O7:Z7)</f>
        <v>8568000</v>
      </c>
      <c r="AB7" s="67" t="n">
        <f aca="false">Expenses!AB6</f>
        <v>793800</v>
      </c>
      <c r="AC7" s="67" t="n">
        <f aca="false">Expenses!AC6</f>
        <v>793800</v>
      </c>
      <c r="AD7" s="67" t="n">
        <f aca="false">Expenses!AD6</f>
        <v>793800</v>
      </c>
      <c r="AE7" s="67" t="n">
        <f aca="false">Expenses!AE6</f>
        <v>793800</v>
      </c>
      <c r="AF7" s="67" t="n">
        <f aca="false">Expenses!AF6</f>
        <v>793800</v>
      </c>
      <c r="AG7" s="67" t="n">
        <f aca="false">Expenses!AG6</f>
        <v>793800</v>
      </c>
      <c r="AH7" s="67" t="n">
        <f aca="false">Expenses!AH6</f>
        <v>793800</v>
      </c>
      <c r="AI7" s="67" t="n">
        <f aca="false">Expenses!AI6</f>
        <v>793800</v>
      </c>
      <c r="AJ7" s="67" t="n">
        <f aca="false">Expenses!AJ6</f>
        <v>793800</v>
      </c>
      <c r="AK7" s="67" t="n">
        <f aca="false">Expenses!AK6</f>
        <v>793800</v>
      </c>
      <c r="AL7" s="67" t="n">
        <f aca="false">Expenses!AL6</f>
        <v>793800</v>
      </c>
      <c r="AM7" s="67" t="n">
        <f aca="false">Expenses!AM6</f>
        <v>793800</v>
      </c>
      <c r="AN7" s="66" t="n">
        <f aca="false">SUM(AB7:AM7)</f>
        <v>9525600</v>
      </c>
      <c r="AO7" s="67" t="n">
        <f aca="false">Expenses!AO6</f>
        <v>879795</v>
      </c>
      <c r="AP7" s="67" t="n">
        <f aca="false">Expenses!AP6</f>
        <v>879795</v>
      </c>
      <c r="AQ7" s="67" t="n">
        <f aca="false">Expenses!AQ6</f>
        <v>879795</v>
      </c>
      <c r="AR7" s="67" t="n">
        <f aca="false">Expenses!AR6</f>
        <v>879795</v>
      </c>
      <c r="AS7" s="67" t="n">
        <f aca="false">Expenses!AS6</f>
        <v>879795</v>
      </c>
      <c r="AT7" s="67" t="n">
        <f aca="false">Expenses!AT6</f>
        <v>879795</v>
      </c>
      <c r="AU7" s="67" t="n">
        <f aca="false">Expenses!AU6</f>
        <v>879795</v>
      </c>
      <c r="AV7" s="67" t="n">
        <f aca="false">Expenses!AV6</f>
        <v>879795</v>
      </c>
      <c r="AW7" s="67" t="n">
        <f aca="false">Expenses!AW6</f>
        <v>879795</v>
      </c>
      <c r="AX7" s="67" t="n">
        <f aca="false">Expenses!AX6</f>
        <v>879795</v>
      </c>
      <c r="AY7" s="67" t="n">
        <f aca="false">Expenses!AY6</f>
        <v>879795</v>
      </c>
      <c r="AZ7" s="67" t="n">
        <f aca="false">Expenses!AZ6</f>
        <v>879795</v>
      </c>
      <c r="BA7" s="66" t="n">
        <f aca="false">SUM(AO7:AZ7)</f>
        <v>10557540</v>
      </c>
      <c r="BB7" s="67" t="n">
        <f aca="false">Expenses!BB6</f>
        <v>972405</v>
      </c>
      <c r="BC7" s="67" t="n">
        <f aca="false">Expenses!BC6</f>
        <v>972405</v>
      </c>
      <c r="BD7" s="67" t="n">
        <f aca="false">Expenses!BD6</f>
        <v>972405</v>
      </c>
      <c r="BE7" s="67" t="n">
        <f aca="false">Expenses!BE6</f>
        <v>972405</v>
      </c>
      <c r="BF7" s="67" t="n">
        <f aca="false">Expenses!BF6</f>
        <v>972405</v>
      </c>
      <c r="BG7" s="67" t="n">
        <f aca="false">Expenses!BG6</f>
        <v>972405</v>
      </c>
      <c r="BH7" s="67" t="n">
        <f aca="false">Expenses!BH6</f>
        <v>972405</v>
      </c>
      <c r="BI7" s="67" t="n">
        <f aca="false">Expenses!BI6</f>
        <v>972405</v>
      </c>
      <c r="BJ7" s="67" t="n">
        <f aca="false">Expenses!BJ6</f>
        <v>972405</v>
      </c>
      <c r="BK7" s="67" t="n">
        <f aca="false">Expenses!BK6</f>
        <v>972405</v>
      </c>
      <c r="BL7" s="67" t="n">
        <f aca="false">Expenses!BL6</f>
        <v>972405</v>
      </c>
      <c r="BM7" s="67" t="n">
        <f aca="false">Expenses!BM6</f>
        <v>972405</v>
      </c>
      <c r="BN7" s="66" t="n">
        <f aca="false">SUM(BB7:BM7)</f>
        <v>11668860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400000</v>
      </c>
      <c r="C8" s="67" t="n">
        <f aca="false">Expenses!C7</f>
        <v>400000</v>
      </c>
      <c r="D8" s="67" t="n">
        <f aca="false">Expenses!D7</f>
        <v>400000</v>
      </c>
      <c r="E8" s="67" t="n">
        <f aca="false">Expenses!E7</f>
        <v>400000</v>
      </c>
      <c r="F8" s="67" t="n">
        <f aca="false">Expenses!F7</f>
        <v>400000</v>
      </c>
      <c r="G8" s="67" t="n">
        <f aca="false">Expenses!G7</f>
        <v>400000</v>
      </c>
      <c r="H8" s="67" t="n">
        <f aca="false">Expenses!H7</f>
        <v>400000</v>
      </c>
      <c r="I8" s="67" t="n">
        <f aca="false">Expenses!I7</f>
        <v>400000</v>
      </c>
      <c r="J8" s="67" t="n">
        <f aca="false">Expenses!J7</f>
        <v>400000</v>
      </c>
      <c r="K8" s="67" t="n">
        <f aca="false">Expenses!K7</f>
        <v>400000</v>
      </c>
      <c r="L8" s="67" t="n">
        <f aca="false">Expenses!L7</f>
        <v>400000</v>
      </c>
      <c r="M8" s="67" t="n">
        <f aca="false">Expenses!M7</f>
        <v>400000</v>
      </c>
      <c r="N8" s="66" t="n">
        <f aca="false">SUM(B8:M8)</f>
        <v>4800000</v>
      </c>
      <c r="O8" s="67" t="n">
        <f aca="false">Expenses!O7</f>
        <v>428000</v>
      </c>
      <c r="P8" s="67" t="n">
        <f aca="false">Expenses!P7</f>
        <v>428000</v>
      </c>
      <c r="Q8" s="67" t="n">
        <f aca="false">Expenses!Q7</f>
        <v>428000</v>
      </c>
      <c r="R8" s="67" t="n">
        <f aca="false">Expenses!R7</f>
        <v>428000</v>
      </c>
      <c r="S8" s="67" t="n">
        <f aca="false">Expenses!S7</f>
        <v>428000</v>
      </c>
      <c r="T8" s="67" t="n">
        <f aca="false">Expenses!T7</f>
        <v>428000</v>
      </c>
      <c r="U8" s="67" t="n">
        <f aca="false">Expenses!U7</f>
        <v>428000</v>
      </c>
      <c r="V8" s="67" t="n">
        <f aca="false">Expenses!V7</f>
        <v>428000</v>
      </c>
      <c r="W8" s="67" t="n">
        <f aca="false">Expenses!W7</f>
        <v>428000</v>
      </c>
      <c r="X8" s="67" t="n">
        <f aca="false">Expenses!X7</f>
        <v>428000</v>
      </c>
      <c r="Y8" s="67" t="n">
        <f aca="false">Expenses!Y7</f>
        <v>428000</v>
      </c>
      <c r="Z8" s="67" t="n">
        <f aca="false">Expenses!Z7</f>
        <v>428000</v>
      </c>
      <c r="AA8" s="66" t="n">
        <f aca="false">SUM(O8:Z8)</f>
        <v>5136000</v>
      </c>
      <c r="AB8" s="67" t="n">
        <f aca="false">Expenses!AB7</f>
        <v>457960</v>
      </c>
      <c r="AC8" s="67" t="n">
        <f aca="false">Expenses!AC7</f>
        <v>457960</v>
      </c>
      <c r="AD8" s="67" t="n">
        <f aca="false">Expenses!AD7</f>
        <v>457960</v>
      </c>
      <c r="AE8" s="67" t="n">
        <f aca="false">Expenses!AE7</f>
        <v>457960</v>
      </c>
      <c r="AF8" s="67" t="n">
        <f aca="false">Expenses!AF7</f>
        <v>457960</v>
      </c>
      <c r="AG8" s="67" t="n">
        <f aca="false">Expenses!AG7</f>
        <v>457960</v>
      </c>
      <c r="AH8" s="67" t="n">
        <f aca="false">Expenses!AH7</f>
        <v>457960</v>
      </c>
      <c r="AI8" s="67" t="n">
        <f aca="false">Expenses!AI7</f>
        <v>457960</v>
      </c>
      <c r="AJ8" s="67" t="n">
        <f aca="false">Expenses!AJ7</f>
        <v>457960</v>
      </c>
      <c r="AK8" s="67" t="n">
        <f aca="false">Expenses!AK7</f>
        <v>457960</v>
      </c>
      <c r="AL8" s="67" t="n">
        <f aca="false">Expenses!AL7</f>
        <v>457960</v>
      </c>
      <c r="AM8" s="67" t="n">
        <f aca="false">Expenses!AM7</f>
        <v>457960</v>
      </c>
      <c r="AN8" s="66" t="n">
        <f aca="false">SUM(AB8:AM8)</f>
        <v>5495520</v>
      </c>
      <c r="AO8" s="67" t="n">
        <f aca="false">Expenses!AO7</f>
        <v>490017.2</v>
      </c>
      <c r="AP8" s="67" t="n">
        <f aca="false">Expenses!AP7</f>
        <v>490017.2</v>
      </c>
      <c r="AQ8" s="67" t="n">
        <f aca="false">Expenses!AQ7</f>
        <v>490017.2</v>
      </c>
      <c r="AR8" s="67" t="n">
        <f aca="false">Expenses!AR7</f>
        <v>490017.2</v>
      </c>
      <c r="AS8" s="67" t="n">
        <f aca="false">Expenses!AS7</f>
        <v>490017.2</v>
      </c>
      <c r="AT8" s="67" t="n">
        <f aca="false">Expenses!AT7</f>
        <v>490017.2</v>
      </c>
      <c r="AU8" s="67" t="n">
        <f aca="false">Expenses!AU7</f>
        <v>490017.2</v>
      </c>
      <c r="AV8" s="67" t="n">
        <f aca="false">Expenses!AV7</f>
        <v>490017.2</v>
      </c>
      <c r="AW8" s="67" t="n">
        <f aca="false">Expenses!AW7</f>
        <v>490017.2</v>
      </c>
      <c r="AX8" s="67" t="n">
        <f aca="false">Expenses!AX7</f>
        <v>490017.2</v>
      </c>
      <c r="AY8" s="67" t="n">
        <f aca="false">Expenses!AY7</f>
        <v>490017.2</v>
      </c>
      <c r="AZ8" s="67" t="n">
        <f aca="false">Expenses!AZ7</f>
        <v>490017.2</v>
      </c>
      <c r="BA8" s="66" t="n">
        <f aca="false">SUM(AO8:AZ8)</f>
        <v>5880206.4</v>
      </c>
      <c r="BB8" s="67" t="n">
        <f aca="false">Expenses!BB7</f>
        <v>524318.404</v>
      </c>
      <c r="BC8" s="67" t="n">
        <f aca="false">Expenses!BC7</f>
        <v>524318.404</v>
      </c>
      <c r="BD8" s="67" t="n">
        <f aca="false">Expenses!BD7</f>
        <v>524318.404</v>
      </c>
      <c r="BE8" s="67" t="n">
        <f aca="false">Expenses!BE7</f>
        <v>524318.404</v>
      </c>
      <c r="BF8" s="67" t="n">
        <f aca="false">Expenses!BF7</f>
        <v>524318.404</v>
      </c>
      <c r="BG8" s="67" t="n">
        <f aca="false">Expenses!BG7</f>
        <v>524318.404</v>
      </c>
      <c r="BH8" s="67" t="n">
        <f aca="false">Expenses!BH7</f>
        <v>524318.404</v>
      </c>
      <c r="BI8" s="67" t="n">
        <f aca="false">Expenses!BI7</f>
        <v>524318.404</v>
      </c>
      <c r="BJ8" s="67" t="n">
        <f aca="false">Expenses!BJ7</f>
        <v>524318.404</v>
      </c>
      <c r="BK8" s="67" t="n">
        <f aca="false">Expenses!BK7</f>
        <v>524318.404</v>
      </c>
      <c r="BL8" s="67" t="n">
        <f aca="false">Expenses!BL7</f>
        <v>524318.404</v>
      </c>
      <c r="BM8" s="67" t="n">
        <f aca="false">Expenses!BM7</f>
        <v>524318.404</v>
      </c>
      <c r="BN8" s="66" t="n">
        <f aca="false">SUM(BB8:BM8)</f>
        <v>6291820.848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320000</v>
      </c>
      <c r="C9" s="67" t="n">
        <f aca="false">Expenses!C8</f>
        <v>320000</v>
      </c>
      <c r="D9" s="67" t="n">
        <f aca="false">Expenses!D8</f>
        <v>320000</v>
      </c>
      <c r="E9" s="67" t="n">
        <f aca="false">Expenses!E8</f>
        <v>320000</v>
      </c>
      <c r="F9" s="67" t="n">
        <f aca="false">Expenses!F8</f>
        <v>320000</v>
      </c>
      <c r="G9" s="67" t="n">
        <f aca="false">Expenses!G8</f>
        <v>320000</v>
      </c>
      <c r="H9" s="67" t="n">
        <f aca="false">Expenses!H8</f>
        <v>320000</v>
      </c>
      <c r="I9" s="67" t="n">
        <f aca="false">Expenses!I8</f>
        <v>320000</v>
      </c>
      <c r="J9" s="67" t="n">
        <f aca="false">Expenses!J8</f>
        <v>320000</v>
      </c>
      <c r="K9" s="67" t="n">
        <f aca="false">Expenses!K8</f>
        <v>320000</v>
      </c>
      <c r="L9" s="67" t="n">
        <f aca="false">Expenses!L8</f>
        <v>320000</v>
      </c>
      <c r="M9" s="67" t="n">
        <f aca="false">Expenses!M8</f>
        <v>320000</v>
      </c>
      <c r="N9" s="66" t="n">
        <f aca="false">SUM(B9:M9)</f>
        <v>3840000</v>
      </c>
      <c r="O9" s="67" t="n">
        <f aca="false">Expenses!O8</f>
        <v>353600</v>
      </c>
      <c r="P9" s="67" t="n">
        <f aca="false">Expenses!P8</f>
        <v>353600</v>
      </c>
      <c r="Q9" s="67" t="n">
        <f aca="false">Expenses!Q8</f>
        <v>353600</v>
      </c>
      <c r="R9" s="67" t="n">
        <f aca="false">Expenses!R8</f>
        <v>353600</v>
      </c>
      <c r="S9" s="67" t="n">
        <f aca="false">Expenses!S8</f>
        <v>353600</v>
      </c>
      <c r="T9" s="67" t="n">
        <f aca="false">Expenses!T8</f>
        <v>353600</v>
      </c>
      <c r="U9" s="67" t="n">
        <f aca="false">Expenses!U8</f>
        <v>353600</v>
      </c>
      <c r="V9" s="67" t="n">
        <f aca="false">Expenses!V8</f>
        <v>353600</v>
      </c>
      <c r="W9" s="67" t="n">
        <f aca="false">Expenses!W8</f>
        <v>353600</v>
      </c>
      <c r="X9" s="67" t="n">
        <f aca="false">Expenses!X8</f>
        <v>353600</v>
      </c>
      <c r="Y9" s="67" t="n">
        <f aca="false">Expenses!Y8</f>
        <v>353600</v>
      </c>
      <c r="Z9" s="67" t="n">
        <f aca="false">Expenses!Z8</f>
        <v>353600</v>
      </c>
      <c r="AA9" s="66" t="n">
        <f aca="false">SUM(O9:Z9)</f>
        <v>4243200</v>
      </c>
      <c r="AB9" s="67" t="n">
        <f aca="false">Expenses!AB8</f>
        <v>389376</v>
      </c>
      <c r="AC9" s="67" t="n">
        <f aca="false">Expenses!AC8</f>
        <v>389376</v>
      </c>
      <c r="AD9" s="67" t="n">
        <f aca="false">Expenses!AD8</f>
        <v>389376</v>
      </c>
      <c r="AE9" s="67" t="n">
        <f aca="false">Expenses!AE8</f>
        <v>389376</v>
      </c>
      <c r="AF9" s="67" t="n">
        <f aca="false">Expenses!AF8</f>
        <v>389376</v>
      </c>
      <c r="AG9" s="67" t="n">
        <f aca="false">Expenses!AG8</f>
        <v>389376</v>
      </c>
      <c r="AH9" s="67" t="n">
        <f aca="false">Expenses!AH8</f>
        <v>389376</v>
      </c>
      <c r="AI9" s="67" t="n">
        <f aca="false">Expenses!AI8</f>
        <v>389376</v>
      </c>
      <c r="AJ9" s="67" t="n">
        <f aca="false">Expenses!AJ8</f>
        <v>389376</v>
      </c>
      <c r="AK9" s="67" t="n">
        <f aca="false">Expenses!AK8</f>
        <v>389376</v>
      </c>
      <c r="AL9" s="67" t="n">
        <f aca="false">Expenses!AL8</f>
        <v>389376</v>
      </c>
      <c r="AM9" s="67" t="n">
        <f aca="false">Expenses!AM8</f>
        <v>389376</v>
      </c>
      <c r="AN9" s="66" t="n">
        <f aca="false">SUM(AB9:AM9)</f>
        <v>4672512</v>
      </c>
      <c r="AO9" s="67" t="n">
        <f aca="false">Expenses!AO8</f>
        <v>427448.32</v>
      </c>
      <c r="AP9" s="67" t="n">
        <f aca="false">Expenses!AP8</f>
        <v>427448.32</v>
      </c>
      <c r="AQ9" s="67" t="n">
        <f aca="false">Expenses!AQ8</f>
        <v>427448.32</v>
      </c>
      <c r="AR9" s="67" t="n">
        <f aca="false">Expenses!AR8</f>
        <v>427448.32</v>
      </c>
      <c r="AS9" s="67" t="n">
        <f aca="false">Expenses!AS8</f>
        <v>427448.32</v>
      </c>
      <c r="AT9" s="67" t="n">
        <f aca="false">Expenses!AT8</f>
        <v>427448.32</v>
      </c>
      <c r="AU9" s="67" t="n">
        <f aca="false">Expenses!AU8</f>
        <v>427448.32</v>
      </c>
      <c r="AV9" s="67" t="n">
        <f aca="false">Expenses!AV8</f>
        <v>427448.32</v>
      </c>
      <c r="AW9" s="67" t="n">
        <f aca="false">Expenses!AW8</f>
        <v>427448.32</v>
      </c>
      <c r="AX9" s="67" t="n">
        <f aca="false">Expenses!AX8</f>
        <v>427448.32</v>
      </c>
      <c r="AY9" s="67" t="n">
        <f aca="false">Expenses!AY8</f>
        <v>427448.32</v>
      </c>
      <c r="AZ9" s="67" t="n">
        <f aca="false">Expenses!AZ8</f>
        <v>427448.32</v>
      </c>
      <c r="BA9" s="66" t="n">
        <f aca="false">SUM(AO9:AZ9)</f>
        <v>5129379.84</v>
      </c>
      <c r="BB9" s="67" t="n">
        <f aca="false">Expenses!BB8</f>
        <v>467943.424</v>
      </c>
      <c r="BC9" s="67" t="n">
        <f aca="false">Expenses!BC8</f>
        <v>467943.424</v>
      </c>
      <c r="BD9" s="67" t="n">
        <f aca="false">Expenses!BD8</f>
        <v>467943.424</v>
      </c>
      <c r="BE9" s="67" t="n">
        <f aca="false">Expenses!BE8</f>
        <v>467943.424</v>
      </c>
      <c r="BF9" s="67" t="n">
        <f aca="false">Expenses!BF8</f>
        <v>467943.424</v>
      </c>
      <c r="BG9" s="67" t="n">
        <f aca="false">Expenses!BG8</f>
        <v>467943.424</v>
      </c>
      <c r="BH9" s="67" t="n">
        <f aca="false">Expenses!BH8</f>
        <v>467943.424</v>
      </c>
      <c r="BI9" s="67" t="n">
        <f aca="false">Expenses!BI8</f>
        <v>467943.424</v>
      </c>
      <c r="BJ9" s="67" t="n">
        <f aca="false">Expenses!BJ8</f>
        <v>467943.424</v>
      </c>
      <c r="BK9" s="67" t="n">
        <f aca="false">Expenses!BK8</f>
        <v>467943.424</v>
      </c>
      <c r="BL9" s="67" t="n">
        <f aca="false">Expenses!BL8</f>
        <v>467943.424</v>
      </c>
      <c r="BM9" s="67" t="n">
        <f aca="false">Expenses!BM8</f>
        <v>467943.424</v>
      </c>
      <c r="BN9" s="66" t="n">
        <f aca="false">SUM(BB9:BM9)</f>
        <v>5615321.088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Operating overheads</v>
      </c>
      <c r="B10" s="67" t="n">
        <f aca="false">Expenses!B9</f>
        <v>100000</v>
      </c>
      <c r="C10" s="67" t="n">
        <f aca="false">Expenses!C9</f>
        <v>100000</v>
      </c>
      <c r="D10" s="67" t="n">
        <f aca="false">Expenses!D9</f>
        <v>100000</v>
      </c>
      <c r="E10" s="67" t="n">
        <f aca="false">Expenses!E9</f>
        <v>100000</v>
      </c>
      <c r="F10" s="67" t="n">
        <f aca="false">Expenses!F9</f>
        <v>100000</v>
      </c>
      <c r="G10" s="67" t="n">
        <f aca="false">Expenses!G9</f>
        <v>100000</v>
      </c>
      <c r="H10" s="67" t="n">
        <f aca="false">Expenses!H9</f>
        <v>100000</v>
      </c>
      <c r="I10" s="67" t="n">
        <f aca="false">Expenses!I9</f>
        <v>100000</v>
      </c>
      <c r="J10" s="67" t="n">
        <f aca="false">Expenses!J9</f>
        <v>100000</v>
      </c>
      <c r="K10" s="67" t="n">
        <f aca="false">Expenses!K9</f>
        <v>100000</v>
      </c>
      <c r="L10" s="67" t="n">
        <f aca="false">Expenses!L9</f>
        <v>100000</v>
      </c>
      <c r="M10" s="67" t="n">
        <f aca="false">Expenses!M9</f>
        <v>100000</v>
      </c>
      <c r="N10" s="66" t="n">
        <f aca="false">SUM(B10:M10)</f>
        <v>1200000</v>
      </c>
      <c r="O10" s="67" t="n">
        <f aca="false">Expenses!O9</f>
        <v>105000</v>
      </c>
      <c r="P10" s="67" t="n">
        <f aca="false">Expenses!P9</f>
        <v>105000</v>
      </c>
      <c r="Q10" s="67" t="n">
        <f aca="false">Expenses!Q9</f>
        <v>105000</v>
      </c>
      <c r="R10" s="67" t="n">
        <f aca="false">Expenses!R9</f>
        <v>105000</v>
      </c>
      <c r="S10" s="67" t="n">
        <f aca="false">Expenses!S9</f>
        <v>105000</v>
      </c>
      <c r="T10" s="67" t="n">
        <f aca="false">Expenses!T9</f>
        <v>105000</v>
      </c>
      <c r="U10" s="67" t="n">
        <f aca="false">Expenses!U9</f>
        <v>105000</v>
      </c>
      <c r="V10" s="67" t="n">
        <f aca="false">Expenses!V9</f>
        <v>105000</v>
      </c>
      <c r="W10" s="67" t="n">
        <f aca="false">Expenses!W9</f>
        <v>105000</v>
      </c>
      <c r="X10" s="67" t="n">
        <f aca="false">Expenses!X9</f>
        <v>105000</v>
      </c>
      <c r="Y10" s="67" t="n">
        <f aca="false">Expenses!Y9</f>
        <v>105000</v>
      </c>
      <c r="Z10" s="67" t="n">
        <f aca="false">Expenses!Z9</f>
        <v>105000</v>
      </c>
      <c r="AA10" s="66" t="n">
        <f aca="false">SUM(O10:Z10)</f>
        <v>1260000</v>
      </c>
      <c r="AB10" s="67" t="n">
        <f aca="false">Expenses!AB9</f>
        <v>110250</v>
      </c>
      <c r="AC10" s="67" t="n">
        <f aca="false">Expenses!AC9</f>
        <v>110250</v>
      </c>
      <c r="AD10" s="67" t="n">
        <f aca="false">Expenses!AD9</f>
        <v>110250</v>
      </c>
      <c r="AE10" s="67" t="n">
        <f aca="false">Expenses!AE9</f>
        <v>110250</v>
      </c>
      <c r="AF10" s="67" t="n">
        <f aca="false">Expenses!AF9</f>
        <v>110250</v>
      </c>
      <c r="AG10" s="67" t="n">
        <f aca="false">Expenses!AG9</f>
        <v>110250</v>
      </c>
      <c r="AH10" s="67" t="n">
        <f aca="false">Expenses!AH9</f>
        <v>110250</v>
      </c>
      <c r="AI10" s="67" t="n">
        <f aca="false">Expenses!AI9</f>
        <v>110250</v>
      </c>
      <c r="AJ10" s="67" t="n">
        <f aca="false">Expenses!AJ9</f>
        <v>110250</v>
      </c>
      <c r="AK10" s="67" t="n">
        <f aca="false">Expenses!AK9</f>
        <v>110250</v>
      </c>
      <c r="AL10" s="67" t="n">
        <f aca="false">Expenses!AL9</f>
        <v>110250</v>
      </c>
      <c r="AM10" s="67" t="n">
        <f aca="false">Expenses!AM9</f>
        <v>110250</v>
      </c>
      <c r="AN10" s="66" t="n">
        <f aca="false">SUM(AB10:AM10)</f>
        <v>1323000</v>
      </c>
      <c r="AO10" s="67" t="n">
        <f aca="false">Expenses!AO9</f>
        <v>115762.5</v>
      </c>
      <c r="AP10" s="67" t="n">
        <f aca="false">Expenses!AP9</f>
        <v>115762.5</v>
      </c>
      <c r="AQ10" s="67" t="n">
        <f aca="false">Expenses!AQ9</f>
        <v>115762.5</v>
      </c>
      <c r="AR10" s="67" t="n">
        <f aca="false">Expenses!AR9</f>
        <v>115762.5</v>
      </c>
      <c r="AS10" s="67" t="n">
        <f aca="false">Expenses!AS9</f>
        <v>115762.5</v>
      </c>
      <c r="AT10" s="67" t="n">
        <f aca="false">Expenses!AT9</f>
        <v>115762.5</v>
      </c>
      <c r="AU10" s="67" t="n">
        <f aca="false">Expenses!AU9</f>
        <v>115762.5</v>
      </c>
      <c r="AV10" s="67" t="n">
        <f aca="false">Expenses!AV9</f>
        <v>115762.5</v>
      </c>
      <c r="AW10" s="67" t="n">
        <f aca="false">Expenses!AW9</f>
        <v>115762.5</v>
      </c>
      <c r="AX10" s="67" t="n">
        <f aca="false">Expenses!AX9</f>
        <v>115762.5</v>
      </c>
      <c r="AY10" s="67" t="n">
        <f aca="false">Expenses!AY9</f>
        <v>115762.5</v>
      </c>
      <c r="AZ10" s="67" t="n">
        <f aca="false">Expenses!AZ9</f>
        <v>115762.5</v>
      </c>
      <c r="BA10" s="66" t="n">
        <f aca="false">SUM(AO10:AZ10)</f>
        <v>1389150</v>
      </c>
      <c r="BB10" s="67" t="n">
        <f aca="false">Expenses!BB9</f>
        <v>121550.625</v>
      </c>
      <c r="BC10" s="67" t="n">
        <f aca="false">Expenses!BC9</f>
        <v>121550.625</v>
      </c>
      <c r="BD10" s="67" t="n">
        <f aca="false">Expenses!BD9</f>
        <v>121550.625</v>
      </c>
      <c r="BE10" s="67" t="n">
        <f aca="false">Expenses!BE9</f>
        <v>121550.625</v>
      </c>
      <c r="BF10" s="67" t="n">
        <f aca="false">Expenses!BF9</f>
        <v>121550.625</v>
      </c>
      <c r="BG10" s="67" t="n">
        <f aca="false">Expenses!BG9</f>
        <v>121550.625</v>
      </c>
      <c r="BH10" s="67" t="n">
        <f aca="false">Expenses!BH9</f>
        <v>121550.625</v>
      </c>
      <c r="BI10" s="67" t="n">
        <f aca="false">Expenses!BI9</f>
        <v>121550.625</v>
      </c>
      <c r="BJ10" s="67" t="n">
        <f aca="false">Expenses!BJ9</f>
        <v>121550.625</v>
      </c>
      <c r="BK10" s="67" t="n">
        <f aca="false">Expenses!BK9</f>
        <v>121550.625</v>
      </c>
      <c r="BL10" s="67" t="n">
        <f aca="false">Expenses!BL9</f>
        <v>121550.625</v>
      </c>
      <c r="BM10" s="67" t="n">
        <f aca="false">Expenses!BM9</f>
        <v>121550.625</v>
      </c>
      <c r="BN10" s="66" t="n">
        <f aca="false">SUM(BB10:BM10)</f>
        <v>1458607.5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20000</v>
      </c>
      <c r="C11" s="67" t="n">
        <f aca="false">Expenses!C10</f>
        <v>20000</v>
      </c>
      <c r="D11" s="67" t="n">
        <f aca="false">Expenses!D10</f>
        <v>20000</v>
      </c>
      <c r="E11" s="67" t="n">
        <f aca="false">Expenses!E10</f>
        <v>20000</v>
      </c>
      <c r="F11" s="67" t="n">
        <f aca="false">Expenses!F10</f>
        <v>20000</v>
      </c>
      <c r="G11" s="67" t="n">
        <f aca="false">Expenses!G10</f>
        <v>20000</v>
      </c>
      <c r="H11" s="67" t="n">
        <f aca="false">Expenses!H10</f>
        <v>20000</v>
      </c>
      <c r="I11" s="67" t="n">
        <f aca="false">Expenses!I10</f>
        <v>20000</v>
      </c>
      <c r="J11" s="67" t="n">
        <f aca="false">Expenses!J10</f>
        <v>20000</v>
      </c>
      <c r="K11" s="67" t="n">
        <f aca="false">Expenses!K10</f>
        <v>20000</v>
      </c>
      <c r="L11" s="67" t="n">
        <f aca="false">Expenses!L10</f>
        <v>20000</v>
      </c>
      <c r="M11" s="67" t="n">
        <f aca="false">Expenses!M10</f>
        <v>20000</v>
      </c>
      <c r="N11" s="66" t="n">
        <f aca="false">SUM(B11:M11)</f>
        <v>240000</v>
      </c>
      <c r="O11" s="67" t="n">
        <f aca="false">Expenses!O10</f>
        <v>20800</v>
      </c>
      <c r="P11" s="67" t="n">
        <f aca="false">Expenses!P10</f>
        <v>20800</v>
      </c>
      <c r="Q11" s="67" t="n">
        <f aca="false">Expenses!Q10</f>
        <v>20800</v>
      </c>
      <c r="R11" s="67" t="n">
        <f aca="false">Expenses!R10</f>
        <v>20800</v>
      </c>
      <c r="S11" s="67" t="n">
        <f aca="false">Expenses!S10</f>
        <v>20800</v>
      </c>
      <c r="T11" s="67" t="n">
        <f aca="false">Expenses!T10</f>
        <v>20800</v>
      </c>
      <c r="U11" s="67" t="n">
        <f aca="false">Expenses!U10</f>
        <v>20800</v>
      </c>
      <c r="V11" s="67" t="n">
        <f aca="false">Expenses!V10</f>
        <v>20800</v>
      </c>
      <c r="W11" s="67" t="n">
        <f aca="false">Expenses!W10</f>
        <v>20800</v>
      </c>
      <c r="X11" s="67" t="n">
        <f aca="false">Expenses!X10</f>
        <v>20800</v>
      </c>
      <c r="Y11" s="67" t="n">
        <f aca="false">Expenses!Y10</f>
        <v>20800</v>
      </c>
      <c r="Z11" s="67" t="n">
        <f aca="false">Expenses!Z10</f>
        <v>20800</v>
      </c>
      <c r="AA11" s="66" t="n">
        <f aca="false">SUM(O11:Z11)</f>
        <v>249600</v>
      </c>
      <c r="AB11" s="67" t="n">
        <f aca="false">Expenses!AB10</f>
        <v>21632</v>
      </c>
      <c r="AC11" s="67" t="n">
        <f aca="false">Expenses!AC10</f>
        <v>21632</v>
      </c>
      <c r="AD11" s="67" t="n">
        <f aca="false">Expenses!AD10</f>
        <v>21632</v>
      </c>
      <c r="AE11" s="67" t="n">
        <f aca="false">Expenses!AE10</f>
        <v>21632</v>
      </c>
      <c r="AF11" s="67" t="n">
        <f aca="false">Expenses!AF10</f>
        <v>21632</v>
      </c>
      <c r="AG11" s="67" t="n">
        <f aca="false">Expenses!AG10</f>
        <v>21632</v>
      </c>
      <c r="AH11" s="67" t="n">
        <f aca="false">Expenses!AH10</f>
        <v>21632</v>
      </c>
      <c r="AI11" s="67" t="n">
        <f aca="false">Expenses!AI10</f>
        <v>21632</v>
      </c>
      <c r="AJ11" s="67" t="n">
        <f aca="false">Expenses!AJ10</f>
        <v>21632</v>
      </c>
      <c r="AK11" s="67" t="n">
        <f aca="false">Expenses!AK10</f>
        <v>21632</v>
      </c>
      <c r="AL11" s="67" t="n">
        <f aca="false">Expenses!AL10</f>
        <v>21632</v>
      </c>
      <c r="AM11" s="67" t="n">
        <f aca="false">Expenses!AM10</f>
        <v>21632</v>
      </c>
      <c r="AN11" s="66" t="n">
        <f aca="false">SUM(AB11:AM11)</f>
        <v>259584</v>
      </c>
      <c r="AO11" s="67" t="n">
        <f aca="false">Expenses!AO10</f>
        <v>22497.28</v>
      </c>
      <c r="AP11" s="67" t="n">
        <f aca="false">Expenses!AP10</f>
        <v>22497.28</v>
      </c>
      <c r="AQ11" s="67" t="n">
        <f aca="false">Expenses!AQ10</f>
        <v>22497.28</v>
      </c>
      <c r="AR11" s="67" t="n">
        <f aca="false">Expenses!AR10</f>
        <v>22497.28</v>
      </c>
      <c r="AS11" s="67" t="n">
        <f aca="false">Expenses!AS10</f>
        <v>22497.28</v>
      </c>
      <c r="AT11" s="67" t="n">
        <f aca="false">Expenses!AT10</f>
        <v>22497.28</v>
      </c>
      <c r="AU11" s="67" t="n">
        <f aca="false">Expenses!AU10</f>
        <v>22497.28</v>
      </c>
      <c r="AV11" s="67" t="n">
        <f aca="false">Expenses!AV10</f>
        <v>22497.28</v>
      </c>
      <c r="AW11" s="67" t="n">
        <f aca="false">Expenses!AW10</f>
        <v>22497.28</v>
      </c>
      <c r="AX11" s="67" t="n">
        <f aca="false">Expenses!AX10</f>
        <v>22497.28</v>
      </c>
      <c r="AY11" s="67" t="n">
        <f aca="false">Expenses!AY10</f>
        <v>22497.28</v>
      </c>
      <c r="AZ11" s="67" t="n">
        <f aca="false">Expenses!AZ10</f>
        <v>22497.28</v>
      </c>
      <c r="BA11" s="66" t="n">
        <f aca="false">SUM(AO11:AZ11)</f>
        <v>269967.36</v>
      </c>
      <c r="BB11" s="67" t="n">
        <f aca="false">Expenses!BB10</f>
        <v>23397.1712</v>
      </c>
      <c r="BC11" s="67" t="n">
        <f aca="false">Expenses!BC10</f>
        <v>23397.1712</v>
      </c>
      <c r="BD11" s="67" t="n">
        <f aca="false">Expenses!BD10</f>
        <v>23397.1712</v>
      </c>
      <c r="BE11" s="67" t="n">
        <f aca="false">Expenses!BE10</f>
        <v>23397.1712</v>
      </c>
      <c r="BF11" s="67" t="n">
        <f aca="false">Expenses!BF10</f>
        <v>23397.1712</v>
      </c>
      <c r="BG11" s="67" t="n">
        <f aca="false">Expenses!BG10</f>
        <v>23397.1712</v>
      </c>
      <c r="BH11" s="67" t="n">
        <f aca="false">Expenses!BH10</f>
        <v>23397.1712</v>
      </c>
      <c r="BI11" s="67" t="n">
        <f aca="false">Expenses!BI10</f>
        <v>23397.1712</v>
      </c>
      <c r="BJ11" s="67" t="n">
        <f aca="false">Expenses!BJ10</f>
        <v>23397.1712</v>
      </c>
      <c r="BK11" s="67" t="n">
        <f aca="false">Expenses!BK10</f>
        <v>23397.1712</v>
      </c>
      <c r="BL11" s="67" t="n">
        <f aca="false">Expenses!BL10</f>
        <v>23397.1712</v>
      </c>
      <c r="BM11" s="67" t="n">
        <f aca="false">Expenses!BM10</f>
        <v>23397.1712</v>
      </c>
      <c r="BN11" s="66" t="n">
        <f aca="false">SUM(BB11:BM11)</f>
        <v>280766.0544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50000</v>
      </c>
      <c r="C12" s="67" t="n">
        <f aca="false">Expenses!C11</f>
        <v>50000</v>
      </c>
      <c r="D12" s="67" t="n">
        <f aca="false">Expenses!D11</f>
        <v>50000</v>
      </c>
      <c r="E12" s="67" t="n">
        <f aca="false">Expenses!E11</f>
        <v>50000</v>
      </c>
      <c r="F12" s="67" t="n">
        <f aca="false">Expenses!F11</f>
        <v>50000</v>
      </c>
      <c r="G12" s="67" t="n">
        <f aca="false">Expenses!G11</f>
        <v>50000</v>
      </c>
      <c r="H12" s="67" t="n">
        <f aca="false">Expenses!H11</f>
        <v>50000</v>
      </c>
      <c r="I12" s="67" t="n">
        <f aca="false">Expenses!I11</f>
        <v>50000</v>
      </c>
      <c r="J12" s="67" t="n">
        <f aca="false">Expenses!J11</f>
        <v>50000</v>
      </c>
      <c r="K12" s="67" t="n">
        <f aca="false">Expenses!K11</f>
        <v>50000</v>
      </c>
      <c r="L12" s="67" t="n">
        <f aca="false">Expenses!L11</f>
        <v>50000</v>
      </c>
      <c r="M12" s="67" t="n">
        <f aca="false">Expenses!M11</f>
        <v>50000</v>
      </c>
      <c r="N12" s="66" t="n">
        <f aca="false">SUM(B12:M12)</f>
        <v>600000</v>
      </c>
      <c r="O12" s="67" t="n">
        <f aca="false">Expenses!O11</f>
        <v>52500</v>
      </c>
      <c r="P12" s="67" t="n">
        <f aca="false">Expenses!P11</f>
        <v>52500</v>
      </c>
      <c r="Q12" s="67" t="n">
        <f aca="false">Expenses!Q11</f>
        <v>52500</v>
      </c>
      <c r="R12" s="67" t="n">
        <f aca="false">Expenses!R11</f>
        <v>52500</v>
      </c>
      <c r="S12" s="67" t="n">
        <f aca="false">Expenses!S11</f>
        <v>52500</v>
      </c>
      <c r="T12" s="67" t="n">
        <f aca="false">Expenses!T11</f>
        <v>52500</v>
      </c>
      <c r="U12" s="67" t="n">
        <f aca="false">Expenses!U11</f>
        <v>52500</v>
      </c>
      <c r="V12" s="67" t="n">
        <f aca="false">Expenses!V11</f>
        <v>52500</v>
      </c>
      <c r="W12" s="67" t="n">
        <f aca="false">Expenses!W11</f>
        <v>52500</v>
      </c>
      <c r="X12" s="67" t="n">
        <f aca="false">Expenses!X11</f>
        <v>52500</v>
      </c>
      <c r="Y12" s="67" t="n">
        <f aca="false">Expenses!Y11</f>
        <v>52500</v>
      </c>
      <c r="Z12" s="67" t="n">
        <f aca="false">Expenses!Z11</f>
        <v>52500</v>
      </c>
      <c r="AA12" s="66" t="n">
        <f aca="false">SUM(O12:Z12)</f>
        <v>630000</v>
      </c>
      <c r="AB12" s="67" t="n">
        <f aca="false">Expenses!AB11</f>
        <v>55125</v>
      </c>
      <c r="AC12" s="67" t="n">
        <f aca="false">Expenses!AC11</f>
        <v>55125</v>
      </c>
      <c r="AD12" s="67" t="n">
        <f aca="false">Expenses!AD11</f>
        <v>55125</v>
      </c>
      <c r="AE12" s="67" t="n">
        <f aca="false">Expenses!AE11</f>
        <v>55125</v>
      </c>
      <c r="AF12" s="67" t="n">
        <f aca="false">Expenses!AF11</f>
        <v>55125</v>
      </c>
      <c r="AG12" s="67" t="n">
        <f aca="false">Expenses!AG11</f>
        <v>55125</v>
      </c>
      <c r="AH12" s="67" t="n">
        <f aca="false">Expenses!AH11</f>
        <v>55125</v>
      </c>
      <c r="AI12" s="67" t="n">
        <f aca="false">Expenses!AI11</f>
        <v>55125</v>
      </c>
      <c r="AJ12" s="67" t="n">
        <f aca="false">Expenses!AJ11</f>
        <v>55125</v>
      </c>
      <c r="AK12" s="67" t="n">
        <f aca="false">Expenses!AK11</f>
        <v>55125</v>
      </c>
      <c r="AL12" s="67" t="n">
        <f aca="false">Expenses!AL11</f>
        <v>55125</v>
      </c>
      <c r="AM12" s="67" t="n">
        <f aca="false">Expenses!AM11</f>
        <v>55125</v>
      </c>
      <c r="AN12" s="66" t="n">
        <f aca="false">SUM(AB12:AM12)</f>
        <v>661500</v>
      </c>
      <c r="AO12" s="67" t="n">
        <f aca="false">Expenses!AO11</f>
        <v>57881.25</v>
      </c>
      <c r="AP12" s="67" t="n">
        <f aca="false">Expenses!AP11</f>
        <v>57881.25</v>
      </c>
      <c r="AQ12" s="67" t="n">
        <f aca="false">Expenses!AQ11</f>
        <v>57881.25</v>
      </c>
      <c r="AR12" s="67" t="n">
        <f aca="false">Expenses!AR11</f>
        <v>57881.25</v>
      </c>
      <c r="AS12" s="67" t="n">
        <f aca="false">Expenses!AS11</f>
        <v>57881.25</v>
      </c>
      <c r="AT12" s="67" t="n">
        <f aca="false">Expenses!AT11</f>
        <v>57881.25</v>
      </c>
      <c r="AU12" s="67" t="n">
        <f aca="false">Expenses!AU11</f>
        <v>57881.25</v>
      </c>
      <c r="AV12" s="67" t="n">
        <f aca="false">Expenses!AV11</f>
        <v>57881.25</v>
      </c>
      <c r="AW12" s="67" t="n">
        <f aca="false">Expenses!AW11</f>
        <v>57881.25</v>
      </c>
      <c r="AX12" s="67" t="n">
        <f aca="false">Expenses!AX11</f>
        <v>57881.25</v>
      </c>
      <c r="AY12" s="67" t="n">
        <f aca="false">Expenses!AY11</f>
        <v>57881.25</v>
      </c>
      <c r="AZ12" s="67" t="n">
        <f aca="false">Expenses!AZ11</f>
        <v>57881.25</v>
      </c>
      <c r="BA12" s="66" t="n">
        <f aca="false">SUM(AO12:AZ12)</f>
        <v>694575</v>
      </c>
      <c r="BB12" s="67" t="n">
        <f aca="false">Expenses!BB11</f>
        <v>60775.3125</v>
      </c>
      <c r="BC12" s="67" t="n">
        <f aca="false">Expenses!BC11</f>
        <v>60775.3125</v>
      </c>
      <c r="BD12" s="67" t="n">
        <f aca="false">Expenses!BD11</f>
        <v>60775.3125</v>
      </c>
      <c r="BE12" s="67" t="n">
        <f aca="false">Expenses!BE11</f>
        <v>60775.3125</v>
      </c>
      <c r="BF12" s="67" t="n">
        <f aca="false">Expenses!BF11</f>
        <v>60775.3125</v>
      </c>
      <c r="BG12" s="67" t="n">
        <f aca="false">Expenses!BG11</f>
        <v>60775.3125</v>
      </c>
      <c r="BH12" s="67" t="n">
        <f aca="false">Expenses!BH11</f>
        <v>60775.3125</v>
      </c>
      <c r="BI12" s="67" t="n">
        <f aca="false">Expenses!BI11</f>
        <v>60775.3125</v>
      </c>
      <c r="BJ12" s="67" t="n">
        <f aca="false">Expenses!BJ11</f>
        <v>60775.3125</v>
      </c>
      <c r="BK12" s="67" t="n">
        <f aca="false">Expenses!BK11</f>
        <v>60775.3125</v>
      </c>
      <c r="BL12" s="67" t="n">
        <f aca="false">Expenses!BL11</f>
        <v>60775.3125</v>
      </c>
      <c r="BM12" s="67" t="n">
        <f aca="false">Expenses!BM11</f>
        <v>60775.3125</v>
      </c>
      <c r="BN12" s="66" t="n">
        <f aca="false">SUM(BB12:BM12)</f>
        <v>729303.75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192000</v>
      </c>
      <c r="C13" s="67" t="n">
        <f aca="false">Expenses!C12</f>
        <v>192000</v>
      </c>
      <c r="D13" s="67" t="n">
        <f aca="false">Expenses!D12</f>
        <v>192000</v>
      </c>
      <c r="E13" s="67" t="n">
        <f aca="false">Expenses!E12</f>
        <v>192000</v>
      </c>
      <c r="F13" s="67" t="n">
        <f aca="false">Expenses!F12</f>
        <v>192000</v>
      </c>
      <c r="G13" s="67" t="n">
        <f aca="false">Expenses!G12</f>
        <v>192000</v>
      </c>
      <c r="H13" s="67" t="n">
        <f aca="false">Expenses!H12</f>
        <v>192000</v>
      </c>
      <c r="I13" s="67" t="n">
        <f aca="false">Expenses!I12</f>
        <v>192000</v>
      </c>
      <c r="J13" s="67" t="n">
        <f aca="false">Expenses!J12</f>
        <v>192000</v>
      </c>
      <c r="K13" s="67" t="n">
        <f aca="false">Expenses!K12</f>
        <v>192000</v>
      </c>
      <c r="L13" s="67" t="n">
        <f aca="false">Expenses!L12</f>
        <v>192000</v>
      </c>
      <c r="M13" s="67" t="n">
        <f aca="false">Expenses!M12</f>
        <v>192000</v>
      </c>
      <c r="N13" s="66" t="n">
        <f aca="false">SUM(B13:M13)</f>
        <v>2304000</v>
      </c>
      <c r="O13" s="67" t="n">
        <f aca="false">Expenses!O12</f>
        <v>214200</v>
      </c>
      <c r="P13" s="67" t="n">
        <f aca="false">Expenses!P12</f>
        <v>214200</v>
      </c>
      <c r="Q13" s="67" t="n">
        <f aca="false">Expenses!Q12</f>
        <v>214200</v>
      </c>
      <c r="R13" s="67" t="n">
        <f aca="false">Expenses!R12</f>
        <v>214200</v>
      </c>
      <c r="S13" s="67" t="n">
        <f aca="false">Expenses!S12</f>
        <v>214200</v>
      </c>
      <c r="T13" s="67" t="n">
        <f aca="false">Expenses!T12</f>
        <v>214200</v>
      </c>
      <c r="U13" s="67" t="n">
        <f aca="false">Expenses!U12</f>
        <v>214200</v>
      </c>
      <c r="V13" s="67" t="n">
        <f aca="false">Expenses!V12</f>
        <v>214200</v>
      </c>
      <c r="W13" s="67" t="n">
        <f aca="false">Expenses!W12</f>
        <v>214200</v>
      </c>
      <c r="X13" s="67" t="n">
        <f aca="false">Expenses!X12</f>
        <v>214200</v>
      </c>
      <c r="Y13" s="67" t="n">
        <f aca="false">Expenses!Y12</f>
        <v>214200</v>
      </c>
      <c r="Z13" s="67" t="n">
        <f aca="false">Expenses!Z12</f>
        <v>214200</v>
      </c>
      <c r="AA13" s="66" t="n">
        <f aca="false">SUM(O13:Z13)</f>
        <v>2570400</v>
      </c>
      <c r="AB13" s="67" t="n">
        <f aca="false">Expenses!AB12</f>
        <v>238140</v>
      </c>
      <c r="AC13" s="67" t="n">
        <f aca="false">Expenses!AC12</f>
        <v>238140</v>
      </c>
      <c r="AD13" s="67" t="n">
        <f aca="false">Expenses!AD12</f>
        <v>238140</v>
      </c>
      <c r="AE13" s="67" t="n">
        <f aca="false">Expenses!AE12</f>
        <v>238140</v>
      </c>
      <c r="AF13" s="67" t="n">
        <f aca="false">Expenses!AF12</f>
        <v>238140</v>
      </c>
      <c r="AG13" s="67" t="n">
        <f aca="false">Expenses!AG12</f>
        <v>238140</v>
      </c>
      <c r="AH13" s="67" t="n">
        <f aca="false">Expenses!AH12</f>
        <v>238140</v>
      </c>
      <c r="AI13" s="67" t="n">
        <f aca="false">Expenses!AI12</f>
        <v>238140</v>
      </c>
      <c r="AJ13" s="67" t="n">
        <f aca="false">Expenses!AJ12</f>
        <v>238140</v>
      </c>
      <c r="AK13" s="67" t="n">
        <f aca="false">Expenses!AK12</f>
        <v>238140</v>
      </c>
      <c r="AL13" s="67" t="n">
        <f aca="false">Expenses!AL12</f>
        <v>238140</v>
      </c>
      <c r="AM13" s="67" t="n">
        <f aca="false">Expenses!AM12</f>
        <v>238140</v>
      </c>
      <c r="AN13" s="66" t="n">
        <f aca="false">SUM(AB13:AM13)</f>
        <v>2857680</v>
      </c>
      <c r="AO13" s="67" t="n">
        <f aca="false">Expenses!AO12</f>
        <v>263938.5</v>
      </c>
      <c r="AP13" s="67" t="n">
        <f aca="false">Expenses!AP12</f>
        <v>263938.5</v>
      </c>
      <c r="AQ13" s="67" t="n">
        <f aca="false">Expenses!AQ12</f>
        <v>263938.5</v>
      </c>
      <c r="AR13" s="67" t="n">
        <f aca="false">Expenses!AR12</f>
        <v>263938.5</v>
      </c>
      <c r="AS13" s="67" t="n">
        <f aca="false">Expenses!AS12</f>
        <v>263938.5</v>
      </c>
      <c r="AT13" s="67" t="n">
        <f aca="false">Expenses!AT12</f>
        <v>263938.5</v>
      </c>
      <c r="AU13" s="67" t="n">
        <f aca="false">Expenses!AU12</f>
        <v>263938.5</v>
      </c>
      <c r="AV13" s="67" t="n">
        <f aca="false">Expenses!AV12</f>
        <v>263938.5</v>
      </c>
      <c r="AW13" s="67" t="n">
        <f aca="false">Expenses!AW12</f>
        <v>263938.5</v>
      </c>
      <c r="AX13" s="67" t="n">
        <f aca="false">Expenses!AX12</f>
        <v>263938.5</v>
      </c>
      <c r="AY13" s="67" t="n">
        <f aca="false">Expenses!AY12</f>
        <v>263938.5</v>
      </c>
      <c r="AZ13" s="67" t="n">
        <f aca="false">Expenses!AZ12</f>
        <v>263938.5</v>
      </c>
      <c r="BA13" s="66" t="n">
        <f aca="false">SUM(AO13:AZ13)</f>
        <v>3167262</v>
      </c>
      <c r="BB13" s="67" t="n">
        <f aca="false">Expenses!BB12</f>
        <v>291721.5</v>
      </c>
      <c r="BC13" s="67" t="n">
        <f aca="false">Expenses!BC12</f>
        <v>291721.5</v>
      </c>
      <c r="BD13" s="67" t="n">
        <f aca="false">Expenses!BD12</f>
        <v>291721.5</v>
      </c>
      <c r="BE13" s="67" t="n">
        <f aca="false">Expenses!BE12</f>
        <v>291721.5</v>
      </c>
      <c r="BF13" s="67" t="n">
        <f aca="false">Expenses!BF12</f>
        <v>291721.5</v>
      </c>
      <c r="BG13" s="67" t="n">
        <f aca="false">Expenses!BG12</f>
        <v>291721.5</v>
      </c>
      <c r="BH13" s="67" t="n">
        <f aca="false">Expenses!BH12</f>
        <v>291721.5</v>
      </c>
      <c r="BI13" s="67" t="n">
        <f aca="false">Expenses!BI12</f>
        <v>291721.5</v>
      </c>
      <c r="BJ13" s="67" t="n">
        <f aca="false">Expenses!BJ12</f>
        <v>291721.5</v>
      </c>
      <c r="BK13" s="67" t="n">
        <f aca="false">Expenses!BK12</f>
        <v>291721.5</v>
      </c>
      <c r="BL13" s="67" t="n">
        <f aca="false">Expenses!BL12</f>
        <v>291721.5</v>
      </c>
      <c r="BM13" s="67" t="n">
        <f aca="false">Expenses!BM12</f>
        <v>291721.5</v>
      </c>
      <c r="BN13" s="66" t="n">
        <f aca="false">SUM(BB13:BM13)</f>
        <v>3500658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1158000</v>
      </c>
      <c r="C14" s="66" t="n">
        <f aca="false">C5-SUM(C6:C13)</f>
        <v>1158000</v>
      </c>
      <c r="D14" s="66" t="n">
        <f aca="false">D5-SUM(D6:D13)</f>
        <v>1158000</v>
      </c>
      <c r="E14" s="66" t="n">
        <f aca="false">E5-SUM(E6:E13)</f>
        <v>1158000</v>
      </c>
      <c r="F14" s="66" t="n">
        <f aca="false">F5-SUM(F6:F13)</f>
        <v>1158000</v>
      </c>
      <c r="G14" s="66" t="n">
        <f aca="false">G5-SUM(G6:G13)</f>
        <v>1158000</v>
      </c>
      <c r="H14" s="66" t="n">
        <f aca="false">H5-SUM(H6:H13)</f>
        <v>1158000</v>
      </c>
      <c r="I14" s="66" t="n">
        <f aca="false">I5-SUM(I6:I13)</f>
        <v>1158000</v>
      </c>
      <c r="J14" s="66" t="n">
        <f aca="false">J5-SUM(J6:J13)</f>
        <v>1158000</v>
      </c>
      <c r="K14" s="66" t="n">
        <f aca="false">K5-SUM(K6:K13)</f>
        <v>1158000</v>
      </c>
      <c r="L14" s="66" t="n">
        <f aca="false">L5-SUM(L6:L13)</f>
        <v>1158000</v>
      </c>
      <c r="M14" s="66" t="n">
        <f aca="false">M5-SUM(M6:M13)</f>
        <v>1158000</v>
      </c>
      <c r="N14" s="66" t="n">
        <f aca="false">SUM(B14:M14)</f>
        <v>13896000</v>
      </c>
      <c r="O14" s="66" t="n">
        <f aca="false">O5-SUM(O6:O13)</f>
        <v>1314700</v>
      </c>
      <c r="P14" s="66" t="n">
        <f aca="false">P5-SUM(P6:P13)</f>
        <v>1314700</v>
      </c>
      <c r="Q14" s="66" t="n">
        <f aca="false">Q5-SUM(Q6:Q13)</f>
        <v>1314700</v>
      </c>
      <c r="R14" s="66" t="n">
        <f aca="false">R5-SUM(R6:R13)</f>
        <v>1314700</v>
      </c>
      <c r="S14" s="66" t="n">
        <f aca="false">S5-SUM(S6:S13)</f>
        <v>1314700</v>
      </c>
      <c r="T14" s="66" t="n">
        <f aca="false">T5-SUM(T6:T13)</f>
        <v>1314700</v>
      </c>
      <c r="U14" s="66" t="n">
        <f aca="false">U5-SUM(U6:U13)</f>
        <v>1314700</v>
      </c>
      <c r="V14" s="66" t="n">
        <f aca="false">V5-SUM(V6:V13)</f>
        <v>1314700</v>
      </c>
      <c r="W14" s="66" t="n">
        <f aca="false">W5-SUM(W6:W13)</f>
        <v>1314700</v>
      </c>
      <c r="X14" s="66" t="n">
        <f aca="false">X5-SUM(X6:X13)</f>
        <v>1314700</v>
      </c>
      <c r="Y14" s="66" t="n">
        <f aca="false">Y5-SUM(Y6:Y13)</f>
        <v>1314700</v>
      </c>
      <c r="Z14" s="66" t="n">
        <f aca="false">Z5-SUM(Z6:Z13)</f>
        <v>1314700</v>
      </c>
      <c r="AA14" s="66" t="n">
        <f aca="false">SUM(O14:Z14)</f>
        <v>15776400</v>
      </c>
      <c r="AB14" s="66" t="n">
        <f aca="false">AB5-SUM(AB6:AB13)</f>
        <v>1483029</v>
      </c>
      <c r="AC14" s="66" t="n">
        <f aca="false">AC5-SUM(AC6:AC13)</f>
        <v>1483029</v>
      </c>
      <c r="AD14" s="66" t="n">
        <f aca="false">AD5-SUM(AD6:AD13)</f>
        <v>1483029</v>
      </c>
      <c r="AE14" s="66" t="n">
        <f aca="false">AE5-SUM(AE6:AE13)</f>
        <v>1483029</v>
      </c>
      <c r="AF14" s="66" t="n">
        <f aca="false">AF5-SUM(AF6:AF13)</f>
        <v>1483029</v>
      </c>
      <c r="AG14" s="66" t="n">
        <f aca="false">AG5-SUM(AG6:AG13)</f>
        <v>1483029</v>
      </c>
      <c r="AH14" s="66" t="n">
        <f aca="false">AH5-SUM(AH6:AH13)</f>
        <v>1483029</v>
      </c>
      <c r="AI14" s="66" t="n">
        <f aca="false">AI5-SUM(AI6:AI13)</f>
        <v>1483029</v>
      </c>
      <c r="AJ14" s="66" t="n">
        <f aca="false">AJ5-SUM(AJ6:AJ13)</f>
        <v>1483029</v>
      </c>
      <c r="AK14" s="66" t="n">
        <f aca="false">AK5-SUM(AK6:AK13)</f>
        <v>1483029</v>
      </c>
      <c r="AL14" s="66" t="n">
        <f aca="false">AL5-SUM(AL6:AL13)</f>
        <v>1483029</v>
      </c>
      <c r="AM14" s="66" t="n">
        <f aca="false">AM5-SUM(AM6:AM13)</f>
        <v>1483029</v>
      </c>
      <c r="AN14" s="66" t="n">
        <f aca="false">SUM(AB14:AM14)</f>
        <v>17796348</v>
      </c>
      <c r="AO14" s="66" t="n">
        <f aca="false">AO5-SUM(AO6:AO13)</f>
        <v>1663671.71</v>
      </c>
      <c r="AP14" s="66" t="n">
        <f aca="false">AP5-SUM(AP6:AP13)</f>
        <v>1663671.71</v>
      </c>
      <c r="AQ14" s="66" t="n">
        <f aca="false">AQ5-SUM(AQ6:AQ13)</f>
        <v>1663671.71</v>
      </c>
      <c r="AR14" s="66" t="n">
        <f aca="false">AR5-SUM(AR6:AR13)</f>
        <v>1663671.71</v>
      </c>
      <c r="AS14" s="66" t="n">
        <f aca="false">AS5-SUM(AS6:AS13)</f>
        <v>1663671.71</v>
      </c>
      <c r="AT14" s="66" t="n">
        <f aca="false">AT5-SUM(AT6:AT13)</f>
        <v>1663671.71</v>
      </c>
      <c r="AU14" s="66" t="n">
        <f aca="false">AU5-SUM(AU6:AU13)</f>
        <v>1663671.71</v>
      </c>
      <c r="AV14" s="66" t="n">
        <f aca="false">AV5-SUM(AV6:AV13)</f>
        <v>1663671.71</v>
      </c>
      <c r="AW14" s="66" t="n">
        <f aca="false">AW5-SUM(AW6:AW13)</f>
        <v>1663671.71</v>
      </c>
      <c r="AX14" s="66" t="n">
        <f aca="false">AX5-SUM(AX6:AX13)</f>
        <v>1663671.71</v>
      </c>
      <c r="AY14" s="66" t="n">
        <f aca="false">AY5-SUM(AY6:AY13)</f>
        <v>1663671.71</v>
      </c>
      <c r="AZ14" s="66" t="n">
        <f aca="false">AZ5-SUM(AZ6:AZ13)</f>
        <v>1663671.71</v>
      </c>
      <c r="BA14" s="66" t="n">
        <f aca="false">SUM(AO14:AZ14)</f>
        <v>19964060.52</v>
      </c>
      <c r="BB14" s="66" t="n">
        <f aca="false">BB5-SUM(BB6:BB13)</f>
        <v>1857346.2113</v>
      </c>
      <c r="BC14" s="66" t="n">
        <f aca="false">BC5-SUM(BC6:BC13)</f>
        <v>1857346.2113</v>
      </c>
      <c r="BD14" s="66" t="n">
        <f aca="false">BD5-SUM(BD6:BD13)</f>
        <v>1857346.2113</v>
      </c>
      <c r="BE14" s="66" t="n">
        <f aca="false">BE5-SUM(BE6:BE13)</f>
        <v>1857346.2113</v>
      </c>
      <c r="BF14" s="66" t="n">
        <f aca="false">BF5-SUM(BF6:BF13)</f>
        <v>1857346.2113</v>
      </c>
      <c r="BG14" s="66" t="n">
        <f aca="false">BG5-SUM(BG6:BG13)</f>
        <v>1857346.2113</v>
      </c>
      <c r="BH14" s="66" t="n">
        <f aca="false">BH5-SUM(BH6:BH13)</f>
        <v>1857346.2113</v>
      </c>
      <c r="BI14" s="66" t="n">
        <f aca="false">BI5-SUM(BI6:BI13)</f>
        <v>1857346.2113</v>
      </c>
      <c r="BJ14" s="66" t="n">
        <f aca="false">BJ5-SUM(BJ6:BJ13)</f>
        <v>1857346.2113</v>
      </c>
      <c r="BK14" s="66" t="n">
        <f aca="false">BK5-SUM(BK6:BK13)</f>
        <v>1857346.2113</v>
      </c>
      <c r="BL14" s="66" t="n">
        <f aca="false">BL5-SUM(BL6:BL13)</f>
        <v>1857346.2113</v>
      </c>
      <c r="BM14" s="66" t="n">
        <f aca="false">BM5-SUM(BM6:BM13)</f>
        <v>1857346.2113</v>
      </c>
      <c r="BN14" s="66" t="n">
        <f aca="false">SUM(BB14:BM14)</f>
        <v>22288154.5356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7916.66666666667</v>
      </c>
      <c r="C15" s="67" t="n">
        <f aca="false">Expenses!C13</f>
        <v>7916.66666666667</v>
      </c>
      <c r="D15" s="67" t="n">
        <f aca="false">Expenses!D13</f>
        <v>7916.66666666667</v>
      </c>
      <c r="E15" s="67" t="n">
        <f aca="false">Expenses!E13</f>
        <v>7916.66666666667</v>
      </c>
      <c r="F15" s="67" t="n">
        <f aca="false">Expenses!F13</f>
        <v>7916.66666666667</v>
      </c>
      <c r="G15" s="67" t="n">
        <f aca="false">Expenses!G13</f>
        <v>7916.66666666667</v>
      </c>
      <c r="H15" s="67" t="n">
        <f aca="false">Expenses!H13</f>
        <v>7916.66666666667</v>
      </c>
      <c r="I15" s="67" t="n">
        <f aca="false">Expenses!I13</f>
        <v>7916.66666666667</v>
      </c>
      <c r="J15" s="67" t="n">
        <f aca="false">Expenses!J13</f>
        <v>7916.66666666667</v>
      </c>
      <c r="K15" s="67" t="n">
        <f aca="false">Expenses!K13</f>
        <v>7916.66666666667</v>
      </c>
      <c r="L15" s="67" t="n">
        <f aca="false">Expenses!L13</f>
        <v>7916.66666666667</v>
      </c>
      <c r="M15" s="67" t="n">
        <f aca="false">Expenses!M13</f>
        <v>7916.66666666667</v>
      </c>
      <c r="N15" s="66" t="n">
        <f aca="false">SUM(B15:M15)</f>
        <v>95000</v>
      </c>
      <c r="O15" s="67" t="n">
        <f aca="false">Expenses!O13</f>
        <v>7916.66666666667</v>
      </c>
      <c r="P15" s="67" t="n">
        <f aca="false">Expenses!P13</f>
        <v>7916.66666666667</v>
      </c>
      <c r="Q15" s="67" t="n">
        <f aca="false">Expenses!Q13</f>
        <v>7916.66666666667</v>
      </c>
      <c r="R15" s="67" t="n">
        <f aca="false">Expenses!R13</f>
        <v>7916.66666666667</v>
      </c>
      <c r="S15" s="67" t="n">
        <f aca="false">Expenses!S13</f>
        <v>7916.66666666667</v>
      </c>
      <c r="T15" s="67" t="n">
        <f aca="false">Expenses!T13</f>
        <v>7916.66666666667</v>
      </c>
      <c r="U15" s="67" t="n">
        <f aca="false">Expenses!U13</f>
        <v>7916.66666666667</v>
      </c>
      <c r="V15" s="67" t="n">
        <f aca="false">Expenses!V13</f>
        <v>7916.66666666667</v>
      </c>
      <c r="W15" s="67" t="n">
        <f aca="false">Expenses!W13</f>
        <v>7916.66666666667</v>
      </c>
      <c r="X15" s="67" t="n">
        <f aca="false">Expenses!X13</f>
        <v>7916.66666666667</v>
      </c>
      <c r="Y15" s="67" t="n">
        <f aca="false">Expenses!Y13</f>
        <v>7916.66666666667</v>
      </c>
      <c r="Z15" s="67" t="n">
        <f aca="false">Expenses!Z13</f>
        <v>7916.66666666667</v>
      </c>
      <c r="AA15" s="66" t="n">
        <f aca="false">SUM(O15:Z15)</f>
        <v>95000</v>
      </c>
      <c r="AB15" s="67" t="n">
        <f aca="false">Expenses!AB13</f>
        <v>7916.66666666667</v>
      </c>
      <c r="AC15" s="67" t="n">
        <f aca="false">Expenses!AC13</f>
        <v>7916.66666666667</v>
      </c>
      <c r="AD15" s="67" t="n">
        <f aca="false">Expenses!AD13</f>
        <v>7916.66666666667</v>
      </c>
      <c r="AE15" s="67" t="n">
        <f aca="false">Expenses!AE13</f>
        <v>7916.66666666667</v>
      </c>
      <c r="AF15" s="67" t="n">
        <f aca="false">Expenses!AF13</f>
        <v>7916.66666666667</v>
      </c>
      <c r="AG15" s="67" t="n">
        <f aca="false">Expenses!AG13</f>
        <v>7916.66666666667</v>
      </c>
      <c r="AH15" s="67" t="n">
        <f aca="false">Expenses!AH13</f>
        <v>7916.66666666667</v>
      </c>
      <c r="AI15" s="67" t="n">
        <f aca="false">Expenses!AI13</f>
        <v>7916.66666666667</v>
      </c>
      <c r="AJ15" s="67" t="n">
        <f aca="false">Expenses!AJ13</f>
        <v>7916.66666666667</v>
      </c>
      <c r="AK15" s="67" t="n">
        <f aca="false">Expenses!AK13</f>
        <v>7916.66666666667</v>
      </c>
      <c r="AL15" s="67" t="n">
        <f aca="false">Expenses!AL13</f>
        <v>7916.66666666667</v>
      </c>
      <c r="AM15" s="67" t="n">
        <f aca="false">Expenses!AM13</f>
        <v>7916.66666666667</v>
      </c>
      <c r="AN15" s="66" t="n">
        <f aca="false">SUM(AB15:AM15)</f>
        <v>95000</v>
      </c>
      <c r="AO15" s="67" t="n">
        <f aca="false">Expenses!AO13</f>
        <v>7916.66666666667</v>
      </c>
      <c r="AP15" s="67" t="n">
        <f aca="false">Expenses!AP13</f>
        <v>7916.66666666667</v>
      </c>
      <c r="AQ15" s="67" t="n">
        <f aca="false">Expenses!AQ13</f>
        <v>7916.66666666667</v>
      </c>
      <c r="AR15" s="67" t="n">
        <f aca="false">Expenses!AR13</f>
        <v>7916.66666666667</v>
      </c>
      <c r="AS15" s="67" t="n">
        <f aca="false">Expenses!AS13</f>
        <v>7916.66666666667</v>
      </c>
      <c r="AT15" s="67" t="n">
        <f aca="false">Expenses!AT13</f>
        <v>7916.66666666667</v>
      </c>
      <c r="AU15" s="67" t="n">
        <f aca="false">Expenses!AU13</f>
        <v>7916.66666666667</v>
      </c>
      <c r="AV15" s="67" t="n">
        <f aca="false">Expenses!AV13</f>
        <v>7916.66666666667</v>
      </c>
      <c r="AW15" s="67" t="n">
        <f aca="false">Expenses!AW13</f>
        <v>7916.66666666667</v>
      </c>
      <c r="AX15" s="67" t="n">
        <f aca="false">Expenses!AX13</f>
        <v>7916.66666666667</v>
      </c>
      <c r="AY15" s="67" t="n">
        <f aca="false">Expenses!AY13</f>
        <v>7916.66666666667</v>
      </c>
      <c r="AZ15" s="67" t="n">
        <f aca="false">Expenses!AZ13</f>
        <v>7916.66666666667</v>
      </c>
      <c r="BA15" s="66" t="n">
        <f aca="false">SUM(AO15:AZ15)</f>
        <v>95000</v>
      </c>
      <c r="BB15" s="67" t="n">
        <f aca="false">Expenses!BB13</f>
        <v>7916.66666666667</v>
      </c>
      <c r="BC15" s="67" t="n">
        <f aca="false">Expenses!BC13</f>
        <v>7916.66666666667</v>
      </c>
      <c r="BD15" s="67" t="n">
        <f aca="false">Expenses!BD13</f>
        <v>7916.66666666667</v>
      </c>
      <c r="BE15" s="67" t="n">
        <f aca="false">Expenses!BE13</f>
        <v>7916.66666666667</v>
      </c>
      <c r="BF15" s="67" t="n">
        <f aca="false">Expenses!BF13</f>
        <v>7916.66666666667</v>
      </c>
      <c r="BG15" s="67" t="n">
        <f aca="false">Expenses!BG13</f>
        <v>7916.66666666667</v>
      </c>
      <c r="BH15" s="67" t="n">
        <f aca="false">Expenses!BH13</f>
        <v>7916.66666666667</v>
      </c>
      <c r="BI15" s="67" t="n">
        <f aca="false">Expenses!BI13</f>
        <v>7916.66666666667</v>
      </c>
      <c r="BJ15" s="67" t="n">
        <f aca="false">Expenses!BJ13</f>
        <v>7916.66666666667</v>
      </c>
      <c r="BK15" s="67" t="n">
        <f aca="false">Expenses!BK13</f>
        <v>7916.66666666667</v>
      </c>
      <c r="BL15" s="67" t="n">
        <f aca="false">Expenses!BL13</f>
        <v>7916.66666666667</v>
      </c>
      <c r="BM15" s="67" t="n">
        <f aca="false">Expenses!BM13</f>
        <v>7916.66666666667</v>
      </c>
      <c r="BN15" s="66" t="n">
        <f aca="false">SUM(BB15:BM15)</f>
        <v>95000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1150083.33333333</v>
      </c>
      <c r="C16" s="65" t="n">
        <f aca="false">C14-C15</f>
        <v>1150083.33333333</v>
      </c>
      <c r="D16" s="65" t="n">
        <f aca="false">D14-D15</f>
        <v>1150083.33333333</v>
      </c>
      <c r="E16" s="65" t="n">
        <f aca="false">E14-E15</f>
        <v>1150083.33333333</v>
      </c>
      <c r="F16" s="65" t="n">
        <f aca="false">F14-F15</f>
        <v>1150083.33333333</v>
      </c>
      <c r="G16" s="65" t="n">
        <f aca="false">G14-G15</f>
        <v>1150083.33333333</v>
      </c>
      <c r="H16" s="65" t="n">
        <f aca="false">H14-H15</f>
        <v>1150083.33333333</v>
      </c>
      <c r="I16" s="65" t="n">
        <f aca="false">I14-I15</f>
        <v>1150083.33333333</v>
      </c>
      <c r="J16" s="65" t="n">
        <f aca="false">J14-J15</f>
        <v>1150083.33333333</v>
      </c>
      <c r="K16" s="65" t="n">
        <f aca="false">K14-K15</f>
        <v>1150083.33333333</v>
      </c>
      <c r="L16" s="65" t="n">
        <f aca="false">L14-L15</f>
        <v>1150083.33333333</v>
      </c>
      <c r="M16" s="65" t="n">
        <f aca="false">M14-M15</f>
        <v>1150083.33333333</v>
      </c>
      <c r="N16" s="66" t="n">
        <f aca="false">SUM(B16:M16)</f>
        <v>13801000</v>
      </c>
      <c r="O16" s="65" t="n">
        <f aca="false">O14-O15</f>
        <v>1306783.33333333</v>
      </c>
      <c r="P16" s="65" t="n">
        <f aca="false">P14-P15</f>
        <v>1306783.33333333</v>
      </c>
      <c r="Q16" s="65" t="n">
        <f aca="false">Q14-Q15</f>
        <v>1306783.33333333</v>
      </c>
      <c r="R16" s="65" t="n">
        <f aca="false">R14-R15</f>
        <v>1306783.33333333</v>
      </c>
      <c r="S16" s="65" t="n">
        <f aca="false">S14-S15</f>
        <v>1306783.33333333</v>
      </c>
      <c r="T16" s="65" t="n">
        <f aca="false">T14-T15</f>
        <v>1306783.33333333</v>
      </c>
      <c r="U16" s="65" t="n">
        <f aca="false">U14-U15</f>
        <v>1306783.33333333</v>
      </c>
      <c r="V16" s="65" t="n">
        <f aca="false">V14-V15</f>
        <v>1306783.33333333</v>
      </c>
      <c r="W16" s="65" t="n">
        <f aca="false">W14-W15</f>
        <v>1306783.33333333</v>
      </c>
      <c r="X16" s="65" t="n">
        <f aca="false">X14-X15</f>
        <v>1306783.33333333</v>
      </c>
      <c r="Y16" s="65" t="n">
        <f aca="false">Y14-Y15</f>
        <v>1306783.33333333</v>
      </c>
      <c r="Z16" s="65" t="n">
        <f aca="false">Z14-Z15</f>
        <v>1306783.33333333</v>
      </c>
      <c r="AA16" s="66" t="n">
        <f aca="false">SUM(O16:Z16)</f>
        <v>15681400</v>
      </c>
      <c r="AB16" s="65" t="n">
        <f aca="false">AB14-AB15</f>
        <v>1475112.33333333</v>
      </c>
      <c r="AC16" s="65" t="n">
        <f aca="false">AC14-AC15</f>
        <v>1475112.33333333</v>
      </c>
      <c r="AD16" s="65" t="n">
        <f aca="false">AD14-AD15</f>
        <v>1475112.33333333</v>
      </c>
      <c r="AE16" s="65" t="n">
        <f aca="false">AE14-AE15</f>
        <v>1475112.33333333</v>
      </c>
      <c r="AF16" s="65" t="n">
        <f aca="false">AF14-AF15</f>
        <v>1475112.33333333</v>
      </c>
      <c r="AG16" s="65" t="n">
        <f aca="false">AG14-AG15</f>
        <v>1475112.33333333</v>
      </c>
      <c r="AH16" s="65" t="n">
        <f aca="false">AH14-AH15</f>
        <v>1475112.33333333</v>
      </c>
      <c r="AI16" s="65" t="n">
        <f aca="false">AI14-AI15</f>
        <v>1475112.33333333</v>
      </c>
      <c r="AJ16" s="65" t="n">
        <f aca="false">AJ14-AJ15</f>
        <v>1475112.33333333</v>
      </c>
      <c r="AK16" s="65" t="n">
        <f aca="false">AK14-AK15</f>
        <v>1475112.33333333</v>
      </c>
      <c r="AL16" s="65" t="n">
        <f aca="false">AL14-AL15</f>
        <v>1475112.33333333</v>
      </c>
      <c r="AM16" s="65" t="n">
        <f aca="false">AM14-AM15</f>
        <v>1475112.33333333</v>
      </c>
      <c r="AN16" s="66" t="n">
        <f aca="false">SUM(AB16:AM16)</f>
        <v>17701348</v>
      </c>
      <c r="AO16" s="65" t="n">
        <f aca="false">AO14-AO15</f>
        <v>1655755.04333333</v>
      </c>
      <c r="AP16" s="65" t="n">
        <f aca="false">AP14-AP15</f>
        <v>1655755.04333333</v>
      </c>
      <c r="AQ16" s="65" t="n">
        <f aca="false">AQ14-AQ15</f>
        <v>1655755.04333333</v>
      </c>
      <c r="AR16" s="65" t="n">
        <f aca="false">AR14-AR15</f>
        <v>1655755.04333333</v>
      </c>
      <c r="AS16" s="65" t="n">
        <f aca="false">AS14-AS15</f>
        <v>1655755.04333333</v>
      </c>
      <c r="AT16" s="65" t="n">
        <f aca="false">AT14-AT15</f>
        <v>1655755.04333333</v>
      </c>
      <c r="AU16" s="65" t="n">
        <f aca="false">AU14-AU15</f>
        <v>1655755.04333333</v>
      </c>
      <c r="AV16" s="65" t="n">
        <f aca="false">AV14-AV15</f>
        <v>1655755.04333333</v>
      </c>
      <c r="AW16" s="65" t="n">
        <f aca="false">AW14-AW15</f>
        <v>1655755.04333333</v>
      </c>
      <c r="AX16" s="65" t="n">
        <f aca="false">AX14-AX15</f>
        <v>1655755.04333333</v>
      </c>
      <c r="AY16" s="65" t="n">
        <f aca="false">AY14-AY15</f>
        <v>1655755.04333333</v>
      </c>
      <c r="AZ16" s="65" t="n">
        <f aca="false">AZ14-AZ15</f>
        <v>1655755.04333333</v>
      </c>
      <c r="BA16" s="66" t="n">
        <f aca="false">SUM(AO16:AZ16)</f>
        <v>19869060.52</v>
      </c>
      <c r="BB16" s="65" t="n">
        <f aca="false">BB14-BB15</f>
        <v>1849429.54463333</v>
      </c>
      <c r="BC16" s="65" t="n">
        <f aca="false">BC14-BC15</f>
        <v>1849429.54463333</v>
      </c>
      <c r="BD16" s="65" t="n">
        <f aca="false">BD14-BD15</f>
        <v>1849429.54463333</v>
      </c>
      <c r="BE16" s="65" t="n">
        <f aca="false">BE14-BE15</f>
        <v>1849429.54463333</v>
      </c>
      <c r="BF16" s="65" t="n">
        <f aca="false">BF14-BF15</f>
        <v>1849429.54463333</v>
      </c>
      <c r="BG16" s="65" t="n">
        <f aca="false">BG14-BG15</f>
        <v>1849429.54463333</v>
      </c>
      <c r="BH16" s="65" t="n">
        <f aca="false">BH14-BH15</f>
        <v>1849429.54463333</v>
      </c>
      <c r="BI16" s="65" t="n">
        <f aca="false">BI14-BI15</f>
        <v>1849429.54463333</v>
      </c>
      <c r="BJ16" s="65" t="n">
        <f aca="false">BJ14-BJ15</f>
        <v>1849429.54463333</v>
      </c>
      <c r="BK16" s="65" t="n">
        <f aca="false">BK14-BK15</f>
        <v>1849429.54463333</v>
      </c>
      <c r="BL16" s="65" t="n">
        <f aca="false">BL14-BL15</f>
        <v>1849429.54463333</v>
      </c>
      <c r="BM16" s="65" t="n">
        <f aca="false">BM14-BM15</f>
        <v>1849429.54463333</v>
      </c>
      <c r="BN16" s="66" t="n">
        <f aca="false">SUM(BB16:BM16)</f>
        <v>22193154.5356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35000</v>
      </c>
      <c r="C17" s="67" t="n">
        <f aca="false">Expenses!C14</f>
        <v>35000</v>
      </c>
      <c r="D17" s="67" t="n">
        <f aca="false">Expenses!D14</f>
        <v>35000</v>
      </c>
      <c r="E17" s="67" t="n">
        <f aca="false">Expenses!E14</f>
        <v>35000</v>
      </c>
      <c r="F17" s="67" t="n">
        <f aca="false">Expenses!F14</f>
        <v>35000</v>
      </c>
      <c r="G17" s="67" t="n">
        <f aca="false">Expenses!G14</f>
        <v>35000</v>
      </c>
      <c r="H17" s="67" t="n">
        <f aca="false">Expenses!H14</f>
        <v>35000</v>
      </c>
      <c r="I17" s="67" t="n">
        <f aca="false">Expenses!I14</f>
        <v>35000</v>
      </c>
      <c r="J17" s="67" t="n">
        <f aca="false">Expenses!J14</f>
        <v>35000</v>
      </c>
      <c r="K17" s="67" t="n">
        <f aca="false">Expenses!K14</f>
        <v>35000</v>
      </c>
      <c r="L17" s="67" t="n">
        <f aca="false">Expenses!L14</f>
        <v>35000</v>
      </c>
      <c r="M17" s="67" t="n">
        <f aca="false">Expenses!M14</f>
        <v>35000</v>
      </c>
      <c r="N17" s="66" t="n">
        <f aca="false">SUM(B17:M17)</f>
        <v>420000</v>
      </c>
      <c r="O17" s="67" t="n">
        <f aca="false">Expenses!O14</f>
        <v>27222.2222222222</v>
      </c>
      <c r="P17" s="67" t="n">
        <f aca="false">Expenses!P14</f>
        <v>27222.2222222222</v>
      </c>
      <c r="Q17" s="67" t="n">
        <f aca="false">Expenses!Q14</f>
        <v>27222.2222222222</v>
      </c>
      <c r="R17" s="67" t="n">
        <f aca="false">Expenses!R14</f>
        <v>27222.2222222222</v>
      </c>
      <c r="S17" s="67" t="n">
        <f aca="false">Expenses!S14</f>
        <v>27222.2222222222</v>
      </c>
      <c r="T17" s="67" t="n">
        <f aca="false">Expenses!T14</f>
        <v>27222.2222222222</v>
      </c>
      <c r="U17" s="67" t="n">
        <f aca="false">Expenses!U14</f>
        <v>27222.2222222222</v>
      </c>
      <c r="V17" s="67" t="n">
        <f aca="false">Expenses!V14</f>
        <v>27222.2222222222</v>
      </c>
      <c r="W17" s="67" t="n">
        <f aca="false">Expenses!W14</f>
        <v>27222.2222222222</v>
      </c>
      <c r="X17" s="67" t="n">
        <f aca="false">Expenses!X14</f>
        <v>27222.2222222222</v>
      </c>
      <c r="Y17" s="67" t="n">
        <f aca="false">Expenses!Y14</f>
        <v>27222.2222222222</v>
      </c>
      <c r="Z17" s="67" t="n">
        <f aca="false">Expenses!Z14</f>
        <v>27222.2222222222</v>
      </c>
      <c r="AA17" s="66" t="n">
        <f aca="false">SUM(O17:Z17)</f>
        <v>326666.666666667</v>
      </c>
      <c r="AB17" s="67" t="n">
        <f aca="false">Expenses!AB14</f>
        <v>19444.4444444444</v>
      </c>
      <c r="AC17" s="67" t="n">
        <f aca="false">Expenses!AC14</f>
        <v>19444.4444444444</v>
      </c>
      <c r="AD17" s="67" t="n">
        <f aca="false">Expenses!AD14</f>
        <v>19444.4444444444</v>
      </c>
      <c r="AE17" s="67" t="n">
        <f aca="false">Expenses!AE14</f>
        <v>19444.4444444444</v>
      </c>
      <c r="AF17" s="67" t="n">
        <f aca="false">Expenses!AF14</f>
        <v>19444.4444444444</v>
      </c>
      <c r="AG17" s="67" t="n">
        <f aca="false">Expenses!AG14</f>
        <v>19444.4444444444</v>
      </c>
      <c r="AH17" s="67" t="n">
        <f aca="false">Expenses!AH14</f>
        <v>19444.4444444444</v>
      </c>
      <c r="AI17" s="67" t="n">
        <f aca="false">Expenses!AI14</f>
        <v>19444.4444444444</v>
      </c>
      <c r="AJ17" s="67" t="n">
        <f aca="false">Expenses!AJ14</f>
        <v>19444.4444444444</v>
      </c>
      <c r="AK17" s="67" t="n">
        <f aca="false">Expenses!AK14</f>
        <v>19444.4444444444</v>
      </c>
      <c r="AL17" s="67" t="n">
        <f aca="false">Expenses!AL14</f>
        <v>19444.4444444444</v>
      </c>
      <c r="AM17" s="67" t="n">
        <f aca="false">Expenses!AM14</f>
        <v>19444.4444444444</v>
      </c>
      <c r="AN17" s="66" t="n">
        <f aca="false">SUM(AB17:AM17)</f>
        <v>233333.333333333</v>
      </c>
      <c r="AO17" s="67" t="n">
        <f aca="false">Expenses!AO14</f>
        <v>11666.6666666667</v>
      </c>
      <c r="AP17" s="67" t="n">
        <f aca="false">Expenses!AP14</f>
        <v>11666.6666666667</v>
      </c>
      <c r="AQ17" s="67" t="n">
        <f aca="false">Expenses!AQ14</f>
        <v>11666.6666666667</v>
      </c>
      <c r="AR17" s="67" t="n">
        <f aca="false">Expenses!AR14</f>
        <v>11666.6666666667</v>
      </c>
      <c r="AS17" s="67" t="n">
        <f aca="false">Expenses!AS14</f>
        <v>11666.6666666667</v>
      </c>
      <c r="AT17" s="67" t="n">
        <f aca="false">Expenses!AT14</f>
        <v>11666.6666666667</v>
      </c>
      <c r="AU17" s="67" t="n">
        <f aca="false">Expenses!AU14</f>
        <v>11666.6666666667</v>
      </c>
      <c r="AV17" s="67" t="n">
        <f aca="false">Expenses!AV14</f>
        <v>11666.6666666667</v>
      </c>
      <c r="AW17" s="67" t="n">
        <f aca="false">Expenses!AW14</f>
        <v>11666.6666666667</v>
      </c>
      <c r="AX17" s="67" t="n">
        <f aca="false">Expenses!AX14</f>
        <v>11666.6666666667</v>
      </c>
      <c r="AY17" s="67" t="n">
        <f aca="false">Expenses!AY14</f>
        <v>11666.6666666667</v>
      </c>
      <c r="AZ17" s="67" t="n">
        <f aca="false">Expenses!AZ14</f>
        <v>11666.6666666667</v>
      </c>
      <c r="BA17" s="66" t="n">
        <f aca="false">SUM(AO17:AZ17)</f>
        <v>140000</v>
      </c>
      <c r="BB17" s="67" t="n">
        <f aca="false">Expenses!BB14</f>
        <v>3888.88888888889</v>
      </c>
      <c r="BC17" s="67" t="n">
        <f aca="false">Expenses!BC14</f>
        <v>3888.88888888889</v>
      </c>
      <c r="BD17" s="67" t="n">
        <f aca="false">Expenses!BD14</f>
        <v>3888.88888888889</v>
      </c>
      <c r="BE17" s="67" t="n">
        <f aca="false">Expenses!BE14</f>
        <v>3888.88888888889</v>
      </c>
      <c r="BF17" s="67" t="n">
        <f aca="false">Expenses!BF14</f>
        <v>3888.88888888889</v>
      </c>
      <c r="BG17" s="67" t="n">
        <f aca="false">Expenses!BG14</f>
        <v>3888.88888888889</v>
      </c>
      <c r="BH17" s="67" t="n">
        <f aca="false">Expenses!BH14</f>
        <v>3888.88888888889</v>
      </c>
      <c r="BI17" s="67" t="n">
        <f aca="false">Expenses!BI14</f>
        <v>3888.88888888889</v>
      </c>
      <c r="BJ17" s="67" t="n">
        <f aca="false">Expenses!BJ14</f>
        <v>3888.88888888889</v>
      </c>
      <c r="BK17" s="67" t="n">
        <f aca="false">Expenses!BK14</f>
        <v>3888.88888888889</v>
      </c>
      <c r="BL17" s="67" t="n">
        <f aca="false">Expenses!BL14</f>
        <v>3888.88888888889</v>
      </c>
      <c r="BM17" s="67" t="n">
        <f aca="false">Expenses!BM14</f>
        <v>3888.88888888889</v>
      </c>
      <c r="BN17" s="66" t="n">
        <f aca="false">SUM(BB17:BM17)</f>
        <v>46666.6666666666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22686.9863013699</v>
      </c>
      <c r="C18" s="67" t="n">
        <f aca="false">Expenses!C15</f>
        <v>22686.9863013699</v>
      </c>
      <c r="D18" s="67" t="n">
        <f aca="false">Expenses!D15</f>
        <v>22686.9863013699</v>
      </c>
      <c r="E18" s="67" t="n">
        <f aca="false">Expenses!E15</f>
        <v>22686.9863013699</v>
      </c>
      <c r="F18" s="67" t="n">
        <f aca="false">Expenses!F15</f>
        <v>22686.9863013699</v>
      </c>
      <c r="G18" s="67" t="n">
        <f aca="false">Expenses!G15</f>
        <v>22686.9863013699</v>
      </c>
      <c r="H18" s="67" t="n">
        <f aca="false">Expenses!H15</f>
        <v>22686.9863013699</v>
      </c>
      <c r="I18" s="67" t="n">
        <f aca="false">Expenses!I15</f>
        <v>22686.9863013699</v>
      </c>
      <c r="J18" s="67" t="n">
        <f aca="false">Expenses!J15</f>
        <v>22686.9863013699</v>
      </c>
      <c r="K18" s="67" t="n">
        <f aca="false">Expenses!K15</f>
        <v>22686.9863013699</v>
      </c>
      <c r="L18" s="67" t="n">
        <f aca="false">Expenses!L15</f>
        <v>22686.9863013699</v>
      </c>
      <c r="M18" s="67" t="n">
        <f aca="false">Expenses!M15</f>
        <v>22686.9863013699</v>
      </c>
      <c r="N18" s="66" t="n">
        <f aca="false">SUM(B18:M18)</f>
        <v>272243.835616438</v>
      </c>
      <c r="O18" s="67" t="n">
        <f aca="false">Expenses!O15</f>
        <v>24775.9726027397</v>
      </c>
      <c r="P18" s="67" t="n">
        <f aca="false">Expenses!P15</f>
        <v>24775.9726027397</v>
      </c>
      <c r="Q18" s="67" t="n">
        <f aca="false">Expenses!Q15</f>
        <v>24775.9726027397</v>
      </c>
      <c r="R18" s="67" t="n">
        <f aca="false">Expenses!R15</f>
        <v>24775.9726027397</v>
      </c>
      <c r="S18" s="67" t="n">
        <f aca="false">Expenses!S15</f>
        <v>24775.9726027397</v>
      </c>
      <c r="T18" s="67" t="n">
        <f aca="false">Expenses!T15</f>
        <v>24775.9726027397</v>
      </c>
      <c r="U18" s="67" t="n">
        <f aca="false">Expenses!U15</f>
        <v>24775.9726027397</v>
      </c>
      <c r="V18" s="67" t="n">
        <f aca="false">Expenses!V15</f>
        <v>24775.9726027397</v>
      </c>
      <c r="W18" s="67" t="n">
        <f aca="false">Expenses!W15</f>
        <v>24775.9726027397</v>
      </c>
      <c r="X18" s="67" t="n">
        <f aca="false">Expenses!X15</f>
        <v>24775.9726027397</v>
      </c>
      <c r="Y18" s="67" t="n">
        <f aca="false">Expenses!Y15</f>
        <v>24775.9726027397</v>
      </c>
      <c r="Z18" s="67" t="n">
        <f aca="false">Expenses!Z15</f>
        <v>24775.9726027397</v>
      </c>
      <c r="AA18" s="66" t="n">
        <f aca="false">SUM(O18:Z18)</f>
        <v>297311.671232877</v>
      </c>
      <c r="AB18" s="67" t="n">
        <f aca="false">Expenses!AB15</f>
        <v>27013.0224657534</v>
      </c>
      <c r="AC18" s="67" t="n">
        <f aca="false">Expenses!AC15</f>
        <v>27013.0224657534</v>
      </c>
      <c r="AD18" s="67" t="n">
        <f aca="false">Expenses!AD15</f>
        <v>27013.0224657534</v>
      </c>
      <c r="AE18" s="67" t="n">
        <f aca="false">Expenses!AE15</f>
        <v>27013.0224657534</v>
      </c>
      <c r="AF18" s="67" t="n">
        <f aca="false">Expenses!AF15</f>
        <v>27013.0224657534</v>
      </c>
      <c r="AG18" s="67" t="n">
        <f aca="false">Expenses!AG15</f>
        <v>27013.0224657534</v>
      </c>
      <c r="AH18" s="67" t="n">
        <f aca="false">Expenses!AH15</f>
        <v>27013.0224657534</v>
      </c>
      <c r="AI18" s="67" t="n">
        <f aca="false">Expenses!AI15</f>
        <v>27013.0224657534</v>
      </c>
      <c r="AJ18" s="67" t="n">
        <f aca="false">Expenses!AJ15</f>
        <v>27013.0224657534</v>
      </c>
      <c r="AK18" s="67" t="n">
        <f aca="false">Expenses!AK15</f>
        <v>27013.0224657534</v>
      </c>
      <c r="AL18" s="67" t="n">
        <f aca="false">Expenses!AL15</f>
        <v>27013.0224657534</v>
      </c>
      <c r="AM18" s="67" t="n">
        <f aca="false">Expenses!AM15</f>
        <v>27013.0224657534</v>
      </c>
      <c r="AN18" s="66" t="n">
        <f aca="false">SUM(AB18:AM18)</f>
        <v>324156.269589041</v>
      </c>
      <c r="AO18" s="67" t="n">
        <f aca="false">Expenses!AO15</f>
        <v>29406.8474958904</v>
      </c>
      <c r="AP18" s="67" t="n">
        <f aca="false">Expenses!AP15</f>
        <v>29406.8474958904</v>
      </c>
      <c r="AQ18" s="67" t="n">
        <f aca="false">Expenses!AQ15</f>
        <v>29406.8474958904</v>
      </c>
      <c r="AR18" s="67" t="n">
        <f aca="false">Expenses!AR15</f>
        <v>29406.8474958904</v>
      </c>
      <c r="AS18" s="67" t="n">
        <f aca="false">Expenses!AS15</f>
        <v>29406.8474958904</v>
      </c>
      <c r="AT18" s="67" t="n">
        <f aca="false">Expenses!AT15</f>
        <v>29406.8474958904</v>
      </c>
      <c r="AU18" s="67" t="n">
        <f aca="false">Expenses!AU15</f>
        <v>29406.8474958904</v>
      </c>
      <c r="AV18" s="67" t="n">
        <f aca="false">Expenses!AV15</f>
        <v>29406.8474958904</v>
      </c>
      <c r="AW18" s="67" t="n">
        <f aca="false">Expenses!AW15</f>
        <v>29406.8474958904</v>
      </c>
      <c r="AX18" s="67" t="n">
        <f aca="false">Expenses!AX15</f>
        <v>29406.8474958904</v>
      </c>
      <c r="AY18" s="67" t="n">
        <f aca="false">Expenses!AY15</f>
        <v>29406.8474958904</v>
      </c>
      <c r="AZ18" s="67" t="n">
        <f aca="false">Expenses!AZ15</f>
        <v>29406.8474958904</v>
      </c>
      <c r="BA18" s="66" t="n">
        <f aca="false">SUM(AO18:AZ18)</f>
        <v>352882.169950685</v>
      </c>
      <c r="BB18" s="67" t="n">
        <f aca="false">Expenses!BB15</f>
        <v>31966.6041994521</v>
      </c>
      <c r="BC18" s="67" t="n">
        <f aca="false">Expenses!BC15</f>
        <v>31966.6041994521</v>
      </c>
      <c r="BD18" s="67" t="n">
        <f aca="false">Expenses!BD15</f>
        <v>31966.6041994521</v>
      </c>
      <c r="BE18" s="67" t="n">
        <f aca="false">Expenses!BE15</f>
        <v>31966.6041994521</v>
      </c>
      <c r="BF18" s="67" t="n">
        <f aca="false">Expenses!BF15</f>
        <v>31966.6041994521</v>
      </c>
      <c r="BG18" s="67" t="n">
        <f aca="false">Expenses!BG15</f>
        <v>31966.6041994521</v>
      </c>
      <c r="BH18" s="67" t="n">
        <f aca="false">Expenses!BH15</f>
        <v>31966.6041994521</v>
      </c>
      <c r="BI18" s="67" t="n">
        <f aca="false">Expenses!BI15</f>
        <v>31966.6041994521</v>
      </c>
      <c r="BJ18" s="67" t="n">
        <f aca="false">Expenses!BJ15</f>
        <v>31966.6041994521</v>
      </c>
      <c r="BK18" s="67" t="n">
        <f aca="false">Expenses!BK15</f>
        <v>31966.6041994521</v>
      </c>
      <c r="BL18" s="67" t="n">
        <f aca="false">Expenses!BL15</f>
        <v>31966.6041994521</v>
      </c>
      <c r="BM18" s="67" t="n">
        <f aca="false">Expenses!BM15</f>
        <v>31966.6041994521</v>
      </c>
      <c r="BN18" s="66" t="n">
        <f aca="false">SUM(BB18:BM18)</f>
        <v>383599.250393425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1092396.34703196</v>
      </c>
      <c r="C19" s="65" t="n">
        <f aca="false">C16-C17-C18</f>
        <v>1092396.34703196</v>
      </c>
      <c r="D19" s="65" t="n">
        <f aca="false">D16-D17-D18</f>
        <v>1092396.34703196</v>
      </c>
      <c r="E19" s="65" t="n">
        <f aca="false">E16-E17-E18</f>
        <v>1092396.34703196</v>
      </c>
      <c r="F19" s="65" t="n">
        <f aca="false">F16-F17-F18</f>
        <v>1092396.34703196</v>
      </c>
      <c r="G19" s="65" t="n">
        <f aca="false">G16-G17-G18</f>
        <v>1092396.34703196</v>
      </c>
      <c r="H19" s="65" t="n">
        <f aca="false">H16-H17-H18</f>
        <v>1092396.34703196</v>
      </c>
      <c r="I19" s="65" t="n">
        <f aca="false">I16-I17-I18</f>
        <v>1092396.34703196</v>
      </c>
      <c r="J19" s="65" t="n">
        <f aca="false">J16-J17-J18</f>
        <v>1092396.34703196</v>
      </c>
      <c r="K19" s="65" t="n">
        <f aca="false">K16-K17-K18</f>
        <v>1092396.34703196</v>
      </c>
      <c r="L19" s="65" t="n">
        <f aca="false">L16-L17-L18</f>
        <v>1092396.34703196</v>
      </c>
      <c r="M19" s="65" t="n">
        <f aca="false">M16-M17-M18</f>
        <v>1092396.34703196</v>
      </c>
      <c r="N19" s="66" t="n">
        <f aca="false">SUM(B19:M19)</f>
        <v>13108756.1643836</v>
      </c>
      <c r="O19" s="65" t="n">
        <f aca="false">O16-O17-O18</f>
        <v>1254785.13850837</v>
      </c>
      <c r="P19" s="65" t="n">
        <f aca="false">P16-P17-P18</f>
        <v>1254785.13850837</v>
      </c>
      <c r="Q19" s="65" t="n">
        <f aca="false">Q16-Q17-Q18</f>
        <v>1254785.13850837</v>
      </c>
      <c r="R19" s="65" t="n">
        <f aca="false">R16-R17-R18</f>
        <v>1254785.13850837</v>
      </c>
      <c r="S19" s="65" t="n">
        <f aca="false">S16-S17-S18</f>
        <v>1254785.13850837</v>
      </c>
      <c r="T19" s="65" t="n">
        <f aca="false">T16-T17-T18</f>
        <v>1254785.13850837</v>
      </c>
      <c r="U19" s="65" t="n">
        <f aca="false">U16-U17-U18</f>
        <v>1254785.13850837</v>
      </c>
      <c r="V19" s="65" t="n">
        <f aca="false">V16-V17-V18</f>
        <v>1254785.13850837</v>
      </c>
      <c r="W19" s="65" t="n">
        <f aca="false">W16-W17-W18</f>
        <v>1254785.13850837</v>
      </c>
      <c r="X19" s="65" t="n">
        <f aca="false">X16-X17-X18</f>
        <v>1254785.13850837</v>
      </c>
      <c r="Y19" s="65" t="n">
        <f aca="false">Y16-Y17-Y18</f>
        <v>1254785.13850837</v>
      </c>
      <c r="Z19" s="65" t="n">
        <f aca="false">Z16-Z17-Z18</f>
        <v>1254785.13850837</v>
      </c>
      <c r="AA19" s="66" t="n">
        <f aca="false">SUM(O19:Z19)</f>
        <v>15057421.6621005</v>
      </c>
      <c r="AB19" s="65" t="n">
        <f aca="false">AB16-AB17-AB18</f>
        <v>1428654.86642314</v>
      </c>
      <c r="AC19" s="65" t="n">
        <f aca="false">AC16-AC17-AC18</f>
        <v>1428654.86642314</v>
      </c>
      <c r="AD19" s="65" t="n">
        <f aca="false">AD16-AD17-AD18</f>
        <v>1428654.86642314</v>
      </c>
      <c r="AE19" s="65" t="n">
        <f aca="false">AE16-AE17-AE18</f>
        <v>1428654.86642314</v>
      </c>
      <c r="AF19" s="65" t="n">
        <f aca="false">AF16-AF17-AF18</f>
        <v>1428654.86642314</v>
      </c>
      <c r="AG19" s="65" t="n">
        <f aca="false">AG16-AG17-AG18</f>
        <v>1428654.86642314</v>
      </c>
      <c r="AH19" s="65" t="n">
        <f aca="false">AH16-AH17-AH18</f>
        <v>1428654.86642314</v>
      </c>
      <c r="AI19" s="65" t="n">
        <f aca="false">AI16-AI17-AI18</f>
        <v>1428654.86642314</v>
      </c>
      <c r="AJ19" s="65" t="n">
        <f aca="false">AJ16-AJ17-AJ18</f>
        <v>1428654.86642314</v>
      </c>
      <c r="AK19" s="65" t="n">
        <f aca="false">AK16-AK17-AK18</f>
        <v>1428654.86642314</v>
      </c>
      <c r="AL19" s="65" t="n">
        <f aca="false">AL16-AL17-AL18</f>
        <v>1428654.86642314</v>
      </c>
      <c r="AM19" s="65" t="n">
        <f aca="false">AM16-AM17-AM18</f>
        <v>1428654.86642314</v>
      </c>
      <c r="AN19" s="66" t="n">
        <f aca="false">SUM(AB19:AM19)</f>
        <v>17143858.3970776</v>
      </c>
      <c r="AO19" s="65" t="n">
        <f aca="false">AO16-AO17-AO18</f>
        <v>1614681.52917078</v>
      </c>
      <c r="AP19" s="65" t="n">
        <f aca="false">AP16-AP17-AP18</f>
        <v>1614681.52917078</v>
      </c>
      <c r="AQ19" s="65" t="n">
        <f aca="false">AQ16-AQ17-AQ18</f>
        <v>1614681.52917078</v>
      </c>
      <c r="AR19" s="65" t="n">
        <f aca="false">AR16-AR17-AR18</f>
        <v>1614681.52917078</v>
      </c>
      <c r="AS19" s="65" t="n">
        <f aca="false">AS16-AS17-AS18</f>
        <v>1614681.52917078</v>
      </c>
      <c r="AT19" s="65" t="n">
        <f aca="false">AT16-AT17-AT18</f>
        <v>1614681.52917078</v>
      </c>
      <c r="AU19" s="65" t="n">
        <f aca="false">AU16-AU17-AU18</f>
        <v>1614681.52917078</v>
      </c>
      <c r="AV19" s="65" t="n">
        <f aca="false">AV16-AV17-AV18</f>
        <v>1614681.52917078</v>
      </c>
      <c r="AW19" s="65" t="n">
        <f aca="false">AW16-AW17-AW18</f>
        <v>1614681.52917078</v>
      </c>
      <c r="AX19" s="65" t="n">
        <f aca="false">AX16-AX17-AX18</f>
        <v>1614681.52917078</v>
      </c>
      <c r="AY19" s="65" t="n">
        <f aca="false">AY16-AY17-AY18</f>
        <v>1614681.52917078</v>
      </c>
      <c r="AZ19" s="65" t="n">
        <f aca="false">AZ16-AZ17-AZ18</f>
        <v>1614681.52917078</v>
      </c>
      <c r="BA19" s="66" t="n">
        <f aca="false">SUM(AO19:AZ19)</f>
        <v>19376178.3500493</v>
      </c>
      <c r="BB19" s="65" t="n">
        <f aca="false">BB16-BB17-BB18</f>
        <v>1813574.05154499</v>
      </c>
      <c r="BC19" s="65" t="n">
        <f aca="false">BC16-BC17-BC18</f>
        <v>1813574.05154499</v>
      </c>
      <c r="BD19" s="65" t="n">
        <f aca="false">BD16-BD17-BD18</f>
        <v>1813574.05154499</v>
      </c>
      <c r="BE19" s="65" t="n">
        <f aca="false">BE16-BE17-BE18</f>
        <v>1813574.05154499</v>
      </c>
      <c r="BF19" s="65" t="n">
        <f aca="false">BF16-BF17-BF18</f>
        <v>1813574.05154499</v>
      </c>
      <c r="BG19" s="65" t="n">
        <f aca="false">BG16-BG17-BG18</f>
        <v>1813574.05154499</v>
      </c>
      <c r="BH19" s="65" t="n">
        <f aca="false">BH16-BH17-BH18</f>
        <v>1813574.05154499</v>
      </c>
      <c r="BI19" s="65" t="n">
        <f aca="false">BI16-BI17-BI18</f>
        <v>1813574.05154499</v>
      </c>
      <c r="BJ19" s="65" t="n">
        <f aca="false">BJ16-BJ17-BJ18</f>
        <v>1813574.05154499</v>
      </c>
      <c r="BK19" s="65" t="n">
        <f aca="false">BK16-BK17-BK18</f>
        <v>1813574.05154499</v>
      </c>
      <c r="BL19" s="65" t="n">
        <f aca="false">BL16-BL17-BL18</f>
        <v>1813574.05154499</v>
      </c>
      <c r="BM19" s="65" t="n">
        <f aca="false">BM16-BM17-BM18</f>
        <v>1813574.05154499</v>
      </c>
      <c r="BN19" s="66" t="n">
        <f aca="false">SUM(BB19:BM19)</f>
        <v>21762888.6185399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273099.086757991</v>
      </c>
      <c r="C20" s="70" t="n">
        <f aca="false">IF(C19&gt;0,C19*Assumptions!$C$14,0)</f>
        <v>273099.086757991</v>
      </c>
      <c r="D20" s="70" t="n">
        <f aca="false">IF(D19&gt;0,D19*Assumptions!$C$14,0)</f>
        <v>273099.086757991</v>
      </c>
      <c r="E20" s="70" t="n">
        <f aca="false">IF(E19&gt;0,E19*Assumptions!$C$14,0)</f>
        <v>273099.086757991</v>
      </c>
      <c r="F20" s="70" t="n">
        <f aca="false">IF(F19&gt;0,F19*Assumptions!$C$14,0)</f>
        <v>273099.086757991</v>
      </c>
      <c r="G20" s="70" t="n">
        <f aca="false">IF(G19&gt;0,G19*Assumptions!$C$14,0)</f>
        <v>273099.086757991</v>
      </c>
      <c r="H20" s="70" t="n">
        <f aca="false">IF(H19&gt;0,H19*Assumptions!$C$14,0)</f>
        <v>273099.086757991</v>
      </c>
      <c r="I20" s="70" t="n">
        <f aca="false">IF(I19&gt;0,I19*Assumptions!$C$14,0)</f>
        <v>273099.086757991</v>
      </c>
      <c r="J20" s="70" t="n">
        <f aca="false">IF(J19&gt;0,J19*Assumptions!$C$14,0)</f>
        <v>273099.086757991</v>
      </c>
      <c r="K20" s="70" t="n">
        <f aca="false">IF(K19&gt;0,K19*Assumptions!$C$14,0)</f>
        <v>273099.086757991</v>
      </c>
      <c r="L20" s="70" t="n">
        <f aca="false">IF(L19&gt;0,L19*Assumptions!$C$14,0)</f>
        <v>273099.086757991</v>
      </c>
      <c r="M20" s="70" t="n">
        <f aca="false">IF(M19&gt;0,M19*Assumptions!$C$14,0)</f>
        <v>273099.086757991</v>
      </c>
      <c r="N20" s="66" t="n">
        <f aca="false">IF(N19&gt;0,N19*Assumptions!$C$14,0)</f>
        <v>3277189.04109589</v>
      </c>
      <c r="O20" s="70" t="n">
        <f aca="false">IF(O19&gt;0,O19*Assumptions!$C$14,0)</f>
        <v>313696.284627093</v>
      </c>
      <c r="P20" s="70" t="n">
        <f aca="false">IF(P19&gt;0,P19*Assumptions!$C$14,0)</f>
        <v>313696.284627093</v>
      </c>
      <c r="Q20" s="70" t="n">
        <f aca="false">IF(Q19&gt;0,Q19*Assumptions!$C$14,0)</f>
        <v>313696.284627093</v>
      </c>
      <c r="R20" s="70" t="n">
        <f aca="false">IF(R19&gt;0,R19*Assumptions!$C$14,0)</f>
        <v>313696.284627093</v>
      </c>
      <c r="S20" s="70" t="n">
        <f aca="false">IF(S19&gt;0,S19*Assumptions!$C$14,0)</f>
        <v>313696.284627093</v>
      </c>
      <c r="T20" s="70" t="n">
        <f aca="false">IF(T19&gt;0,T19*Assumptions!$C$14,0)</f>
        <v>313696.284627093</v>
      </c>
      <c r="U20" s="70" t="n">
        <f aca="false">IF(U19&gt;0,U19*Assumptions!$C$14,0)</f>
        <v>313696.284627093</v>
      </c>
      <c r="V20" s="70" t="n">
        <f aca="false">IF(V19&gt;0,V19*Assumptions!$C$14,0)</f>
        <v>313696.284627093</v>
      </c>
      <c r="W20" s="70" t="n">
        <f aca="false">IF(W19&gt;0,W19*Assumptions!$C$14,0)</f>
        <v>313696.284627093</v>
      </c>
      <c r="X20" s="70" t="n">
        <f aca="false">IF(X19&gt;0,X19*Assumptions!$C$14,0)</f>
        <v>313696.284627093</v>
      </c>
      <c r="Y20" s="70" t="n">
        <f aca="false">IF(Y19&gt;0,Y19*Assumptions!$C$14,0)</f>
        <v>313696.284627093</v>
      </c>
      <c r="Z20" s="70" t="n">
        <f aca="false">IF(Z19&gt;0,Z19*Assumptions!$C$14,0)</f>
        <v>313696.284627093</v>
      </c>
      <c r="AA20" s="66" t="n">
        <f aca="false">IF(AA19&gt;0,AA19*Assumptions!$C$14,0)</f>
        <v>3764355.41552511</v>
      </c>
      <c r="AB20" s="70" t="n">
        <f aca="false">IF(AB19&gt;0,AB19*Assumptions!$C$14,0)</f>
        <v>357163.716605784</v>
      </c>
      <c r="AC20" s="70" t="n">
        <f aca="false">IF(AC19&gt;0,AC19*Assumptions!$C$14,0)</f>
        <v>357163.716605784</v>
      </c>
      <c r="AD20" s="70" t="n">
        <f aca="false">IF(AD19&gt;0,AD19*Assumptions!$C$14,0)</f>
        <v>357163.716605784</v>
      </c>
      <c r="AE20" s="70" t="n">
        <f aca="false">IF(AE19&gt;0,AE19*Assumptions!$C$14,0)</f>
        <v>357163.716605784</v>
      </c>
      <c r="AF20" s="70" t="n">
        <f aca="false">IF(AF19&gt;0,AF19*Assumptions!$C$14,0)</f>
        <v>357163.716605784</v>
      </c>
      <c r="AG20" s="70" t="n">
        <f aca="false">IF(AG19&gt;0,AG19*Assumptions!$C$14,0)</f>
        <v>357163.716605784</v>
      </c>
      <c r="AH20" s="70" t="n">
        <f aca="false">IF(AH19&gt;0,AH19*Assumptions!$C$14,0)</f>
        <v>357163.716605784</v>
      </c>
      <c r="AI20" s="70" t="n">
        <f aca="false">IF(AI19&gt;0,AI19*Assumptions!$C$14,0)</f>
        <v>357163.716605784</v>
      </c>
      <c r="AJ20" s="70" t="n">
        <f aca="false">IF(AJ19&gt;0,AJ19*Assumptions!$C$14,0)</f>
        <v>357163.716605784</v>
      </c>
      <c r="AK20" s="70" t="n">
        <f aca="false">IF(AK19&gt;0,AK19*Assumptions!$C$14,0)</f>
        <v>357163.716605784</v>
      </c>
      <c r="AL20" s="70" t="n">
        <f aca="false">IF(AL19&gt;0,AL19*Assumptions!$C$14,0)</f>
        <v>357163.716605784</v>
      </c>
      <c r="AM20" s="70" t="n">
        <f aca="false">IF(AM19&gt;0,AM19*Assumptions!$C$14,0)</f>
        <v>357163.716605784</v>
      </c>
      <c r="AN20" s="66" t="n">
        <f aca="false">IF(AN19&gt;0,AN19*Assumptions!$C$14,0)</f>
        <v>4285964.59926941</v>
      </c>
      <c r="AO20" s="70" t="n">
        <f aca="false">IF(AO19&gt;0,AO19*Assumptions!$C$14,0)</f>
        <v>403670.382292694</v>
      </c>
      <c r="AP20" s="70" t="n">
        <f aca="false">IF(AP19&gt;0,AP19*Assumptions!$C$14,0)</f>
        <v>403670.382292694</v>
      </c>
      <c r="AQ20" s="70" t="n">
        <f aca="false">IF(AQ19&gt;0,AQ19*Assumptions!$C$14,0)</f>
        <v>403670.382292694</v>
      </c>
      <c r="AR20" s="70" t="n">
        <f aca="false">IF(AR19&gt;0,AR19*Assumptions!$C$14,0)</f>
        <v>403670.382292694</v>
      </c>
      <c r="AS20" s="70" t="n">
        <f aca="false">IF(AS19&gt;0,AS19*Assumptions!$C$14,0)</f>
        <v>403670.382292694</v>
      </c>
      <c r="AT20" s="70" t="n">
        <f aca="false">IF(AT19&gt;0,AT19*Assumptions!$C$14,0)</f>
        <v>403670.382292694</v>
      </c>
      <c r="AU20" s="70" t="n">
        <f aca="false">IF(AU19&gt;0,AU19*Assumptions!$C$14,0)</f>
        <v>403670.382292694</v>
      </c>
      <c r="AV20" s="70" t="n">
        <f aca="false">IF(AV19&gt;0,AV19*Assumptions!$C$14,0)</f>
        <v>403670.382292694</v>
      </c>
      <c r="AW20" s="70" t="n">
        <f aca="false">IF(AW19&gt;0,AW19*Assumptions!$C$14,0)</f>
        <v>403670.382292694</v>
      </c>
      <c r="AX20" s="70" t="n">
        <f aca="false">IF(AX19&gt;0,AX19*Assumptions!$C$14,0)</f>
        <v>403670.382292694</v>
      </c>
      <c r="AY20" s="70" t="n">
        <f aca="false">IF(AY19&gt;0,AY19*Assumptions!$C$14,0)</f>
        <v>403670.382292694</v>
      </c>
      <c r="AZ20" s="70" t="n">
        <f aca="false">IF(AZ19&gt;0,AZ19*Assumptions!$C$14,0)</f>
        <v>403670.382292694</v>
      </c>
      <c r="BA20" s="66" t="n">
        <f aca="false">IF(BA19&gt;0,BA19*Assumptions!$C$14,0)</f>
        <v>4844044.58751233</v>
      </c>
      <c r="BB20" s="70" t="n">
        <f aca="false">IF(BB19&gt;0,BB19*Assumptions!$C$14,0)</f>
        <v>453393.512886248</v>
      </c>
      <c r="BC20" s="70" t="n">
        <f aca="false">IF(BC19&gt;0,BC19*Assumptions!$C$14,0)</f>
        <v>453393.512886248</v>
      </c>
      <c r="BD20" s="70" t="n">
        <f aca="false">IF(BD19&gt;0,BD19*Assumptions!$C$14,0)</f>
        <v>453393.512886248</v>
      </c>
      <c r="BE20" s="70" t="n">
        <f aca="false">IF(BE19&gt;0,BE19*Assumptions!$C$14,0)</f>
        <v>453393.512886248</v>
      </c>
      <c r="BF20" s="70" t="n">
        <f aca="false">IF(BF19&gt;0,BF19*Assumptions!$C$14,0)</f>
        <v>453393.512886248</v>
      </c>
      <c r="BG20" s="70" t="n">
        <f aca="false">IF(BG19&gt;0,BG19*Assumptions!$C$14,0)</f>
        <v>453393.512886248</v>
      </c>
      <c r="BH20" s="70" t="n">
        <f aca="false">IF(BH19&gt;0,BH19*Assumptions!$C$14,0)</f>
        <v>453393.512886248</v>
      </c>
      <c r="BI20" s="70" t="n">
        <f aca="false">IF(BI19&gt;0,BI19*Assumptions!$C$14,0)</f>
        <v>453393.512886248</v>
      </c>
      <c r="BJ20" s="70" t="n">
        <f aca="false">IF(BJ19&gt;0,BJ19*Assumptions!$C$14,0)</f>
        <v>453393.512886248</v>
      </c>
      <c r="BK20" s="70" t="n">
        <f aca="false">IF(BK19&gt;0,BK19*Assumptions!$C$14,0)</f>
        <v>453393.512886248</v>
      </c>
      <c r="BL20" s="70" t="n">
        <f aca="false">IF(BL19&gt;0,BL19*Assumptions!$C$14,0)</f>
        <v>453393.512886248</v>
      </c>
      <c r="BM20" s="70" t="n">
        <f aca="false">IF(BM19&gt;0,BM19*Assumptions!$C$14,0)</f>
        <v>453393.512886248</v>
      </c>
      <c r="BN20" s="66" t="n">
        <f aca="false">IF(BN19&gt;0,BN19*Assumptions!$C$14,0)</f>
        <v>5440722.15463498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819297.260273973</v>
      </c>
      <c r="C21" s="66" t="n">
        <f aca="false">C19-C20</f>
        <v>819297.260273973</v>
      </c>
      <c r="D21" s="66" t="n">
        <f aca="false">D19-D20</f>
        <v>819297.260273973</v>
      </c>
      <c r="E21" s="66" t="n">
        <f aca="false">E19-E20</f>
        <v>819297.260273973</v>
      </c>
      <c r="F21" s="66" t="n">
        <f aca="false">F19-F20</f>
        <v>819297.260273973</v>
      </c>
      <c r="G21" s="66" t="n">
        <f aca="false">G19-G20</f>
        <v>819297.260273973</v>
      </c>
      <c r="H21" s="66" t="n">
        <f aca="false">H19-H20</f>
        <v>819297.260273973</v>
      </c>
      <c r="I21" s="66" t="n">
        <f aca="false">I19-I20</f>
        <v>819297.260273973</v>
      </c>
      <c r="J21" s="66" t="n">
        <f aca="false">J19-J20</f>
        <v>819297.260273973</v>
      </c>
      <c r="K21" s="66" t="n">
        <f aca="false">K19-K20</f>
        <v>819297.260273973</v>
      </c>
      <c r="L21" s="66" t="n">
        <f aca="false">L19-L20</f>
        <v>819297.260273973</v>
      </c>
      <c r="M21" s="66" t="n">
        <f aca="false">M19-M20</f>
        <v>819297.260273973</v>
      </c>
      <c r="N21" s="66" t="n">
        <f aca="false">N19-N20</f>
        <v>9831567.12328767</v>
      </c>
      <c r="O21" s="66" t="n">
        <f aca="false">O19-O20</f>
        <v>941088.853881279</v>
      </c>
      <c r="P21" s="66" t="n">
        <f aca="false">P19-P20</f>
        <v>941088.853881279</v>
      </c>
      <c r="Q21" s="66" t="n">
        <f aca="false">Q19-Q20</f>
        <v>941088.853881279</v>
      </c>
      <c r="R21" s="66" t="n">
        <f aca="false">R19-R20</f>
        <v>941088.853881279</v>
      </c>
      <c r="S21" s="66" t="n">
        <f aca="false">S19-S20</f>
        <v>941088.853881279</v>
      </c>
      <c r="T21" s="66" t="n">
        <f aca="false">T19-T20</f>
        <v>941088.853881279</v>
      </c>
      <c r="U21" s="66" t="n">
        <f aca="false">U19-U20</f>
        <v>941088.853881279</v>
      </c>
      <c r="V21" s="66" t="n">
        <f aca="false">V19-V20</f>
        <v>941088.853881279</v>
      </c>
      <c r="W21" s="66" t="n">
        <f aca="false">W19-W20</f>
        <v>941088.853881279</v>
      </c>
      <c r="X21" s="66" t="n">
        <f aca="false">X19-X20</f>
        <v>941088.853881279</v>
      </c>
      <c r="Y21" s="66" t="n">
        <f aca="false">Y19-Y20</f>
        <v>941088.853881279</v>
      </c>
      <c r="Z21" s="66" t="n">
        <f aca="false">Z19-Z20</f>
        <v>941088.853881279</v>
      </c>
      <c r="AA21" s="66" t="n">
        <f aca="false">AA19-AA20</f>
        <v>11293066.2465753</v>
      </c>
      <c r="AB21" s="66" t="n">
        <f aca="false">AB19-AB20</f>
        <v>1071491.14981735</v>
      </c>
      <c r="AC21" s="66" t="n">
        <f aca="false">AC19-AC20</f>
        <v>1071491.14981735</v>
      </c>
      <c r="AD21" s="66" t="n">
        <f aca="false">AD19-AD20</f>
        <v>1071491.14981735</v>
      </c>
      <c r="AE21" s="66" t="n">
        <f aca="false">AE19-AE20</f>
        <v>1071491.14981735</v>
      </c>
      <c r="AF21" s="66" t="n">
        <f aca="false">AF19-AF20</f>
        <v>1071491.14981735</v>
      </c>
      <c r="AG21" s="66" t="n">
        <f aca="false">AG19-AG20</f>
        <v>1071491.14981735</v>
      </c>
      <c r="AH21" s="66" t="n">
        <f aca="false">AH19-AH20</f>
        <v>1071491.14981735</v>
      </c>
      <c r="AI21" s="66" t="n">
        <f aca="false">AI19-AI20</f>
        <v>1071491.14981735</v>
      </c>
      <c r="AJ21" s="66" t="n">
        <f aca="false">AJ19-AJ20</f>
        <v>1071491.14981735</v>
      </c>
      <c r="AK21" s="66" t="n">
        <f aca="false">AK19-AK20</f>
        <v>1071491.14981735</v>
      </c>
      <c r="AL21" s="66" t="n">
        <f aca="false">AL19-AL20</f>
        <v>1071491.14981735</v>
      </c>
      <c r="AM21" s="66" t="n">
        <f aca="false">AM19-AM20</f>
        <v>1071491.14981735</v>
      </c>
      <c r="AN21" s="66" t="n">
        <f aca="false">AN19-AN20</f>
        <v>12857893.7978082</v>
      </c>
      <c r="AO21" s="66" t="n">
        <f aca="false">AO19-AO20</f>
        <v>1211011.14687808</v>
      </c>
      <c r="AP21" s="66" t="n">
        <f aca="false">AP19-AP20</f>
        <v>1211011.14687808</v>
      </c>
      <c r="AQ21" s="66" t="n">
        <f aca="false">AQ19-AQ20</f>
        <v>1211011.14687808</v>
      </c>
      <c r="AR21" s="66" t="n">
        <f aca="false">AR19-AR20</f>
        <v>1211011.14687808</v>
      </c>
      <c r="AS21" s="66" t="n">
        <f aca="false">AS19-AS20</f>
        <v>1211011.14687808</v>
      </c>
      <c r="AT21" s="66" t="n">
        <f aca="false">AT19-AT20</f>
        <v>1211011.14687808</v>
      </c>
      <c r="AU21" s="66" t="n">
        <f aca="false">AU19-AU20</f>
        <v>1211011.14687808</v>
      </c>
      <c r="AV21" s="66" t="n">
        <f aca="false">AV19-AV20</f>
        <v>1211011.14687808</v>
      </c>
      <c r="AW21" s="66" t="n">
        <f aca="false">AW19-AW20</f>
        <v>1211011.14687808</v>
      </c>
      <c r="AX21" s="66" t="n">
        <f aca="false">AX19-AX20</f>
        <v>1211011.14687808</v>
      </c>
      <c r="AY21" s="66" t="n">
        <f aca="false">AY19-AY20</f>
        <v>1211011.14687808</v>
      </c>
      <c r="AZ21" s="66" t="n">
        <f aca="false">AZ19-AZ20</f>
        <v>1211011.14687808</v>
      </c>
      <c r="BA21" s="66" t="n">
        <f aca="false">BA19-BA20</f>
        <v>14532133.762537</v>
      </c>
      <c r="BB21" s="66" t="n">
        <f aca="false">BB19-BB20</f>
        <v>1360180.53865874</v>
      </c>
      <c r="BC21" s="66" t="n">
        <f aca="false">BC19-BC20</f>
        <v>1360180.53865874</v>
      </c>
      <c r="BD21" s="66" t="n">
        <f aca="false">BD19-BD20</f>
        <v>1360180.53865874</v>
      </c>
      <c r="BE21" s="66" t="n">
        <f aca="false">BE19-BE20</f>
        <v>1360180.53865874</v>
      </c>
      <c r="BF21" s="66" t="n">
        <f aca="false">BF19-BF20</f>
        <v>1360180.53865874</v>
      </c>
      <c r="BG21" s="66" t="n">
        <f aca="false">BG19-BG20</f>
        <v>1360180.53865874</v>
      </c>
      <c r="BH21" s="66" t="n">
        <f aca="false">BH19-BH20</f>
        <v>1360180.53865874</v>
      </c>
      <c r="BI21" s="66" t="n">
        <f aca="false">BI19-BI20</f>
        <v>1360180.53865874</v>
      </c>
      <c r="BJ21" s="66" t="n">
        <f aca="false">BJ19-BJ20</f>
        <v>1360180.53865874</v>
      </c>
      <c r="BK21" s="66" t="n">
        <f aca="false">BK19-BK20</f>
        <v>1360180.53865874</v>
      </c>
      <c r="BL21" s="66" t="n">
        <f aca="false">BL19-BL20</f>
        <v>1360180.53865874</v>
      </c>
      <c r="BM21" s="66" t="n">
        <f aca="false">BM19-BM20</f>
        <v>1360180.53865874</v>
      </c>
      <c r="BN21" s="66" t="n">
        <f aca="false">BN19-BN20</f>
        <v>16322166.4639049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827213.926940639</v>
      </c>
      <c r="C22" s="65" t="n">
        <f aca="false">C21+C15</f>
        <v>827213.926940639</v>
      </c>
      <c r="D22" s="65" t="n">
        <f aca="false">D21+D15</f>
        <v>827213.926940639</v>
      </c>
      <c r="E22" s="65" t="n">
        <f aca="false">E21+E15</f>
        <v>827213.926940639</v>
      </c>
      <c r="F22" s="65" t="n">
        <f aca="false">F21+F15</f>
        <v>827213.926940639</v>
      </c>
      <c r="G22" s="65" t="n">
        <f aca="false">G21+G15</f>
        <v>827213.926940639</v>
      </c>
      <c r="H22" s="65" t="n">
        <f aca="false">H21+H15</f>
        <v>827213.926940639</v>
      </c>
      <c r="I22" s="65" t="n">
        <f aca="false">I21+I15</f>
        <v>827213.926940639</v>
      </c>
      <c r="J22" s="65" t="n">
        <f aca="false">J21+J15</f>
        <v>827213.926940639</v>
      </c>
      <c r="K22" s="65" t="n">
        <f aca="false">K21+K15</f>
        <v>827213.926940639</v>
      </c>
      <c r="L22" s="65" t="n">
        <f aca="false">L21+L15</f>
        <v>827213.926940639</v>
      </c>
      <c r="M22" s="65" t="n">
        <f aca="false">M21+M15</f>
        <v>827213.926940639</v>
      </c>
      <c r="N22" s="66" t="n">
        <f aca="false">N21+N15</f>
        <v>9926567.12328767</v>
      </c>
      <c r="O22" s="65" t="n">
        <f aca="false">O21+O15</f>
        <v>949005.520547945</v>
      </c>
      <c r="P22" s="65" t="n">
        <f aca="false">P21+P15</f>
        <v>949005.520547945</v>
      </c>
      <c r="Q22" s="65" t="n">
        <f aca="false">Q21+Q15</f>
        <v>949005.520547945</v>
      </c>
      <c r="R22" s="65" t="n">
        <f aca="false">R21+R15</f>
        <v>949005.520547945</v>
      </c>
      <c r="S22" s="65" t="n">
        <f aca="false">S21+S15</f>
        <v>949005.520547945</v>
      </c>
      <c r="T22" s="65" t="n">
        <f aca="false">T21+T15</f>
        <v>949005.520547945</v>
      </c>
      <c r="U22" s="65" t="n">
        <f aca="false">U21+U15</f>
        <v>949005.520547945</v>
      </c>
      <c r="V22" s="65" t="n">
        <f aca="false">V21+V15</f>
        <v>949005.520547945</v>
      </c>
      <c r="W22" s="65" t="n">
        <f aca="false">W21+W15</f>
        <v>949005.520547945</v>
      </c>
      <c r="X22" s="65" t="n">
        <f aca="false">X21+X15</f>
        <v>949005.520547945</v>
      </c>
      <c r="Y22" s="65" t="n">
        <f aca="false">Y21+Y15</f>
        <v>949005.520547945</v>
      </c>
      <c r="Z22" s="65" t="n">
        <f aca="false">Z21+Z15</f>
        <v>949005.520547945</v>
      </c>
      <c r="AA22" s="66" t="n">
        <f aca="false">AA21+AA15</f>
        <v>11388066.2465753</v>
      </c>
      <c r="AB22" s="65" t="n">
        <f aca="false">AB21+AB15</f>
        <v>1079407.81648402</v>
      </c>
      <c r="AC22" s="65" t="n">
        <f aca="false">AC21+AC15</f>
        <v>1079407.81648402</v>
      </c>
      <c r="AD22" s="65" t="n">
        <f aca="false">AD21+AD15</f>
        <v>1079407.81648402</v>
      </c>
      <c r="AE22" s="65" t="n">
        <f aca="false">AE21+AE15</f>
        <v>1079407.81648402</v>
      </c>
      <c r="AF22" s="65" t="n">
        <f aca="false">AF21+AF15</f>
        <v>1079407.81648402</v>
      </c>
      <c r="AG22" s="65" t="n">
        <f aca="false">AG21+AG15</f>
        <v>1079407.81648402</v>
      </c>
      <c r="AH22" s="65" t="n">
        <f aca="false">AH21+AH15</f>
        <v>1079407.81648402</v>
      </c>
      <c r="AI22" s="65" t="n">
        <f aca="false">AI21+AI15</f>
        <v>1079407.81648402</v>
      </c>
      <c r="AJ22" s="65" t="n">
        <f aca="false">AJ21+AJ15</f>
        <v>1079407.81648402</v>
      </c>
      <c r="AK22" s="65" t="n">
        <f aca="false">AK21+AK15</f>
        <v>1079407.81648402</v>
      </c>
      <c r="AL22" s="65" t="n">
        <f aca="false">AL21+AL15</f>
        <v>1079407.81648402</v>
      </c>
      <c r="AM22" s="65" t="n">
        <f aca="false">AM21+AM15</f>
        <v>1079407.81648402</v>
      </c>
      <c r="AN22" s="66" t="n">
        <f aca="false">AN21+AN15</f>
        <v>12952893.7978082</v>
      </c>
      <c r="AO22" s="65" t="n">
        <f aca="false">AO21+AO15</f>
        <v>1218927.81354475</v>
      </c>
      <c r="AP22" s="65" t="n">
        <f aca="false">AP21+AP15</f>
        <v>1218927.81354475</v>
      </c>
      <c r="AQ22" s="65" t="n">
        <f aca="false">AQ21+AQ15</f>
        <v>1218927.81354475</v>
      </c>
      <c r="AR22" s="65" t="n">
        <f aca="false">AR21+AR15</f>
        <v>1218927.81354475</v>
      </c>
      <c r="AS22" s="65" t="n">
        <f aca="false">AS21+AS15</f>
        <v>1218927.81354475</v>
      </c>
      <c r="AT22" s="65" t="n">
        <f aca="false">AT21+AT15</f>
        <v>1218927.81354475</v>
      </c>
      <c r="AU22" s="65" t="n">
        <f aca="false">AU21+AU15</f>
        <v>1218927.81354475</v>
      </c>
      <c r="AV22" s="65" t="n">
        <f aca="false">AV21+AV15</f>
        <v>1218927.81354475</v>
      </c>
      <c r="AW22" s="65" t="n">
        <f aca="false">AW21+AW15</f>
        <v>1218927.81354475</v>
      </c>
      <c r="AX22" s="65" t="n">
        <f aca="false">AX21+AX15</f>
        <v>1218927.81354475</v>
      </c>
      <c r="AY22" s="65" t="n">
        <f aca="false">AY21+AY15</f>
        <v>1218927.81354475</v>
      </c>
      <c r="AZ22" s="65" t="n">
        <f aca="false">AZ21+AZ15</f>
        <v>1218927.81354475</v>
      </c>
      <c r="BA22" s="66" t="n">
        <f aca="false">BA21+BA15</f>
        <v>14627133.762537</v>
      </c>
      <c r="BB22" s="65" t="n">
        <f aca="false">BB21+BB15</f>
        <v>1368097.20532541</v>
      </c>
      <c r="BC22" s="65" t="n">
        <f aca="false">BC21+BC15</f>
        <v>1368097.20532541</v>
      </c>
      <c r="BD22" s="65" t="n">
        <f aca="false">BD21+BD15</f>
        <v>1368097.20532541</v>
      </c>
      <c r="BE22" s="65" t="n">
        <f aca="false">BE21+BE15</f>
        <v>1368097.20532541</v>
      </c>
      <c r="BF22" s="65" t="n">
        <f aca="false">BF21+BF15</f>
        <v>1368097.20532541</v>
      </c>
      <c r="BG22" s="65" t="n">
        <f aca="false">BG21+BG15</f>
        <v>1368097.20532541</v>
      </c>
      <c r="BH22" s="65" t="n">
        <f aca="false">BH21+BH15</f>
        <v>1368097.20532541</v>
      </c>
      <c r="BI22" s="65" t="n">
        <f aca="false">BI21+BI15</f>
        <v>1368097.20532541</v>
      </c>
      <c r="BJ22" s="65" t="n">
        <f aca="false">BJ21+BJ15</f>
        <v>1368097.20532541</v>
      </c>
      <c r="BK22" s="65" t="n">
        <f aca="false">BK21+BK15</f>
        <v>1368097.20532541</v>
      </c>
      <c r="BL22" s="65" t="n">
        <f aca="false">BL21+BL15</f>
        <v>1368097.20532541</v>
      </c>
      <c r="BM22" s="65" t="n">
        <f aca="false">BM21+BM15</f>
        <v>1368097.20532541</v>
      </c>
      <c r="BN22" s="66" t="n">
        <f aca="false">BN21+BN15</f>
        <v>16417166.4639049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Service delivery (units)</v>
      </c>
      <c r="C6" s="67" t="n">
        <f aca="false">Production!N6</f>
        <v>3840</v>
      </c>
      <c r="D6" s="67" t="n">
        <f aca="false">Production!AA6</f>
        <v>4080</v>
      </c>
      <c r="E6" s="67" t="n">
        <f aca="false">Production!AN6</f>
        <v>4320</v>
      </c>
      <c r="F6" s="67" t="n">
        <f aca="false">Production!BA6</f>
        <v>4560</v>
      </c>
      <c r="G6" s="67" t="n">
        <f aca="false">Production!BN6</f>
        <v>4800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0.8</v>
      </c>
      <c r="D7" s="62" t="n">
        <f aca="false">Assumptions!$D$18</f>
        <v>0.85</v>
      </c>
      <c r="E7" s="62" t="n">
        <f aca="false">Assumptions!$E$18</f>
        <v>0.9</v>
      </c>
      <c r="F7" s="62" t="n">
        <f aca="false">Assumptions!$F$18</f>
        <v>0.95</v>
      </c>
      <c r="G7" s="62" t="n">
        <f aca="false">Assumptions!$G$18</f>
        <v>1</v>
      </c>
    </row>
    <row r="8" customFormat="false" ht="15" hidden="false" customHeight="true" outlineLevel="0" collapsed="false">
      <c r="B8" s="64" t="s">
        <v>342</v>
      </c>
      <c r="C8" s="74" t="n">
        <f aca="false">Sales!N7</f>
        <v>46080000</v>
      </c>
      <c r="D8" s="74" t="n">
        <f aca="false">Sales!AA7</f>
        <v>51408000</v>
      </c>
      <c r="E8" s="74" t="n">
        <f aca="false">Sales!AN7</f>
        <v>57153600</v>
      </c>
      <c r="F8" s="74" t="n">
        <f aca="false">Sales!BA7</f>
        <v>63345240</v>
      </c>
      <c r="G8" s="74" t="n">
        <f aca="false">Sales!BN7</f>
        <v>70013160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Direct delivery cost</v>
      </c>
      <c r="C10" s="67" t="n">
        <f aca="false">Expenses!N5</f>
        <v>11520000</v>
      </c>
      <c r="D10" s="67" t="n">
        <f aca="false">Expenses!AA5</f>
        <v>12974400</v>
      </c>
      <c r="E10" s="67" t="n">
        <f aca="false">Expenses!AN5</f>
        <v>14561856</v>
      </c>
      <c r="F10" s="67" t="n">
        <f aca="false">Expenses!BA5</f>
        <v>16293098.88</v>
      </c>
      <c r="G10" s="67" t="n">
        <f aca="false">Expenses!BN5</f>
        <v>18179668.224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Infrastructure &amp; hosting</v>
      </c>
      <c r="C11" s="67" t="n">
        <f aca="false">Expenses!N6</f>
        <v>7680000</v>
      </c>
      <c r="D11" s="67" t="n">
        <f aca="false">Expenses!AA6</f>
        <v>8568000</v>
      </c>
      <c r="E11" s="67" t="n">
        <f aca="false">Expenses!AN6</f>
        <v>9525600</v>
      </c>
      <c r="F11" s="67" t="n">
        <f aca="false">Expenses!BA6</f>
        <v>10557540</v>
      </c>
      <c r="G11" s="67" t="n">
        <f aca="false">Expenses!BN6</f>
        <v>11668860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4800000</v>
      </c>
      <c r="D12" s="67" t="n">
        <f aca="false">Expenses!AA7</f>
        <v>5136000</v>
      </c>
      <c r="E12" s="67" t="n">
        <f aca="false">Expenses!AN7</f>
        <v>5495520</v>
      </c>
      <c r="F12" s="67" t="n">
        <f aca="false">Expenses!BA7</f>
        <v>5880206.4</v>
      </c>
      <c r="G12" s="67" t="n">
        <f aca="false">Expenses!BN7</f>
        <v>6291820.848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3840000</v>
      </c>
      <c r="D13" s="67" t="n">
        <f aca="false">Expenses!AA8</f>
        <v>4243200</v>
      </c>
      <c r="E13" s="67" t="n">
        <f aca="false">Expenses!AN8</f>
        <v>4672512</v>
      </c>
      <c r="F13" s="67" t="n">
        <f aca="false">Expenses!BA8</f>
        <v>5129379.84</v>
      </c>
      <c r="G13" s="67" t="n">
        <f aca="false">Expenses!BN8</f>
        <v>5615321.088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Operating overheads</v>
      </c>
      <c r="C14" s="67" t="n">
        <f aca="false">Expenses!N9</f>
        <v>1200000</v>
      </c>
      <c r="D14" s="67" t="n">
        <f aca="false">Expenses!AA9</f>
        <v>1260000</v>
      </c>
      <c r="E14" s="67" t="n">
        <f aca="false">Expenses!AN9</f>
        <v>1323000</v>
      </c>
      <c r="F14" s="67" t="n">
        <f aca="false">Expenses!BA9</f>
        <v>1389150</v>
      </c>
      <c r="G14" s="67" t="n">
        <f aca="false">Expenses!BN9</f>
        <v>1458607.5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240000</v>
      </c>
      <c r="D15" s="67" t="n">
        <f aca="false">Expenses!AA10</f>
        <v>249600</v>
      </c>
      <c r="E15" s="67" t="n">
        <f aca="false">Expenses!AN10</f>
        <v>259584</v>
      </c>
      <c r="F15" s="67" t="n">
        <f aca="false">Expenses!BA10</f>
        <v>269967.36</v>
      </c>
      <c r="G15" s="67" t="n">
        <f aca="false">Expenses!BN10</f>
        <v>280766.0544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600000</v>
      </c>
      <c r="D16" s="67" t="n">
        <f aca="false">Expenses!AA11</f>
        <v>630000</v>
      </c>
      <c r="E16" s="67" t="n">
        <f aca="false">Expenses!AN11</f>
        <v>661500</v>
      </c>
      <c r="F16" s="67" t="n">
        <f aca="false">Expenses!BA11</f>
        <v>694575</v>
      </c>
      <c r="G16" s="67" t="n">
        <f aca="false">Expenses!BN11</f>
        <v>729303.75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2304000</v>
      </c>
      <c r="D17" s="67" t="n">
        <f aca="false">Expenses!AA12</f>
        <v>2570400</v>
      </c>
      <c r="E17" s="67" t="n">
        <f aca="false">Expenses!AN12</f>
        <v>2857680</v>
      </c>
      <c r="F17" s="67" t="n">
        <f aca="false">Expenses!BA12</f>
        <v>3167262</v>
      </c>
      <c r="G17" s="67" t="n">
        <f aca="false">Expenses!BN12</f>
        <v>3500658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95000</v>
      </c>
      <c r="D18" s="67" t="n">
        <f aca="false">Expenses!AA13</f>
        <v>95000</v>
      </c>
      <c r="E18" s="67" t="n">
        <f aca="false">Expenses!AN13</f>
        <v>95000</v>
      </c>
      <c r="F18" s="67" t="n">
        <f aca="false">Expenses!BA13</f>
        <v>95000</v>
      </c>
      <c r="G18" s="67" t="n">
        <f aca="false">Expenses!BN13</f>
        <v>95000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420000</v>
      </c>
      <c r="D19" s="67" t="n">
        <f aca="false">Expenses!AA14</f>
        <v>326666.666666667</v>
      </c>
      <c r="E19" s="67" t="n">
        <f aca="false">Expenses!AN14</f>
        <v>233333.333333333</v>
      </c>
      <c r="F19" s="67" t="n">
        <f aca="false">Expenses!BA14</f>
        <v>140000</v>
      </c>
      <c r="G19" s="67" t="n">
        <f aca="false">Expenses!BN14</f>
        <v>46666.6666666666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272243.835616438</v>
      </c>
      <c r="D20" s="67" t="n">
        <f aca="false">Expenses!AA15</f>
        <v>297311.671232877</v>
      </c>
      <c r="E20" s="67" t="n">
        <f aca="false">Expenses!AN15</f>
        <v>324156.269589041</v>
      </c>
      <c r="F20" s="67" t="n">
        <f aca="false">Expenses!BA15</f>
        <v>352882.169950685</v>
      </c>
      <c r="G20" s="67" t="n">
        <f aca="false">Expenses!BN15</f>
        <v>383599.250393425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13896000</v>
      </c>
      <c r="D22" s="74" t="n">
        <f aca="false">Profit!AA14</f>
        <v>15776400</v>
      </c>
      <c r="E22" s="74" t="n">
        <f aca="false">Profit!AN14</f>
        <v>17796348</v>
      </c>
      <c r="F22" s="74" t="n">
        <f aca="false">Profit!BA14</f>
        <v>19964060.52</v>
      </c>
      <c r="G22" s="74" t="n">
        <f aca="false">Profit!BN14</f>
        <v>22288154.5356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13801000</v>
      </c>
      <c r="D23" s="74" t="n">
        <f aca="false">Profit!AA16</f>
        <v>15681400</v>
      </c>
      <c r="E23" s="74" t="n">
        <f aca="false">Profit!AN16</f>
        <v>17701348</v>
      </c>
      <c r="F23" s="74" t="n">
        <f aca="false">Profit!BA16</f>
        <v>19869060.52</v>
      </c>
      <c r="G23" s="74" t="n">
        <f aca="false">Profit!BN16</f>
        <v>22193154.5356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13108756.1643836</v>
      </c>
      <c r="D24" s="74" t="n">
        <f aca="false">Profit!AA19</f>
        <v>15057421.6621005</v>
      </c>
      <c r="E24" s="74" t="n">
        <f aca="false">Profit!AN19</f>
        <v>17143858.3970776</v>
      </c>
      <c r="F24" s="74" t="n">
        <f aca="false">Profit!BA19</f>
        <v>19376178.3500493</v>
      </c>
      <c r="G24" s="74" t="n">
        <f aca="false">Profit!BN19</f>
        <v>21762888.6185399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3277189.04109589</v>
      </c>
      <c r="D25" s="67" t="n">
        <f aca="false">Profit!AA20</f>
        <v>3764355.41552511</v>
      </c>
      <c r="E25" s="67" t="n">
        <f aca="false">Profit!AN20</f>
        <v>4285964.59926941</v>
      </c>
      <c r="F25" s="67" t="n">
        <f aca="false">Profit!BA20</f>
        <v>4844044.58751233</v>
      </c>
      <c r="G25" s="67" t="n">
        <f aca="false">Profit!BN20</f>
        <v>5440722.15463498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9831567.12328767</v>
      </c>
      <c r="D26" s="74" t="n">
        <f aca="false">Profit!AA21</f>
        <v>11293066.2465753</v>
      </c>
      <c r="E26" s="74" t="n">
        <f aca="false">Profit!AN21</f>
        <v>12857893.7978082</v>
      </c>
      <c r="F26" s="74" t="n">
        <f aca="false">Profit!BA21</f>
        <v>14532133.762537</v>
      </c>
      <c r="G26" s="74" t="n">
        <f aca="false">Profit!BN21</f>
        <v>16322166.4639049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9926567.12328767</v>
      </c>
      <c r="D27" s="74" t="n">
        <f aca="false">Profit!AA22</f>
        <v>11388066.2465753</v>
      </c>
      <c r="E27" s="74" t="n">
        <f aca="false">Profit!AN22</f>
        <v>12952893.7978082</v>
      </c>
      <c r="F27" s="74" t="n">
        <f aca="false">Profit!BA22</f>
        <v>14627133.762537</v>
      </c>
      <c r="G27" s="74" t="n">
        <f aca="false">Profit!BN22</f>
        <v>16417166.4639049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46080000</v>
      </c>
      <c r="D5" s="74" t="n">
        <f aca="false">Annual_Summary!D8</f>
        <v>51408000</v>
      </c>
      <c r="E5" s="74" t="n">
        <f aca="false">Annual_Summary!E8</f>
        <v>57153600</v>
      </c>
      <c r="F5" s="74" t="n">
        <f aca="false">Annual_Summary!F8</f>
        <v>63345240</v>
      </c>
      <c r="G5" s="74" t="n">
        <f aca="false">Annual_Summary!G8</f>
        <v>70013160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Direct delivery cost</v>
      </c>
      <c r="C7" s="67" t="n">
        <f aca="false">Annual_Summary!C10</f>
        <v>11520000</v>
      </c>
      <c r="D7" s="67" t="n">
        <f aca="false">Annual_Summary!D10</f>
        <v>12974400</v>
      </c>
      <c r="E7" s="67" t="n">
        <f aca="false">Annual_Summary!E10</f>
        <v>14561856</v>
      </c>
      <c r="F7" s="67" t="n">
        <f aca="false">Annual_Summary!F10</f>
        <v>16293098.88</v>
      </c>
      <c r="G7" s="67" t="n">
        <f aca="false">Annual_Summary!G10</f>
        <v>18179668.224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Infrastructure &amp; hosting</v>
      </c>
      <c r="C8" s="67" t="n">
        <f aca="false">Annual_Summary!C11</f>
        <v>7680000</v>
      </c>
      <c r="D8" s="67" t="n">
        <f aca="false">Annual_Summary!D11</f>
        <v>8568000</v>
      </c>
      <c r="E8" s="67" t="n">
        <f aca="false">Annual_Summary!E11</f>
        <v>9525600</v>
      </c>
      <c r="F8" s="67" t="n">
        <f aca="false">Annual_Summary!F11</f>
        <v>10557540</v>
      </c>
      <c r="G8" s="67" t="n">
        <f aca="false">Annual_Summary!G11</f>
        <v>11668860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4800000</v>
      </c>
      <c r="D9" s="67" t="n">
        <f aca="false">Annual_Summary!D12</f>
        <v>5136000</v>
      </c>
      <c r="E9" s="67" t="n">
        <f aca="false">Annual_Summary!E12</f>
        <v>5495520</v>
      </c>
      <c r="F9" s="67" t="n">
        <f aca="false">Annual_Summary!F12</f>
        <v>5880206.4</v>
      </c>
      <c r="G9" s="67" t="n">
        <f aca="false">Annual_Summary!G12</f>
        <v>6291820.848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3840000</v>
      </c>
      <c r="D10" s="67" t="n">
        <f aca="false">Annual_Summary!D13</f>
        <v>4243200</v>
      </c>
      <c r="E10" s="67" t="n">
        <f aca="false">Annual_Summary!E13</f>
        <v>4672512</v>
      </c>
      <c r="F10" s="67" t="n">
        <f aca="false">Annual_Summary!F13</f>
        <v>5129379.84</v>
      </c>
      <c r="G10" s="67" t="n">
        <f aca="false">Annual_Summary!G13</f>
        <v>5615321.088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Operating overheads</v>
      </c>
      <c r="C11" s="67" t="n">
        <f aca="false">Annual_Summary!C14</f>
        <v>1200000</v>
      </c>
      <c r="D11" s="67" t="n">
        <f aca="false">Annual_Summary!D14</f>
        <v>1260000</v>
      </c>
      <c r="E11" s="67" t="n">
        <f aca="false">Annual_Summary!E14</f>
        <v>1323000</v>
      </c>
      <c r="F11" s="67" t="n">
        <f aca="false">Annual_Summary!F14</f>
        <v>1389150</v>
      </c>
      <c r="G11" s="67" t="n">
        <f aca="false">Annual_Summary!G14</f>
        <v>1458607.5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240000</v>
      </c>
      <c r="D12" s="67" t="n">
        <f aca="false">Annual_Summary!D15</f>
        <v>249600</v>
      </c>
      <c r="E12" s="67" t="n">
        <f aca="false">Annual_Summary!E15</f>
        <v>259584</v>
      </c>
      <c r="F12" s="67" t="n">
        <f aca="false">Annual_Summary!F15</f>
        <v>269967.36</v>
      </c>
      <c r="G12" s="67" t="n">
        <f aca="false">Annual_Summary!G15</f>
        <v>280766.0544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95000</v>
      </c>
      <c r="D13" s="67" t="n">
        <f aca="false">Annual_Summary!D18</f>
        <v>95000</v>
      </c>
      <c r="E13" s="67" t="n">
        <f aca="false">Annual_Summary!E18</f>
        <v>95000</v>
      </c>
      <c r="F13" s="67" t="n">
        <f aca="false">Annual_Summary!F18</f>
        <v>95000</v>
      </c>
      <c r="G13" s="67" t="n">
        <f aca="false">Annual_Summary!G18</f>
        <v>95000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29375000</v>
      </c>
      <c r="D14" s="66" t="n">
        <f aca="false">Annual_Summary!D10+Annual_Summary!D11+Annual_Summary!D12+Annual_Summary!D13+Annual_Summary!D14+Annual_Summary!D15+Annual_Summary!D18</f>
        <v>32526200</v>
      </c>
      <c r="E14" s="66" t="n">
        <f aca="false">Annual_Summary!E10+Annual_Summary!E11+Annual_Summary!E12+Annual_Summary!E13+Annual_Summary!E14+Annual_Summary!E15+Annual_Summary!E18</f>
        <v>35933072</v>
      </c>
      <c r="F14" s="66" t="n">
        <f aca="false">Annual_Summary!F10+Annual_Summary!F11+Annual_Summary!F12+Annual_Summary!F13+Annual_Summary!F14+Annual_Summary!F15+Annual_Summary!F18</f>
        <v>39614342.48</v>
      </c>
      <c r="G14" s="66" t="n">
        <f aca="false">Annual_Summary!G10+Annual_Summary!G11+Annual_Summary!G12+Annual_Summary!G13+Annual_Summary!G14+Annual_Summary!G15+Annual_Summary!G18</f>
        <v>43590043.7144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16705000</v>
      </c>
      <c r="D15" s="66" t="n">
        <f aca="false">Annual_Summary!D8-D14</f>
        <v>18881800</v>
      </c>
      <c r="E15" s="66" t="n">
        <f aca="false">Annual_Summary!E8-E14</f>
        <v>21220528</v>
      </c>
      <c r="F15" s="66" t="n">
        <f aca="false">Annual_Summary!F8-F14</f>
        <v>23730897.52</v>
      </c>
      <c r="G15" s="66" t="n">
        <f aca="false">Annual_Summary!G8-G14</f>
        <v>26423116.2856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600000</v>
      </c>
      <c r="D16" s="67" t="n">
        <f aca="false">Annual_Summary!D16</f>
        <v>630000</v>
      </c>
      <c r="E16" s="67" t="n">
        <f aca="false">Annual_Summary!E16</f>
        <v>661500</v>
      </c>
      <c r="F16" s="67" t="n">
        <f aca="false">Annual_Summary!F16</f>
        <v>694575</v>
      </c>
      <c r="G16" s="67" t="n">
        <f aca="false">Annual_Summary!G16</f>
        <v>729303.75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2304000</v>
      </c>
      <c r="D17" s="67" t="n">
        <f aca="false">Annual_Summary!D17</f>
        <v>2570400</v>
      </c>
      <c r="E17" s="67" t="n">
        <f aca="false">Annual_Summary!E17</f>
        <v>2857680</v>
      </c>
      <c r="F17" s="67" t="n">
        <f aca="false">Annual_Summary!F17</f>
        <v>3167262</v>
      </c>
      <c r="G17" s="67" t="n">
        <f aca="false">Annual_Summary!G17</f>
        <v>3500658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13801000</v>
      </c>
      <c r="D18" s="66" t="n">
        <f aca="false">D15-Annual_Summary!D16-Annual_Summary!D17</f>
        <v>15681400</v>
      </c>
      <c r="E18" s="66" t="n">
        <f aca="false">E15-Annual_Summary!E16-Annual_Summary!E17</f>
        <v>17701348</v>
      </c>
      <c r="F18" s="66" t="n">
        <f aca="false">F15-Annual_Summary!F16-Annual_Summary!F17</f>
        <v>19869060.52</v>
      </c>
      <c r="G18" s="66" t="n">
        <f aca="false">G15-Annual_Summary!G16-Annual_Summary!G17</f>
        <v>22193154.5356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420000</v>
      </c>
      <c r="D19" s="67" t="n">
        <f aca="false">Annual_Summary!D19</f>
        <v>326666.666666667</v>
      </c>
      <c r="E19" s="67" t="n">
        <f aca="false">Annual_Summary!E19</f>
        <v>233333.333333333</v>
      </c>
      <c r="F19" s="67" t="n">
        <f aca="false">Annual_Summary!F19</f>
        <v>140000</v>
      </c>
      <c r="G19" s="67" t="n">
        <f aca="false">Annual_Summary!G19</f>
        <v>46666.6666666666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272243.835616438</v>
      </c>
      <c r="D20" s="67" t="n">
        <f aca="false">Annual_Summary!D20</f>
        <v>297311.671232877</v>
      </c>
      <c r="E20" s="67" t="n">
        <f aca="false">Annual_Summary!E20</f>
        <v>324156.269589041</v>
      </c>
      <c r="F20" s="67" t="n">
        <f aca="false">Annual_Summary!F20</f>
        <v>352882.169950685</v>
      </c>
      <c r="G20" s="67" t="n">
        <f aca="false">Annual_Summary!G20</f>
        <v>383599.250393425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13108756.1643836</v>
      </c>
      <c r="D21" s="66" t="n">
        <f aca="false">D18-Annual_Summary!D19-Annual_Summary!D20</f>
        <v>15057421.6621005</v>
      </c>
      <c r="E21" s="66" t="n">
        <f aca="false">E18-Annual_Summary!E19-Annual_Summary!E20</f>
        <v>17143858.3970776</v>
      </c>
      <c r="F21" s="66" t="n">
        <f aca="false">F18-Annual_Summary!F19-Annual_Summary!F20</f>
        <v>19376178.3500493</v>
      </c>
      <c r="G21" s="66" t="n">
        <f aca="false">G18-Annual_Summary!G19-Annual_Summary!G20</f>
        <v>21762888.6185399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3277189.04109589</v>
      </c>
      <c r="D22" s="67" t="n">
        <f aca="false">Annual_Summary!D25</f>
        <v>3764355.41552511</v>
      </c>
      <c r="E22" s="67" t="n">
        <f aca="false">Annual_Summary!E25</f>
        <v>4285964.59926941</v>
      </c>
      <c r="F22" s="67" t="n">
        <f aca="false">Annual_Summary!F25</f>
        <v>4844044.58751233</v>
      </c>
      <c r="G22" s="67" t="n">
        <f aca="false">Annual_Summary!G25</f>
        <v>5440722.15463498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9831567.12328767</v>
      </c>
      <c r="D23" s="66" t="n">
        <f aca="false">D21-Annual_Summary!D25</f>
        <v>11293066.2465753</v>
      </c>
      <c r="E23" s="66" t="n">
        <f aca="false">E21-Annual_Summary!E25</f>
        <v>12857893.7978082</v>
      </c>
      <c r="F23" s="66" t="n">
        <f aca="false">F21-Annual_Summary!F25</f>
        <v>14532133.762537</v>
      </c>
      <c r="G23" s="66" t="n">
        <f aca="false">G21-Annual_Summary!G25</f>
        <v>16322166.4639049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1000000</v>
      </c>
      <c r="D6" s="67" t="n">
        <f aca="false">Assumptions!$C$9</f>
        <v>1000000</v>
      </c>
      <c r="E6" s="67" t="n">
        <f aca="false">Assumptions!$C$9</f>
        <v>1000000</v>
      </c>
      <c r="F6" s="67" t="n">
        <f aca="false">Assumptions!$C$9</f>
        <v>1000000</v>
      </c>
      <c r="G6" s="67" t="n">
        <f aca="false">Assumptions!$C$9</f>
        <v>1000000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9831567.12328767</v>
      </c>
      <c r="D7" s="67" t="n">
        <f aca="false">C7+Annual_Summary!D26</f>
        <v>21124633.369863</v>
      </c>
      <c r="E7" s="67" t="n">
        <f aca="false">D7+Annual_Summary!E26</f>
        <v>33982527.1676712</v>
      </c>
      <c r="F7" s="67" t="n">
        <f aca="false">E7+Annual_Summary!F26</f>
        <v>48514660.9302082</v>
      </c>
      <c r="G7" s="67" t="n">
        <f aca="false">F7+Annual_Summary!G26</f>
        <v>64836827.3941132</v>
      </c>
    </row>
    <row r="8" customFormat="false" ht="15" hidden="false" customHeight="true" outlineLevel="0" collapsed="false">
      <c r="B8" s="64" t="s">
        <v>392</v>
      </c>
      <c r="C8" s="66" t="n">
        <f aca="false">C6+C7</f>
        <v>10831567.1232877</v>
      </c>
      <c r="D8" s="66" t="n">
        <f aca="false">D6+D7</f>
        <v>22124633.369863</v>
      </c>
      <c r="E8" s="66" t="n">
        <f aca="false">E6+E7</f>
        <v>34982527.1676712</v>
      </c>
      <c r="F8" s="66" t="n">
        <f aca="false">F6+F7</f>
        <v>49514660.9302082</v>
      </c>
      <c r="G8" s="66" t="n">
        <f aca="false">G6+G7</f>
        <v>65836827.3941132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3111111.11111111</v>
      </c>
      <c r="D9" s="67" t="n">
        <f aca="false">Repayment!D8</f>
        <v>2222222.22222222</v>
      </c>
      <c r="E9" s="67" t="n">
        <f aca="false">Repayment!E8</f>
        <v>1333333.33333333</v>
      </c>
      <c r="F9" s="67" t="n">
        <f aca="false">Repayment!F8</f>
        <v>444444.444444444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2268698.63013699</v>
      </c>
      <c r="D10" s="67" t="n">
        <f aca="false">Form_V_MPBF!D11</f>
        <v>2477597.26027397</v>
      </c>
      <c r="E10" s="67" t="n">
        <f aca="false">Form_V_MPBF!E11</f>
        <v>2701302.24657534</v>
      </c>
      <c r="F10" s="67" t="n">
        <f aca="false">Form_V_MPBF!F11</f>
        <v>2940684.74958904</v>
      </c>
      <c r="G10" s="67" t="n">
        <f aca="false">Form_V_MPBF!G11</f>
        <v>3196660.41994521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946849.315068493</v>
      </c>
      <c r="D11" s="67" t="n">
        <f aca="false">Form_IV_CA_CL!D16</f>
        <v>1066389.04109589</v>
      </c>
      <c r="E11" s="67" t="n">
        <f aca="false">Form_IV_CA_CL!E16</f>
        <v>1196864.87671233</v>
      </c>
      <c r="F11" s="67" t="n">
        <f aca="false">Form_IV_CA_CL!F16</f>
        <v>1339158.81205479</v>
      </c>
      <c r="G11" s="67" t="n">
        <f aca="false">Form_IV_CA_CL!G16</f>
        <v>1494219.30608219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17158226.1796043</v>
      </c>
      <c r="D13" s="66" t="n">
        <f aca="false">SUM(D8:D12)</f>
        <v>27890841.8934551</v>
      </c>
      <c r="E13" s="66" t="n">
        <f aca="false">SUM(E8:E12)</f>
        <v>40214027.6242922</v>
      </c>
      <c r="F13" s="66" t="n">
        <f aca="false">SUM(F8:F12)</f>
        <v>54238948.9362965</v>
      </c>
      <c r="G13" s="66" t="n">
        <f aca="false">SUM(G8:G12)</f>
        <v>70527707.1201406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700000</v>
      </c>
      <c r="D15" s="70" t="n">
        <f aca="false">Assumptions!$C$42+Assumptions!$C$43+Assumptions!$C$45+Assumptions!$C$47</f>
        <v>700000</v>
      </c>
      <c r="E15" s="70" t="n">
        <f aca="false">Assumptions!$C$42+Assumptions!$C$43+Assumptions!$C$45+Assumptions!$C$47</f>
        <v>700000</v>
      </c>
      <c r="F15" s="70" t="n">
        <f aca="false">Assumptions!$C$42+Assumptions!$C$43+Assumptions!$C$45+Assumptions!$C$47</f>
        <v>700000</v>
      </c>
      <c r="G15" s="70" t="n">
        <f aca="false">Assumptions!$C$42+Assumptions!$C$43+Assumptions!$C$45+Assumptions!$C$47</f>
        <v>700000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95000</v>
      </c>
      <c r="D16" s="67" t="n">
        <f aca="false">C16+Annual_Summary!D18</f>
        <v>190000</v>
      </c>
      <c r="E16" s="67" t="n">
        <f aca="false">D16+Annual_Summary!E18</f>
        <v>285000</v>
      </c>
      <c r="F16" s="67" t="n">
        <f aca="false">E16+Annual_Summary!F18</f>
        <v>380000</v>
      </c>
      <c r="G16" s="67" t="n">
        <f aca="false">F16+Annual_Summary!G18</f>
        <v>475000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605000</v>
      </c>
      <c r="D17" s="66" t="n">
        <f aca="false">D15-D16</f>
        <v>510000</v>
      </c>
      <c r="E17" s="66" t="n">
        <f aca="false">E15-E16</f>
        <v>415000</v>
      </c>
      <c r="F17" s="66" t="n">
        <f aca="false">F15-F16</f>
        <v>320000</v>
      </c>
      <c r="G17" s="66" t="n">
        <f aca="false">G15-G16</f>
        <v>225000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0</v>
      </c>
      <c r="D18" s="67" t="n">
        <f aca="false">Form_IV_CA_CL!D10+Form_IV_CA_CL!D11</f>
        <v>0</v>
      </c>
      <c r="E18" s="67" t="n">
        <f aca="false">Form_IV_CA_CL!E10+Form_IV_CA_CL!E11</f>
        <v>0</v>
      </c>
      <c r="F18" s="67" t="n">
        <f aca="false">Form_IV_CA_CL!F10+Form_IV_CA_CL!F11</f>
        <v>0</v>
      </c>
      <c r="G18" s="67" t="n">
        <f aca="false">Form_IV_CA_CL!G10+Form_IV_CA_CL!G11</f>
        <v>0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3787397.26027397</v>
      </c>
      <c r="D19" s="67" t="n">
        <f aca="false">Form_IV_CA_CL!D12</f>
        <v>4225315.06849315</v>
      </c>
      <c r="E19" s="67" t="n">
        <f aca="false">Form_IV_CA_CL!E12</f>
        <v>4697556.16438356</v>
      </c>
      <c r="F19" s="67" t="n">
        <f aca="false">Form_IV_CA_CL!F12</f>
        <v>5206458.08219178</v>
      </c>
      <c r="G19" s="67" t="n">
        <f aca="false">Form_IV_CA_CL!G12</f>
        <v>5754506.30136986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12765828.9193303</v>
      </c>
      <c r="D20" s="70" t="n">
        <f aca="false">D13-(D17+D18+D19)</f>
        <v>23155526.8249619</v>
      </c>
      <c r="E20" s="70" t="n">
        <f aca="false">E13-(E17+E18+E19)</f>
        <v>35101471.4599087</v>
      </c>
      <c r="F20" s="70" t="n">
        <f aca="false">F13-(F17+F18+F19)</f>
        <v>48712490.8541047</v>
      </c>
      <c r="G20" s="70" t="n">
        <f aca="false">G13-(G17+G18+G19)</f>
        <v>64548200.8187707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17158226.1796043</v>
      </c>
      <c r="D21" s="66" t="n">
        <f aca="false">D17+D18+D19+D20</f>
        <v>27890841.8934551</v>
      </c>
      <c r="E21" s="66" t="n">
        <f aca="false">E17+E18+E19+E20</f>
        <v>40214027.6242922</v>
      </c>
      <c r="F21" s="66" t="n">
        <f aca="false">F17+F18+F19+F20</f>
        <v>54238948.9362965</v>
      </c>
      <c r="G21" s="66" t="n">
        <f aca="false">G17+G18+G19+G20</f>
        <v>70527707.1201406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29375000</v>
      </c>
      <c r="D6" s="67" t="n">
        <f aca="false">Annual_Summary!D10+Annual_Summary!D11+Annual_Summary!D12+Annual_Summary!D13+Annual_Summary!D14+Annual_Summary!D15+Annual_Summary!D18</f>
        <v>32526200</v>
      </c>
      <c r="E6" s="67" t="n">
        <f aca="false">Annual_Summary!E10+Annual_Summary!E11+Annual_Summary!E12+Annual_Summary!E13+Annual_Summary!E14+Annual_Summary!E15+Annual_Summary!E18</f>
        <v>35933072</v>
      </c>
      <c r="F6" s="67" t="n">
        <f aca="false">Annual_Summary!F10+Annual_Summary!F11+Annual_Summary!F12+Annual_Summary!F13+Annual_Summary!F14+Annual_Summary!F15+Annual_Summary!F18</f>
        <v>39614342.48</v>
      </c>
      <c r="G6" s="67" t="n">
        <f aca="false">Annual_Summary!G10+Annual_Summary!G11+Annual_Summary!G12+Annual_Summary!G13+Annual_Summary!G14+Annual_Summary!G15+Annual_Summary!G18</f>
        <v>43590043.7144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11520000</v>
      </c>
      <c r="D7" s="67" t="n">
        <f aca="false">Annual_Summary!D10</f>
        <v>12974400</v>
      </c>
      <c r="E7" s="67" t="n">
        <f aca="false">Annual_Summary!E10</f>
        <v>14561856</v>
      </c>
      <c r="F7" s="67" t="n">
        <f aca="false">Annual_Summary!F10</f>
        <v>16293098.88</v>
      </c>
      <c r="G7" s="67" t="n">
        <f aca="false">Annual_Summary!G10</f>
        <v>18179668.224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46080000</v>
      </c>
      <c r="D8" s="67" t="n">
        <f aca="false">Annual_Summary!D8</f>
        <v>51408000</v>
      </c>
      <c r="E8" s="67" t="n">
        <f aca="false">Annual_Summary!E8</f>
        <v>57153600</v>
      </c>
      <c r="F8" s="67" t="n">
        <f aca="false">Annual_Summary!F8</f>
        <v>63345240</v>
      </c>
      <c r="G8" s="67" t="n">
        <f aca="false">Annual_Summary!G8</f>
        <v>70013160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0</v>
      </c>
      <c r="D10" s="70" t="n">
        <f aca="false">D7*Assumptions!$C$50/365</f>
        <v>0</v>
      </c>
      <c r="E10" s="70" t="n">
        <f aca="false">E7*Assumptions!$C$50/365</f>
        <v>0</v>
      </c>
      <c r="F10" s="70" t="n">
        <f aca="false">F7*Assumptions!$C$50/365</f>
        <v>0</v>
      </c>
      <c r="G10" s="70" t="n">
        <f aca="false">G7*Assumptions!$C$50/365</f>
        <v>0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0</v>
      </c>
      <c r="D11" s="70" t="n">
        <f aca="false">D6*Assumptions!$C$51/365</f>
        <v>0</v>
      </c>
      <c r="E11" s="70" t="n">
        <f aca="false">E6*Assumptions!$C$51/365</f>
        <v>0</v>
      </c>
      <c r="F11" s="70" t="n">
        <f aca="false">F6*Assumptions!$C$51/365</f>
        <v>0</v>
      </c>
      <c r="G11" s="70" t="n">
        <f aca="false">G6*Assumptions!$C$51/365</f>
        <v>0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3787397.26027397</v>
      </c>
      <c r="D12" s="70" t="n">
        <f aca="false">D8*Assumptions!$C$52/365</f>
        <v>4225315.06849315</v>
      </c>
      <c r="E12" s="70" t="n">
        <f aca="false">E8*Assumptions!$C$52/365</f>
        <v>4697556.16438356</v>
      </c>
      <c r="F12" s="70" t="n">
        <f aca="false">F8*Assumptions!$C$52/365</f>
        <v>5206458.08219178</v>
      </c>
      <c r="G12" s="70" t="n">
        <f aca="false">G8*Assumptions!$C$52/365</f>
        <v>5754506.30136986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500000</v>
      </c>
      <c r="D13" s="67" t="n">
        <f aca="false">Assumptions!$C$54</f>
        <v>500000</v>
      </c>
      <c r="E13" s="67" t="n">
        <f aca="false">Assumptions!$C$54</f>
        <v>500000</v>
      </c>
      <c r="F13" s="67" t="n">
        <f aca="false">Assumptions!$C$54</f>
        <v>500000</v>
      </c>
      <c r="G13" s="67" t="n">
        <f aca="false">Assumptions!$C$54</f>
        <v>500000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4287397.26027397</v>
      </c>
      <c r="D14" s="66" t="n">
        <f aca="false">SUM(D10:D13)</f>
        <v>4725315.06849315</v>
      </c>
      <c r="E14" s="66" t="n">
        <f aca="false">SUM(E10:E13)</f>
        <v>5197556.16438356</v>
      </c>
      <c r="F14" s="66" t="n">
        <f aca="false">SUM(F10:F13)</f>
        <v>5706458.08219178</v>
      </c>
      <c r="G14" s="66" t="n">
        <f aca="false">SUM(G10:G13)</f>
        <v>6254506.30136986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946849.315068493</v>
      </c>
      <c r="D16" s="70" t="n">
        <f aca="false">D7*Assumptions!$C$53/365</f>
        <v>1066389.04109589</v>
      </c>
      <c r="E16" s="70" t="n">
        <f aca="false">E7*Assumptions!$C$53/365</f>
        <v>1196864.87671233</v>
      </c>
      <c r="F16" s="70" t="n">
        <f aca="false">F7*Assumptions!$C$53/365</f>
        <v>1339158.81205479</v>
      </c>
      <c r="G16" s="70" t="n">
        <f aca="false">G7*Assumptions!$C$53/365</f>
        <v>1494219.30608219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946849.315068493</v>
      </c>
      <c r="D18" s="66" t="n">
        <f aca="false">D16+D17</f>
        <v>1066389.04109589</v>
      </c>
      <c r="E18" s="66" t="n">
        <f aca="false">E16+E17</f>
        <v>1196864.87671233</v>
      </c>
      <c r="F18" s="66" t="n">
        <f aca="false">F16+F17</f>
        <v>1339158.81205479</v>
      </c>
      <c r="G18" s="66" t="n">
        <f aca="false">G16+G17</f>
        <v>1494219.30608219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3340547.94520548</v>
      </c>
      <c r="D19" s="66" t="n">
        <f aca="false">D14-D18</f>
        <v>3658926.02739726</v>
      </c>
      <c r="E19" s="66" t="n">
        <f aca="false">E14-E18</f>
        <v>4000691.28767123</v>
      </c>
      <c r="F19" s="66" t="n">
        <f aca="false">F14-F18</f>
        <v>4367299.27013699</v>
      </c>
      <c r="G19" s="66" t="n">
        <f aca="false">G14-G18</f>
        <v>4760286.99528767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4287397.26027397</v>
      </c>
      <c r="D5" s="74" t="n">
        <f aca="false">Form_IV_CA_CL!D14</f>
        <v>4725315.06849315</v>
      </c>
      <c r="E5" s="74" t="n">
        <f aca="false">Form_IV_CA_CL!E14</f>
        <v>5197556.16438356</v>
      </c>
      <c r="F5" s="74" t="n">
        <f aca="false">Form_IV_CA_CL!F14</f>
        <v>5706458.08219178</v>
      </c>
      <c r="G5" s="74" t="n">
        <f aca="false">Form_IV_CA_CL!G14</f>
        <v>6254506.30136986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946849.315068493</v>
      </c>
      <c r="D6" s="67" t="n">
        <f aca="false">Form_IV_CA_CL!D18</f>
        <v>1066389.04109589</v>
      </c>
      <c r="E6" s="67" t="n">
        <f aca="false">Form_IV_CA_CL!E18</f>
        <v>1196864.87671233</v>
      </c>
      <c r="F6" s="67" t="n">
        <f aca="false">Form_IV_CA_CL!F18</f>
        <v>1339158.81205479</v>
      </c>
      <c r="G6" s="67" t="n">
        <f aca="false">Form_IV_CA_CL!G18</f>
        <v>1494219.30608219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3340547.94520548</v>
      </c>
      <c r="D7" s="66" t="n">
        <f aca="false">Form_IV_CA_CL!D19</f>
        <v>3658926.02739726</v>
      </c>
      <c r="E7" s="66" t="n">
        <f aca="false">Form_IV_CA_CL!E19</f>
        <v>4000691.28767123</v>
      </c>
      <c r="F7" s="66" t="n">
        <f aca="false">Form_IV_CA_CL!F19</f>
        <v>4367299.27013699</v>
      </c>
      <c r="G7" s="66" t="n">
        <f aca="false">Form_IV_CA_CL!G19</f>
        <v>4760286.99528767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1071849.31506849</v>
      </c>
      <c r="D8" s="70" t="n">
        <f aca="false">Assumptions!$C$55*Form_IV_CA_CL!D14</f>
        <v>1181328.76712329</v>
      </c>
      <c r="E8" s="70" t="n">
        <f aca="false">Assumptions!$C$55*Form_IV_CA_CL!E14</f>
        <v>1299389.04109589</v>
      </c>
      <c r="F8" s="70" t="n">
        <f aca="false">Assumptions!$C$55*Form_IV_CA_CL!F14</f>
        <v>1426614.52054795</v>
      </c>
      <c r="G8" s="70" t="n">
        <f aca="false">Assumptions!$C$55*Form_IV_CA_CL!G14</f>
        <v>1563626.57534247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2505410.95890411</v>
      </c>
      <c r="D9" s="70" t="n">
        <f aca="false">MAX(0,Form_IV_CA_CL!D19*(1-Assumptions!$C$55))</f>
        <v>2744194.52054795</v>
      </c>
      <c r="E9" s="70" t="n">
        <f aca="false">MAX(0,Form_IV_CA_CL!E19*(1-Assumptions!$C$55))</f>
        <v>3000518.46575342</v>
      </c>
      <c r="F9" s="70" t="n">
        <f aca="false">MAX(0,Form_IV_CA_CL!F19*(1-Assumptions!$C$55))</f>
        <v>3275474.45260274</v>
      </c>
      <c r="G9" s="70" t="n">
        <f aca="false">MAX(0,Form_IV_CA_CL!G19*(1-Assumptions!$C$55))</f>
        <v>3570215.24646575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2268698.63013699</v>
      </c>
      <c r="D10" s="70" t="n">
        <f aca="false">MAX(0,Form_IV_CA_CL!D14*(1-Assumptions!$C$55)-Form_IV_CA_CL!D18)</f>
        <v>2477597.26027397</v>
      </c>
      <c r="E10" s="70" t="n">
        <f aca="false">MAX(0,Form_IV_CA_CL!E14*(1-Assumptions!$C$55)-Form_IV_CA_CL!E18)</f>
        <v>2701302.24657534</v>
      </c>
      <c r="F10" s="70" t="n">
        <f aca="false">MAX(0,Form_IV_CA_CL!F14*(1-Assumptions!$C$55)-Form_IV_CA_CL!F18)</f>
        <v>2940684.74958904</v>
      </c>
      <c r="G10" s="70" t="n">
        <f aca="false">MAX(0,Form_IV_CA_CL!G14*(1-Assumptions!$C$55)-Form_IV_CA_CL!G18)</f>
        <v>3196660.41994521</v>
      </c>
    </row>
    <row r="11" customFormat="false" ht="15" hidden="false" customHeight="true" outlineLevel="0" collapsed="false">
      <c r="B11" s="64" t="s">
        <v>427</v>
      </c>
      <c r="C11" s="66" t="n">
        <f aca="false">C10</f>
        <v>2268698.63013699</v>
      </c>
      <c r="D11" s="66" t="n">
        <f aca="false">D10</f>
        <v>2477597.26027397</v>
      </c>
      <c r="E11" s="66" t="n">
        <f aca="false">E10</f>
        <v>2701302.24657534</v>
      </c>
      <c r="F11" s="66" t="n">
        <f aca="false">F10</f>
        <v>2940684.74958904</v>
      </c>
      <c r="G11" s="66" t="n">
        <f aca="false">G10</f>
        <v>3196660.41994521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9926567.12328767</v>
      </c>
      <c r="D6" s="67" t="n">
        <f aca="false">Annual_Summary!D27</f>
        <v>11388066.2465753</v>
      </c>
      <c r="E6" s="67" t="n">
        <f aca="false">Annual_Summary!E27</f>
        <v>12952893.7978082</v>
      </c>
      <c r="F6" s="67" t="n">
        <f aca="false">Annual_Summary!F27</f>
        <v>14627133.762537</v>
      </c>
      <c r="G6" s="67" t="n">
        <f aca="false">Annual_Summary!G27</f>
        <v>16417166.4639049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1000000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4000000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2268698.63013699</v>
      </c>
      <c r="D9" s="70" t="n">
        <f aca="false">(Form_V_MPBF!D11-Form_V_MPBF!C11)</f>
        <v>208898.630136987</v>
      </c>
      <c r="E9" s="70" t="n">
        <f aca="false">(Form_V_MPBF!E11-Form_V_MPBF!D11)</f>
        <v>223704.986301369</v>
      </c>
      <c r="F9" s="70" t="n">
        <f aca="false">(Form_V_MPBF!F11-Form_V_MPBF!E11)</f>
        <v>239382.503013699</v>
      </c>
      <c r="G9" s="70" t="n">
        <f aca="false">(Form_V_MPBF!G11-Form_V_MPBF!F11)</f>
        <v>255975.670356164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946849.315068493</v>
      </c>
      <c r="D10" s="70" t="n">
        <f aca="false">(Form_IV_CA_CL!D16-Form_IV_CA_CL!C16)</f>
        <v>119539.726027397</v>
      </c>
      <c r="E10" s="70" t="n">
        <f aca="false">(Form_IV_CA_CL!E16-Form_IV_CA_CL!D16)</f>
        <v>130475.835616439</v>
      </c>
      <c r="F10" s="70" t="n">
        <f aca="false">(Form_IV_CA_CL!F16-Form_IV_CA_CL!E16)</f>
        <v>142293.935342466</v>
      </c>
      <c r="G10" s="70" t="n">
        <f aca="false">(Form_IV_CA_CL!G16-Form_IV_CA_CL!F16)</f>
        <v>155060.494027398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18142115.0684932</v>
      </c>
      <c r="D11" s="66" t="n">
        <f aca="false">SUM(D6:D10)</f>
        <v>11716504.6027397</v>
      </c>
      <c r="E11" s="66" t="n">
        <f aca="false">SUM(E6:E10)</f>
        <v>13307074.619726</v>
      </c>
      <c r="F11" s="66" t="n">
        <f aca="false">SUM(F6:F10)</f>
        <v>15008810.2008932</v>
      </c>
      <c r="G11" s="66" t="n">
        <f aca="false">SUM(G6:G10)</f>
        <v>16828202.6282885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700000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888888.888888889</v>
      </c>
      <c r="D14" s="67" t="n">
        <f aca="false">Repayment!D7</f>
        <v>888888.888888889</v>
      </c>
      <c r="E14" s="67" t="n">
        <f aca="false">Repayment!E7</f>
        <v>888888.888888889</v>
      </c>
      <c r="F14" s="67" t="n">
        <f aca="false">Repayment!F7</f>
        <v>888888.888888889</v>
      </c>
      <c r="G14" s="67" t="n">
        <f aca="false">Repayment!G7</f>
        <v>444444.444444444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16553226.1796043</v>
      </c>
      <c r="D15" s="70" t="n">
        <f aca="false">((Form_III_BalanceSheet!D18+Form_III_BalanceSheet!D19+Form_III_BalanceSheet!D20)-(Form_III_BalanceSheet!C18+Form_III_BalanceSheet!C19+Form_III_BalanceSheet!C20))</f>
        <v>10827615.7138508</v>
      </c>
      <c r="E15" s="70" t="n">
        <f aca="false">((Form_III_BalanceSheet!E18+Form_III_BalanceSheet!E19+Form_III_BalanceSheet!E20)-(Form_III_BalanceSheet!D18+Form_III_BalanceSheet!D19+Form_III_BalanceSheet!D20))</f>
        <v>12418185.7308371</v>
      </c>
      <c r="F15" s="70" t="n">
        <f aca="false">((Form_III_BalanceSheet!F18+Form_III_BalanceSheet!F19+Form_III_BalanceSheet!F20)-(Form_III_BalanceSheet!E18+Form_III_BalanceSheet!E19+Form_III_BalanceSheet!E20))</f>
        <v>14119921.3120043</v>
      </c>
      <c r="G15" s="70" t="n">
        <f aca="false">((Form_III_BalanceSheet!G18+Form_III_BalanceSheet!G19+Form_III_BalanceSheet!G20)-(Form_III_BalanceSheet!F18+Form_III_BalanceSheet!F19+Form_III_BalanceSheet!F20))</f>
        <v>16383758.183844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18142115.0684932</v>
      </c>
      <c r="D16" s="66" t="n">
        <f aca="false">SUM(D13:D15)</f>
        <v>11716504.6027397</v>
      </c>
      <c r="E16" s="66" t="n">
        <f aca="false">SUM(E13:E15)</f>
        <v>13307074.619726</v>
      </c>
      <c r="F16" s="66" t="n">
        <f aca="false">SUM(F13:F15)</f>
        <v>15008810.2008932</v>
      </c>
      <c r="G16" s="66" t="n">
        <f aca="false">SUM(G13:G15)</f>
        <v>16828202.6282885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4000000</v>
      </c>
      <c r="D5" s="70" t="n">
        <f aca="false">C8</f>
        <v>3111111.11111111</v>
      </c>
      <c r="E5" s="70" t="n">
        <f aca="false">D8</f>
        <v>2222222.22222222</v>
      </c>
      <c r="F5" s="70" t="n">
        <f aca="false">E8</f>
        <v>1333333.33333333</v>
      </c>
      <c r="G5" s="70" t="n">
        <f aca="false">F8</f>
        <v>444444.444444444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420000</v>
      </c>
      <c r="D6" s="70" t="n">
        <f aca="false">D5*Assumptions!$C$10</f>
        <v>326666.666666667</v>
      </c>
      <c r="E6" s="70" t="n">
        <f aca="false">E5*Assumptions!$C$10</f>
        <v>233333.333333333</v>
      </c>
      <c r="F6" s="70" t="n">
        <f aca="false">F5*Assumptions!$C$10</f>
        <v>140000</v>
      </c>
      <c r="G6" s="70" t="n">
        <f aca="false">G5*Assumptions!$C$10</f>
        <v>46666.6666666666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888888.888888889</v>
      </c>
      <c r="D7" s="70" t="n">
        <f aca="false">IF(2&lt;=Assumptions!$C$12/12,0,MIN(D5,IFERROR(Assumptions!$C$8/(Assumptions!$C$11/12-Assumptions!$C$12/12),0)))</f>
        <v>888888.888888889</v>
      </c>
      <c r="E7" s="70" t="n">
        <f aca="false">IF(3&lt;=Assumptions!$C$12/12,0,MIN(E5,IFERROR(Assumptions!$C$8/(Assumptions!$C$11/12-Assumptions!$C$12/12),0)))</f>
        <v>888888.888888889</v>
      </c>
      <c r="F7" s="70" t="n">
        <f aca="false">IF(4&lt;=Assumptions!$C$12/12,0,MIN(F5,IFERROR(Assumptions!$C$8/(Assumptions!$C$11/12-Assumptions!$C$12/12),0)))</f>
        <v>888888.888888889</v>
      </c>
      <c r="G7" s="70" t="n">
        <f aca="false">IF(5&lt;=Assumptions!$C$12/12,0,MIN(G5,IFERROR(Assumptions!$C$8/(Assumptions!$C$11/12-Assumptions!$C$12/12),0)))</f>
        <v>444444.444444444</v>
      </c>
    </row>
    <row r="8" customFormat="false" ht="15" hidden="false" customHeight="true" outlineLevel="0" collapsed="false">
      <c r="B8" s="64" t="s">
        <v>448</v>
      </c>
      <c r="C8" s="66" t="n">
        <f aca="false">C5-C7</f>
        <v>3111111.11111111</v>
      </c>
      <c r="D8" s="66" t="n">
        <f aca="false">D5-D7</f>
        <v>2222222.22222222</v>
      </c>
      <c r="E8" s="66" t="n">
        <f aca="false">E5-E7</f>
        <v>1333333.33333333</v>
      </c>
      <c r="F8" s="66" t="n">
        <f aca="false">F5-F7</f>
        <v>444444.444444444</v>
      </c>
      <c r="G8" s="66" t="n">
        <f aca="false">G5-G7</f>
        <v>0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9831567.12328767</v>
      </c>
      <c r="D6" s="67" t="n">
        <f aca="false">Annual_Summary!D26</f>
        <v>11293066.2465753</v>
      </c>
      <c r="E6" s="67" t="n">
        <f aca="false">Annual_Summary!E26</f>
        <v>12857893.7978082</v>
      </c>
      <c r="F6" s="67" t="n">
        <f aca="false">Annual_Summary!F26</f>
        <v>14532133.762537</v>
      </c>
      <c r="G6" s="67" t="n">
        <f aca="false">Annual_Summary!G26</f>
        <v>16322166.4639049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95000</v>
      </c>
      <c r="D7" s="67" t="n">
        <f aca="false">Annual_Summary!D18</f>
        <v>95000</v>
      </c>
      <c r="E7" s="67" t="n">
        <f aca="false">Annual_Summary!E18</f>
        <v>95000</v>
      </c>
      <c r="F7" s="67" t="n">
        <f aca="false">Annual_Summary!F18</f>
        <v>95000</v>
      </c>
      <c r="G7" s="67" t="n">
        <f aca="false">Annual_Summary!G18</f>
        <v>95000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420000</v>
      </c>
      <c r="D8" s="67" t="n">
        <f aca="false">Repayment!D6</f>
        <v>326666.666666667</v>
      </c>
      <c r="E8" s="67" t="n">
        <f aca="false">Repayment!E6</f>
        <v>233333.333333333</v>
      </c>
      <c r="F8" s="67" t="n">
        <f aca="false">Repayment!F6</f>
        <v>140000</v>
      </c>
      <c r="G8" s="67" t="n">
        <f aca="false">Repayment!G6</f>
        <v>46666.6666666666</v>
      </c>
    </row>
    <row r="9" customFormat="false" ht="15" hidden="false" customHeight="true" outlineLevel="0" collapsed="false">
      <c r="B9" s="64" t="s">
        <v>456</v>
      </c>
      <c r="C9" s="66" t="n">
        <f aca="false">C6+C7+C8</f>
        <v>10346567.1232877</v>
      </c>
      <c r="D9" s="66" t="n">
        <f aca="false">D6+D7+D8</f>
        <v>11714732.913242</v>
      </c>
      <c r="E9" s="66" t="n">
        <f aca="false">E6+E7+E8</f>
        <v>13186227.1311415</v>
      </c>
      <c r="F9" s="66" t="n">
        <f aca="false">F6+F7+F8</f>
        <v>14767133.762537</v>
      </c>
      <c r="G9" s="66" t="n">
        <f aca="false">G6+G7+G8</f>
        <v>16463833.1305716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888888.888888889</v>
      </c>
      <c r="D11" s="67" t="n">
        <f aca="false">Repayment!D7</f>
        <v>888888.888888889</v>
      </c>
      <c r="E11" s="67" t="n">
        <f aca="false">Repayment!E7</f>
        <v>888888.888888889</v>
      </c>
      <c r="F11" s="67" t="n">
        <f aca="false">Repayment!F7</f>
        <v>888888.888888889</v>
      </c>
      <c r="G11" s="67" t="n">
        <f aca="false">Repayment!G7</f>
        <v>444444.444444444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420000</v>
      </c>
      <c r="D12" s="67" t="n">
        <f aca="false">Repayment!D6</f>
        <v>326666.666666667</v>
      </c>
      <c r="E12" s="67" t="n">
        <f aca="false">Repayment!E6</f>
        <v>233333.333333333</v>
      </c>
      <c r="F12" s="67" t="n">
        <f aca="false">Repayment!F6</f>
        <v>140000</v>
      </c>
      <c r="G12" s="67" t="n">
        <f aca="false">Repayment!G6</f>
        <v>46666.6666666666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1308888.88888889</v>
      </c>
      <c r="D13" s="66" t="n">
        <f aca="false">D11+D12</f>
        <v>1215555.55555556</v>
      </c>
      <c r="E13" s="66" t="n">
        <f aca="false">E11+E12</f>
        <v>1122222.22222222</v>
      </c>
      <c r="F13" s="66" t="n">
        <f aca="false">F11+F12</f>
        <v>1028888.88888889</v>
      </c>
      <c r="G13" s="66" t="n">
        <f aca="false">G11+G12</f>
        <v>491111.111111111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7.90484754750331</v>
      </c>
      <c r="D14" s="77" t="n">
        <f aca="false">IFERROR(D9/D13,0)</f>
        <v>9.63734883173474</v>
      </c>
      <c r="E14" s="77" t="n">
        <f aca="false">IFERROR(E9/E13,0)</f>
        <v>11.7501033841855</v>
      </c>
      <c r="F14" s="77" t="n">
        <f aca="false">IFERROR(F9/F13,0)</f>
        <v>14.3525058167206</v>
      </c>
      <c r="G14" s="77" t="n">
        <f aca="false">IFERROR(G9/G13,0)</f>
        <v>33.5236421210734</v>
      </c>
      <c r="H14" s="77" t="n">
        <f aca="false">IFERROR(AVERAGE(C14:G14),0)</f>
        <v>15.4336895402435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5.1478710508067</v>
      </c>
      <c r="D6" s="77" t="n">
        <f aca="false">IFERROR((Form_III_BalanceSheet!D18+Form_III_BalanceSheet!D19+Form_III_BalanceSheet!D20)/(Form_III_BalanceSheet!D11+Form_III_BalanceSheet!D12+Form_III_BalanceSheet!D10),0)</f>
        <v>7.72600105222515</v>
      </c>
      <c r="E6" s="77" t="n">
        <f aca="false">IFERROR((Form_III_BalanceSheet!E18+Form_III_BalanceSheet!E19+Form_III_BalanceSheet!E20)/(Form_III_BalanceSheet!E11+Form_III_BalanceSheet!E12+Form_III_BalanceSheet!E10),0)</f>
        <v>10.2096771035117</v>
      </c>
      <c r="F6" s="77" t="n">
        <f aca="false">IFERROR((Form_III_BalanceSheet!F18+Form_III_BalanceSheet!F19+Form_III_BalanceSheet!F20)/(Form_III_BalanceSheet!F11+Form_III_BalanceSheet!F12+Form_III_BalanceSheet!F10),0)</f>
        <v>12.5983457478495</v>
      </c>
      <c r="G6" s="77" t="n">
        <f aca="false">IFERROR((Form_III_BalanceSheet!G18+Form_III_BalanceSheet!G19+Form_III_BalanceSheet!G20)/(Form_III_BalanceSheet!G11+Form_III_BalanceSheet!G12+Form_III_BalanceSheet!G10),0)</f>
        <v>14.9871050263909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0.496678798184393</v>
      </c>
      <c r="D7" s="78" t="n">
        <f aca="false">IFERROR((Form_III_BalanceSheet!D9+Form_III_BalanceSheet!D10)/Form_III_BalanceSheet!D8,0)</f>
        <v>0.212424739607122</v>
      </c>
      <c r="E7" s="78" t="n">
        <f aca="false">IFERROR((Form_III_BalanceSheet!E9+Form_III_BalanceSheet!E10)/Form_III_BalanceSheet!E8,0)</f>
        <v>0.115332879199112</v>
      </c>
      <c r="F7" s="78" t="n">
        <f aca="false">IFERROR((Form_III_BalanceSheet!F9+Form_III_BalanceSheet!F10)/Form_III_BalanceSheet!F8,0)</f>
        <v>0.0683661996353946</v>
      </c>
      <c r="G7" s="78" t="n">
        <f aca="false">IFERROR((Form_III_BalanceSheet!G9+Form_III_BalanceSheet!G10)/Form_III_BalanceSheet!G8,0)</f>
        <v>0.0485542901514577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0.584094525224738</v>
      </c>
      <c r="D8" s="78" t="n">
        <f aca="false">IFERROR((Form_III_BalanceSheet!D9+Form_III_BalanceSheet!D10+Form_III_BalanceSheet!D11+Form_III_BalanceSheet!D12)/Form_III_BalanceSheet!D8,0)</f>
        <v>0.260623913047369</v>
      </c>
      <c r="E8" s="78" t="n">
        <f aca="false">IFERROR((Form_III_BalanceSheet!E9+Form_III_BalanceSheet!E10+Form_III_BalanceSheet!E11+Form_III_BalanceSheet!E12)/Form_III_BalanceSheet!E8,0)</f>
        <v>0.149546098586487</v>
      </c>
      <c r="F8" s="78" t="n">
        <f aca="false">IFERROR((Form_III_BalanceSheet!F9+Form_III_BalanceSheet!F10+Form_III_BalanceSheet!F11+Form_III_BalanceSheet!F12)/Form_III_BalanceSheet!F8,0)</f>
        <v>0.0954119026028926</v>
      </c>
      <c r="G8" s="78" t="n">
        <f aca="false">IFERROR((Form_III_BalanceSheet!G9+Form_III_BalanceSheet!G10+Form_III_BalanceSheet!G11+Form_III_BalanceSheet!G12)/Form_III_BalanceSheet!G8,0)</f>
        <v>0.0712500877046642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0.3015625</v>
      </c>
      <c r="D10" s="79" t="n">
        <f aca="false">IFERROR(Annual_Summary!D22/Annual_Summary!D8,0)</f>
        <v>0.306886087768441</v>
      </c>
      <c r="E10" s="79" t="n">
        <f aca="false">IFERROR(Annual_Summary!E22/Annual_Summary!E8,0)</f>
        <v>0.311377551020408</v>
      </c>
      <c r="F10" s="79" t="n">
        <f aca="false">IFERROR(Annual_Summary!F22/Annual_Summary!F8,0)</f>
        <v>0.315162757612095</v>
      </c>
      <c r="G10" s="79" t="n">
        <f aca="false">IFERROR(Annual_Summary!G22/Annual_Summary!G8,0)</f>
        <v>0.318342359287882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0.21335866152968</v>
      </c>
      <c r="D11" s="79" t="n">
        <f aca="false">IFERROR(Annual_Summary!D26/Annual_Summary!D8,0)</f>
        <v>0.219675269346704</v>
      </c>
      <c r="E11" s="79" t="n">
        <f aca="false">IFERROR(Annual_Summary!E26/Annual_Summary!E8,0)</f>
        <v>0.224970846942419</v>
      </c>
      <c r="F11" s="79" t="n">
        <f aca="false">IFERROR(Annual_Summary!F26/Annual_Summary!F8,0)</f>
        <v>0.229411614235529</v>
      </c>
      <c r="G11" s="79" t="n">
        <f aca="false">IFERROR(Annual_Summary!G26/Annual_Summary!G8,0)</f>
        <v>0.233129978191313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0.989838520833878</v>
      </c>
      <c r="D12" s="79" t="n">
        <f aca="false">IFERROR(Annual_Summary!D23/(Form_III_BalanceSheet!D8+Form_III_BalanceSheet!D9),0)</f>
        <v>0.644083172904585</v>
      </c>
      <c r="E12" s="79" t="n">
        <f aca="false">IFERROR(Annual_Summary!E23/(Form_III_BalanceSheet!E8+Form_III_BalanceSheet!E9),0)</f>
        <v>0.48742746986569</v>
      </c>
      <c r="F12" s="79" t="n">
        <f aca="false">IFERROR(Annual_Summary!F23/(Form_III_BalanceSheet!F8+Form_III_BalanceSheet!F9),0)</f>
        <v>0.397706491559411</v>
      </c>
      <c r="G12" s="79" t="n">
        <f aca="false">IFERROR(Annual_Summary!G23/(Form_III_BalanceSheet!G8+Form_III_BalanceSheet!G9),0)</f>
        <v>0.337093317130048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19.9366166803209</v>
      </c>
      <c r="D14" s="78" t="n">
        <f aca="false">IFERROR(Annual_Summary!D23/(Annual_Summary!D19+Annual_Summary!D20),0)</f>
        <v>25.1313211493643</v>
      </c>
      <c r="E14" s="78" t="n">
        <f aca="false">IFERROR(Annual_Summary!E23/(Annual_Summary!E19+Annual_Summary!E20),0)</f>
        <v>31.75188901678</v>
      </c>
      <c r="F14" s="78" t="n">
        <f aca="false">IFERROR(Annual_Summary!F23/(Annual_Summary!F19+Annual_Summary!F20),0)</f>
        <v>40.3119888106076</v>
      </c>
      <c r="G14" s="78" t="n">
        <f aca="false">IFERROR(Annual_Summary!G23/(Annual_Summary!G19+Annual_Summary!G20),0)</f>
        <v>51.5800895577339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7.90484754750331</v>
      </c>
      <c r="D15" s="80" t="n">
        <f aca="false">DSCR!D14</f>
        <v>9.63734883173474</v>
      </c>
      <c r="E15" s="80" t="n">
        <f aca="false">DSCR!E14</f>
        <v>11.7501033841855</v>
      </c>
      <c r="F15" s="80" t="n">
        <f aca="false">DSCR!F14</f>
        <v>14.3525058167206</v>
      </c>
      <c r="G15" s="80" t="n">
        <f aca="false">DSCR!G14</f>
        <v>33.5236421210734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0.367826188060206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0.346806278756704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0.328638368482302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0.312851750807645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0.299071401350982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