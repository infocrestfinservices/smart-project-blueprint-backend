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<sst xmlns="http://schemas.openxmlformats.org/spreadsheetml/2006/main" count="828" uniqueCount="468">
  <si>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</si>
  <si>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</si>
  <si>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</si>
  <si>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</si>
  <si>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</si>
  <si>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</si>
  <si>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</si>
  <si>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</si>
  <si>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</si>
  <si>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</si>
  <si>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</si>
  <si>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</si>
  <si>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</si>
  <si>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</si>
  <si>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</si>
  <si>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</si>
  <si>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</si>
  <si>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</si>
  <si>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</si>
  <si>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</si>
  <si>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</si>
  <si>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</si>
  <si>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</si>
  <si>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</si>
  <si>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</si>
  <si>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</si>
  <si>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</si>
  <si>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</si>
  <si>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</si>
  <si>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</si>
  <si>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</si>
  <si>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</si>
  <si>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</si>
  <si>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</si>
  <si>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</si>
  <si>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</si>
  <si>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</si>
  <si>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</si>
  <si>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</si>
  <si>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</si>
  <si>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</si>
  <si>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</si>
  <si>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</si>
  <si>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</si>
  <si>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</si>
  <si>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</si>
  <si>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</si>
  <si>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</si>
  <si>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</si>
  <si>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</si>
  <si>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</si>
  <si>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</si>
  <si>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</si>
  <si>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</si>
  <si>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</si>
  <si>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</si>
  <si>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</si>
  <si>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</si>
  <si>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</si>
  <si>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</si>
  <si>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</si>
  <si>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</si>
  <si>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</si>
  <si>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</si>
  <si>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</si>
  <si>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</si>
  <si>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</si>
  <si>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</si>
  <si>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</si>
  <si>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</si>
  <si>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</si>
  <si>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</si>
  <si>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</si>
  <si>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</si>
  <si>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</si>
  <si>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</si>
  <si>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</si>
  <si>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</si>
  <si>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INDUSTRY / BUSINESS TYPE  →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</si>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</sst>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10800000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12285000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13891500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15627937.5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17503290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2064000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2541900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3074184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3665503.41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4320852.6354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1275503.42465753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1665218.51369863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2095457.39849315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2569692.39498699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3091652.13265589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3382272"/>
        <c:axId val="95552350"/>
      </c:lineChart>
      <c:catAx>
        <c:axId val="73382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552350"/>
        <c:crosses val="autoZero"/>
        <c:auto val="1"/>
        <c:lblAlgn val="ctr"/>
        <c:lblOffset val="100"/>
        <c:noMultiLvlLbl val="0"/>
      </c:catAx>
      <c:valAx>
        <c:axId val="955523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38227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2.4303108356397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3.18134673186246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4.12952803691849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5.33525519543907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13.1130629836665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7222096"/>
        <c:axId val="16697061"/>
      </c:lineChart>
      <c:catAx>
        <c:axId val="372220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697061"/>
        <c:crosses val="autoZero"/>
        <c:auto val="1"/>
        <c:lblAlgn val="ctr"/>
        <c:lblOffset val="100"/>
        <c:noMultiLvlLbl val="0"/>
      </c:catAx>
      <c:valAx>
        <c:axId val="166970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222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4.9400553963054</c:v>
                </c:pt>
                <c:pt idx="1">
                  <c:v>1.10295212861145</c:v>
                </c:pt>
                <c:pt idx="2">
                  <c:v>0.191111111111111</c:v>
                </c:pt>
                <c:pt idx="3">
                  <c:v>0.118102168949772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11.9077939379892</c:v>
                </c:pt>
                <c:pt idx="1">
                  <c:v>0.052330362926974</c:v>
                </c:pt>
                <c:pt idx="2">
                  <c:v>0.246859455302403</c:v>
                </c:pt>
                <c:pt idx="3">
                  <c:v>0.176632629217472</c:v>
                </c:pt>
              </c:numCache>
            </c:numRef>
          </c:val>
        </c:ser>
        <c:gapWidth val="60"/>
        <c:overlap val="0"/>
        <c:axId val="26613688"/>
        <c:axId val="6044859"/>
      </c:barChart>
      <c:catAx>
        <c:axId val="26613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044859"/>
        <c:crosses val="autoZero"/>
        <c:auto val="1"/>
        <c:lblAlgn val="ctr"/>
        <c:lblOffset val="100"/>
        <c:noMultiLvlLbl val="0"/>
      </c:catAx>
      <c:valAx>
        <c:axId val="60448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6136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Raw materials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Factory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6480000</c:v>
                </c:pt>
                <c:pt idx="1">
                  <c:v>360000</c:v>
                </c:pt>
                <c:pt idx="2">
                  <c:v>720000</c:v>
                </c:pt>
                <c:pt idx="3">
                  <c:v>360000</c:v>
                </c:pt>
                <c:pt idx="4">
                  <c:v>360000</c:v>
                </c:pt>
                <c:pt idx="5">
                  <c:v>60000</c:v>
                </c:pt>
                <c:pt idx="6">
                  <c:v>180000</c:v>
                </c:pt>
                <c:pt idx="7">
                  <c:v>216000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5</c:v>
                </c:pt>
                <c:pt idx="3">
                  <c:v>15</c:v>
                </c:pt>
              </c:numCache>
            </c:numRef>
          </c:val>
        </c:ser>
        <c:gapWidth val="150"/>
        <c:overlap val="0"/>
        <c:axId val="8753357"/>
        <c:axId val="542335"/>
      </c:barChart>
      <c:catAx>
        <c:axId val="87533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2335"/>
        <c:crosses val="autoZero"/>
        <c:auto val="1"/>
        <c:lblAlgn val="ctr"/>
        <c:lblOffset val="100"/>
        <c:noMultiLvlLbl val="0"/>
      </c:catAx>
      <c:valAx>
        <c:axId val="5423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533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n">
        <f aca="false">Assumptions!C5</f>
        <v>0</v>
      </c>
    </row>
    <row r="6" customFormat="false" ht="15" hidden="false" customHeight="true" outlineLevel="0" collapsed="false">
      <c r="B6" s="4" t="s">
        <v>3</v>
      </c>
      <c r="C6" s="5" t="n">
        <f aca="false">Assumptions!C6</f>
        <v>0</v>
      </c>
    </row>
    <row r="7" customFormat="false" ht="15" hidden="false" customHeight="true" outlineLevel="0" collapsed="false">
      <c r="B7" s="4" t="s">
        <v>4</v>
      </c>
      <c r="C7" s="5" t="n">
        <f aca="false">Assumptions!C7</f>
        <v>0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2000000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500000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2000000</v>
      </c>
      <c r="C7" s="22"/>
      <c r="D7" s="22"/>
      <c r="F7" s="23" t="n">
        <f aca="false">Assumptions!C9</f>
        <v>500000</v>
      </c>
      <c r="G7" s="23"/>
      <c r="H7" s="23"/>
      <c r="J7" s="24" t="n">
        <f aca="false">DSCR!H14</f>
        <v>5.63790075670525</v>
      </c>
      <c r="K7" s="24"/>
      <c r="L7" s="24"/>
      <c r="N7" s="25" t="n">
        <f aca="false">Assumptions!C11</f>
        <v>60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0.191111111111111</v>
      </c>
      <c r="C12" s="28"/>
      <c r="D12" s="28"/>
      <c r="F12" s="29" t="n">
        <f aca="false">Ratios!C11</f>
        <v>0.118102168949772</v>
      </c>
      <c r="G12" s="29"/>
      <c r="H12" s="29"/>
      <c r="J12" s="30" t="n">
        <f aca="false">Ratios!C16</f>
        <v>0.497437578937142</v>
      </c>
      <c r="K12" s="30"/>
      <c r="L12" s="30"/>
      <c r="N12" s="31" t="n">
        <f aca="false">Ratios!C6</f>
        <v>4.9400553963054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10800000</v>
      </c>
      <c r="C56" s="34"/>
      <c r="D56" s="34"/>
      <c r="F56" s="35" t="n">
        <f aca="false">INDEX(Annual_Summary!C22:G22,1,$D$52)</f>
        <v>2064000</v>
      </c>
      <c r="G56" s="35"/>
      <c r="H56" s="35"/>
      <c r="J56" s="36" t="n">
        <f aca="false">INDEX(Annual_Summary!C26:G26,1,$D$52)</f>
        <v>1275503.42465753</v>
      </c>
      <c r="K56" s="36"/>
      <c r="L56" s="36"/>
      <c r="N56" s="37" t="n">
        <f aca="false">INDEX(DSCR!C14:G14,1,$D$52)</f>
        <v>2.4303108356397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30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5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15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4.9400553963054</v>
      </c>
      <c r="D97" s="40" t="n">
        <f aca="false">Ratios!G6</f>
        <v>11.9077939379892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1.10295212861145</v>
      </c>
      <c r="D98" s="40" t="n">
        <f aca="false">Ratios!G7</f>
        <v>0.052330362926974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0.191111111111111</v>
      </c>
      <c r="D99" s="41" t="n">
        <f aca="false">Ratios!G10</f>
        <v>0.246859455302403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0.118102168949772</v>
      </c>
      <c r="D100" s="41" t="n">
        <f aca="false">Ratios!G11</f>
        <v>0.176632629217472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/>
      <c r="H5" s="47"/>
      <c r="I5" s="48" t="s">
        <v>78</v>
      </c>
      <c r="J5" s="49"/>
      <c r="S5" s="1" t="s">
        <v>79</v>
      </c>
      <c r="T5" s="1" t="s">
        <v>80</v>
      </c>
      <c r="U5" s="1" t="s">
        <v>81</v>
      </c>
      <c r="V5" s="1" t="s">
        <v>82</v>
      </c>
      <c r="W5" s="1" t="s">
        <v>83</v>
      </c>
      <c r="X5" s="1" t="s">
        <v>84</v>
      </c>
      <c r="Y5" s="1" t="s">
        <v>85</v>
      </c>
      <c r="Z5" s="1" t="s">
        <v>86</v>
      </c>
    </row>
    <row r="6" customFormat="false" ht="15" hidden="false" customHeight="true" outlineLevel="0" collapsed="false">
      <c r="B6" s="7" t="s">
        <v>87</v>
      </c>
      <c r="C6" s="46"/>
      <c r="H6" s="47"/>
      <c r="S6" s="1" t="s">
        <v>88</v>
      </c>
      <c r="T6" s="1" t="s">
        <v>89</v>
      </c>
      <c r="U6" s="1" t="s">
        <v>90</v>
      </c>
      <c r="V6" s="1" t="s">
        <v>91</v>
      </c>
      <c r="W6" s="1" t="s">
        <v>92</v>
      </c>
      <c r="X6" s="1" t="s">
        <v>93</v>
      </c>
      <c r="Y6" s="1" t="s">
        <v>94</v>
      </c>
      <c r="Z6" s="1" t="s">
        <v>95</v>
      </c>
    </row>
    <row r="7" customFormat="false" ht="15" hidden="false" customHeight="true" outlineLevel="0" collapsed="false">
      <c r="B7" s="7" t="s">
        <v>96</v>
      </c>
      <c r="C7" s="46"/>
      <c r="H7" s="47"/>
      <c r="S7" s="1" t="s">
        <v>97</v>
      </c>
      <c r="T7" s="1" t="s">
        <v>98</v>
      </c>
      <c r="U7" s="1" t="s">
        <v>99</v>
      </c>
      <c r="V7" s="1" t="s">
        <v>100</v>
      </c>
      <c r="W7" s="1" t="s">
        <v>101</v>
      </c>
      <c r="X7" s="1" t="s">
        <v>102</v>
      </c>
      <c r="Y7" s="1" t="s">
        <v>103</v>
      </c>
      <c r="Z7" s="1" t="s">
        <v>104</v>
      </c>
    </row>
    <row r="8" customFormat="false" ht="15" hidden="false" customHeight="true" outlineLevel="0" collapsed="false">
      <c r="B8" s="7" t="s">
        <v>105</v>
      </c>
      <c r="C8" s="50" t="n">
        <v>2000000</v>
      </c>
      <c r="H8" s="47" t="s">
        <v>106</v>
      </c>
      <c r="S8" s="1" t="s">
        <v>107</v>
      </c>
      <c r="T8" s="1" t="s">
        <v>108</v>
      </c>
      <c r="U8" s="1" t="s">
        <v>81</v>
      </c>
      <c r="V8" s="1" t="s">
        <v>109</v>
      </c>
      <c r="W8" s="1" t="s">
        <v>110</v>
      </c>
      <c r="X8" s="1" t="s">
        <v>84</v>
      </c>
      <c r="Y8" s="1" t="s">
        <v>85</v>
      </c>
      <c r="Z8" s="1" t="s">
        <v>111</v>
      </c>
    </row>
    <row r="9" customFormat="false" ht="15" hidden="false" customHeight="true" outlineLevel="0" collapsed="false">
      <c r="B9" s="7" t="s">
        <v>112</v>
      </c>
      <c r="C9" s="50" t="n">
        <v>500000</v>
      </c>
      <c r="H9" s="47" t="s">
        <v>106</v>
      </c>
      <c r="S9" s="1" t="s">
        <v>113</v>
      </c>
      <c r="T9" s="1" t="s">
        <v>114</v>
      </c>
      <c r="U9" s="1" t="s">
        <v>115</v>
      </c>
      <c r="V9" s="1" t="s">
        <v>116</v>
      </c>
      <c r="W9" s="1" t="s">
        <v>117</v>
      </c>
      <c r="X9" s="1" t="s">
        <v>84</v>
      </c>
      <c r="Y9" s="1" t="s">
        <v>85</v>
      </c>
      <c r="Z9" s="1" t="s">
        <v>118</v>
      </c>
    </row>
    <row r="10" customFormat="false" ht="15" hidden="false" customHeight="true" outlineLevel="0" collapsed="false">
      <c r="B10" s="7" t="s">
        <v>119</v>
      </c>
      <c r="C10" s="51" t="n">
        <v>0.105</v>
      </c>
      <c r="H10" s="47" t="s">
        <v>120</v>
      </c>
      <c r="S10" s="1" t="s">
        <v>121</v>
      </c>
      <c r="T10" s="1" t="s">
        <v>122</v>
      </c>
      <c r="U10" s="1" t="s">
        <v>123</v>
      </c>
      <c r="V10" s="1" t="s">
        <v>124</v>
      </c>
      <c r="W10" s="1" t="s">
        <v>125</v>
      </c>
      <c r="X10" s="1" t="s">
        <v>126</v>
      </c>
      <c r="Y10" s="1" t="s">
        <v>127</v>
      </c>
      <c r="Z10" s="1" t="s">
        <v>128</v>
      </c>
    </row>
    <row r="11" customFormat="false" ht="15" hidden="false" customHeight="true" outlineLevel="0" collapsed="false">
      <c r="B11" s="7" t="s">
        <v>129</v>
      </c>
      <c r="C11" s="52" t="n">
        <v>60</v>
      </c>
      <c r="H11" s="47" t="s">
        <v>130</v>
      </c>
      <c r="S11" s="1" t="s">
        <v>131</v>
      </c>
      <c r="T11" s="1" t="s">
        <v>132</v>
      </c>
      <c r="U11" s="1" t="s">
        <v>133</v>
      </c>
      <c r="V11" s="1" t="s">
        <v>134</v>
      </c>
      <c r="W11" s="1" t="s">
        <v>135</v>
      </c>
      <c r="X11" s="1" t="s">
        <v>136</v>
      </c>
      <c r="Y11" s="1" t="s">
        <v>137</v>
      </c>
      <c r="Z11" s="1" t="s">
        <v>138</v>
      </c>
    </row>
    <row r="12" customFormat="false" ht="15" hidden="false" customHeight="true" outlineLevel="0" collapsed="false">
      <c r="B12" s="7" t="s">
        <v>139</v>
      </c>
      <c r="C12" s="52" t="n">
        <v>6</v>
      </c>
      <c r="H12" s="47" t="s">
        <v>140</v>
      </c>
      <c r="S12" s="1" t="s">
        <v>141</v>
      </c>
      <c r="T12" s="1" t="s">
        <v>142</v>
      </c>
      <c r="U12" s="1" t="s">
        <v>143</v>
      </c>
      <c r="V12" s="1" t="s">
        <v>144</v>
      </c>
      <c r="W12" s="1" t="s">
        <v>92</v>
      </c>
      <c r="X12" s="1" t="s">
        <v>145</v>
      </c>
      <c r="Y12" s="1" t="s">
        <v>146</v>
      </c>
      <c r="Z12" s="1" t="s">
        <v>147</v>
      </c>
    </row>
    <row r="13" customFormat="false" ht="15" hidden="false" customHeight="true" outlineLevel="0" collapsed="false">
      <c r="B13" s="7" t="s">
        <v>148</v>
      </c>
      <c r="C13" s="51" t="n">
        <v>0.12</v>
      </c>
      <c r="H13" s="47" t="s">
        <v>120</v>
      </c>
      <c r="S13" s="1" t="s">
        <v>149</v>
      </c>
      <c r="T13" s="1" t="s">
        <v>150</v>
      </c>
      <c r="U13" s="1" t="s">
        <v>151</v>
      </c>
      <c r="V13" s="1" t="s">
        <v>152</v>
      </c>
      <c r="W13" s="1" t="s">
        <v>153</v>
      </c>
      <c r="X13" s="1" t="s">
        <v>154</v>
      </c>
      <c r="Y13" s="1" t="s">
        <v>155</v>
      </c>
      <c r="Z13" s="1" t="s">
        <v>95</v>
      </c>
    </row>
    <row r="14" customFormat="false" ht="15" hidden="false" customHeight="true" outlineLevel="0" collapsed="false">
      <c r="B14" s="7" t="s">
        <v>156</v>
      </c>
      <c r="C14" s="51" t="n">
        <v>0.25</v>
      </c>
      <c r="H14" s="47" t="s">
        <v>157</v>
      </c>
      <c r="S14" s="1" t="s">
        <v>158</v>
      </c>
      <c r="T14" s="1" t="s">
        <v>159</v>
      </c>
      <c r="U14" s="1" t="s">
        <v>160</v>
      </c>
      <c r="V14" s="1" t="s">
        <v>161</v>
      </c>
      <c r="W14" s="1" t="s">
        <v>162</v>
      </c>
      <c r="X14" s="1" t="s">
        <v>163</v>
      </c>
      <c r="Y14" s="1" t="s">
        <v>164</v>
      </c>
      <c r="Z14" s="1" t="s">
        <v>165</v>
      </c>
    </row>
    <row r="15" customFormat="false" ht="18" hidden="false" customHeight="true" outlineLevel="0" collapsed="false">
      <c r="B15" s="44" t="s">
        <v>166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167</v>
      </c>
      <c r="T15" s="1" t="s">
        <v>168</v>
      </c>
      <c r="U15" s="1" t="s">
        <v>169</v>
      </c>
      <c r="V15" s="1" t="s">
        <v>170</v>
      </c>
      <c r="W15" s="1" t="s">
        <v>171</v>
      </c>
      <c r="X15" s="1" t="s">
        <v>172</v>
      </c>
      <c r="Y15" s="1" t="s">
        <v>173</v>
      </c>
      <c r="Z15" s="1" t="s">
        <v>174</v>
      </c>
    </row>
    <row r="16" customFormat="false" ht="15" hidden="false" customHeight="true" outlineLevel="0" collapsed="false">
      <c r="B16" s="7" t="str">
        <f aca="false">IFERROR(VLOOKUP($J$5,$S$5:$Z$21,2,FALSE()),"Installed Capacity")</f>
        <v>Installed Capacity</v>
      </c>
      <c r="C16" s="50" t="n">
        <v>12000</v>
      </c>
      <c r="H16" s="47" t="s">
        <v>175</v>
      </c>
      <c r="S16" s="1" t="s">
        <v>176</v>
      </c>
      <c r="T16" s="1" t="s">
        <v>177</v>
      </c>
      <c r="U16" s="1" t="s">
        <v>178</v>
      </c>
      <c r="V16" s="1" t="s">
        <v>179</v>
      </c>
      <c r="W16" s="1" t="s">
        <v>180</v>
      </c>
      <c r="X16" s="1" t="s">
        <v>181</v>
      </c>
      <c r="Y16" s="1" t="s">
        <v>182</v>
      </c>
      <c r="Z16" s="1" t="s">
        <v>183</v>
      </c>
    </row>
    <row r="17" customFormat="false" ht="15" hidden="false" customHeight="true" outlineLevel="0" collapsed="false">
      <c r="B17" s="7" t="s">
        <v>184</v>
      </c>
      <c r="C17" s="53" t="s">
        <v>185</v>
      </c>
      <c r="D17" s="53" t="s">
        <v>186</v>
      </c>
      <c r="E17" s="53" t="s">
        <v>187</v>
      </c>
      <c r="F17" s="53" t="s">
        <v>188</v>
      </c>
      <c r="G17" s="53" t="s">
        <v>189</v>
      </c>
      <c r="S17" s="1" t="s">
        <v>190</v>
      </c>
      <c r="T17" s="1" t="s">
        <v>191</v>
      </c>
      <c r="U17" s="1" t="s">
        <v>81</v>
      </c>
      <c r="V17" s="1" t="s">
        <v>192</v>
      </c>
      <c r="W17" s="1" t="s">
        <v>193</v>
      </c>
      <c r="X17" s="1" t="s">
        <v>84</v>
      </c>
      <c r="Y17" s="1" t="s">
        <v>85</v>
      </c>
      <c r="Z17" s="1" t="s">
        <v>111</v>
      </c>
    </row>
    <row r="18" customFormat="false" ht="15" hidden="false" customHeight="true" outlineLevel="0" collapsed="false">
      <c r="B18" s="7" t="s">
        <v>194</v>
      </c>
      <c r="C18" s="54" t="n">
        <v>0.6</v>
      </c>
      <c r="D18" s="54" t="n">
        <v>0.65</v>
      </c>
      <c r="E18" s="54" t="n">
        <v>0.7</v>
      </c>
      <c r="F18" s="54" t="n">
        <v>0.75</v>
      </c>
      <c r="G18" s="54" t="n">
        <v>0.8</v>
      </c>
      <c r="H18" s="47" t="s">
        <v>157</v>
      </c>
      <c r="S18" s="1" t="s">
        <v>195</v>
      </c>
      <c r="T18" s="1" t="s">
        <v>196</v>
      </c>
      <c r="U18" s="1" t="s">
        <v>81</v>
      </c>
      <c r="V18" s="1" t="s">
        <v>197</v>
      </c>
      <c r="W18" s="1" t="s">
        <v>198</v>
      </c>
      <c r="X18" s="1" t="s">
        <v>84</v>
      </c>
      <c r="Y18" s="1" t="s">
        <v>85</v>
      </c>
      <c r="Z18" s="1" t="s">
        <v>111</v>
      </c>
    </row>
    <row r="19" customFormat="false" ht="18" hidden="false" customHeight="true" outlineLevel="0" collapsed="false">
      <c r="B19" s="44" t="s">
        <v>199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200</v>
      </c>
      <c r="T19" s="1" t="s">
        <v>201</v>
      </c>
      <c r="U19" s="1" t="s">
        <v>202</v>
      </c>
      <c r="V19" s="1" t="s">
        <v>203</v>
      </c>
      <c r="W19" s="1" t="s">
        <v>204</v>
      </c>
      <c r="X19" s="1" t="s">
        <v>205</v>
      </c>
      <c r="Y19" s="1" t="s">
        <v>206</v>
      </c>
      <c r="Z19" s="1" t="s">
        <v>207</v>
      </c>
    </row>
    <row r="20" customFormat="false" ht="15" hidden="false" customHeight="true" outlineLevel="0" collapsed="false">
      <c r="B20" s="7" t="s">
        <v>208</v>
      </c>
      <c r="C20" s="53" t="s">
        <v>209</v>
      </c>
      <c r="D20" s="53" t="s">
        <v>210</v>
      </c>
      <c r="E20" s="53" t="s">
        <v>211</v>
      </c>
      <c r="F20" s="53" t="s">
        <v>212</v>
      </c>
      <c r="G20" s="53" t="s">
        <v>213</v>
      </c>
      <c r="H20" s="53" t="s">
        <v>214</v>
      </c>
      <c r="I20" s="53" t="s">
        <v>215</v>
      </c>
      <c r="J20" s="53" t="s">
        <v>216</v>
      </c>
      <c r="K20" s="53" t="s">
        <v>217</v>
      </c>
      <c r="L20" s="53" t="s">
        <v>218</v>
      </c>
      <c r="M20" s="53" t="s">
        <v>219</v>
      </c>
      <c r="N20" s="53" t="s">
        <v>220</v>
      </c>
      <c r="S20" s="1" t="s">
        <v>221</v>
      </c>
      <c r="T20" s="1" t="s">
        <v>222</v>
      </c>
      <c r="U20" s="1" t="s">
        <v>223</v>
      </c>
      <c r="V20" s="1" t="s">
        <v>224</v>
      </c>
      <c r="W20" s="1" t="s">
        <v>225</v>
      </c>
      <c r="X20" s="1" t="s">
        <v>226</v>
      </c>
      <c r="Y20" s="1" t="s">
        <v>227</v>
      </c>
      <c r="Z20" s="1" t="s">
        <v>228</v>
      </c>
    </row>
    <row r="21" customFormat="false" ht="15" hidden="false" customHeight="true" outlineLevel="0" collapsed="false">
      <c r="B21" s="7" t="s">
        <v>229</v>
      </c>
      <c r="C21" s="55" t="n">
        <v>0.07</v>
      </c>
      <c r="D21" s="55" t="n">
        <v>0.07</v>
      </c>
      <c r="E21" s="55" t="n">
        <v>0.08</v>
      </c>
      <c r="F21" s="55" t="n">
        <v>0.08</v>
      </c>
      <c r="G21" s="55" t="n">
        <v>0.09</v>
      </c>
      <c r="H21" s="55" t="n">
        <v>0.09</v>
      </c>
      <c r="I21" s="55" t="n">
        <v>0.09</v>
      </c>
      <c r="J21" s="55" t="n">
        <v>0.09</v>
      </c>
      <c r="K21" s="55" t="n">
        <v>0.08</v>
      </c>
      <c r="L21" s="55" t="n">
        <v>0.08</v>
      </c>
      <c r="M21" s="55" t="n">
        <v>0.09</v>
      </c>
      <c r="N21" s="55" t="n">
        <v>0.09</v>
      </c>
      <c r="S21" s="1" t="s">
        <v>230</v>
      </c>
      <c r="T21" s="1" t="s">
        <v>231</v>
      </c>
      <c r="U21" s="1" t="s">
        <v>232</v>
      </c>
      <c r="V21" s="1" t="s">
        <v>233</v>
      </c>
      <c r="W21" s="1" t="s">
        <v>234</v>
      </c>
      <c r="X21" s="1" t="s">
        <v>84</v>
      </c>
      <c r="Y21" s="1" t="s">
        <v>85</v>
      </c>
      <c r="Z21" s="1" t="s">
        <v>235</v>
      </c>
    </row>
    <row r="22" customFormat="false" ht="18" hidden="false" customHeight="true" outlineLevel="0" collapsed="false">
      <c r="B22" s="44" t="s">
        <v>236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237</v>
      </c>
      <c r="C23" s="56" t="n">
        <v>1500</v>
      </c>
      <c r="H23" s="47" t="s">
        <v>238</v>
      </c>
    </row>
    <row r="24" customFormat="false" ht="15" hidden="false" customHeight="true" outlineLevel="0" collapsed="false">
      <c r="B24" s="7" t="s">
        <v>239</v>
      </c>
      <c r="C24" s="54" t="n">
        <v>0.05</v>
      </c>
      <c r="H24" s="47" t="s">
        <v>157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Raw material cost per unit (Year 1)</v>
      </c>
      <c r="C25" s="56" t="n">
        <v>900</v>
      </c>
      <c r="H25" s="47" t="s">
        <v>238</v>
      </c>
    </row>
    <row r="26" customFormat="false" ht="15" hidden="false" customHeight="true" outlineLevel="0" collapsed="false">
      <c r="B26" s="7" t="s">
        <v>240</v>
      </c>
      <c r="C26" s="54" t="n">
        <v>0.04</v>
      </c>
      <c r="H26" s="47" t="s">
        <v>157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50</v>
      </c>
      <c r="H27" s="47" t="s">
        <v>238</v>
      </c>
    </row>
    <row r="28" customFormat="false" ht="15" hidden="false" customHeight="true" outlineLevel="0" collapsed="false">
      <c r="B28" s="7" t="s">
        <v>241</v>
      </c>
      <c r="C28" s="54" t="n">
        <v>0.04</v>
      </c>
      <c r="H28" s="47" t="s">
        <v>157</v>
      </c>
    </row>
    <row r="29" customFormat="false" ht="15" hidden="false" customHeight="true" outlineLevel="0" collapsed="false">
      <c r="B29" s="7" t="s">
        <v>242</v>
      </c>
      <c r="C29" s="56" t="n">
        <v>50</v>
      </c>
      <c r="H29" s="47" t="s">
        <v>238</v>
      </c>
    </row>
    <row r="30" customFormat="false" ht="15" hidden="false" customHeight="true" outlineLevel="0" collapsed="false">
      <c r="B30" s="7" t="s">
        <v>243</v>
      </c>
      <c r="C30" s="54" t="n">
        <v>0.04</v>
      </c>
      <c r="H30" s="47" t="s">
        <v>157</v>
      </c>
    </row>
    <row r="31" customFormat="false" ht="18" hidden="false" customHeight="true" outlineLevel="0" collapsed="false">
      <c r="B31" s="44" t="s">
        <v>244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245</v>
      </c>
      <c r="C32" s="50" t="n">
        <v>60000</v>
      </c>
      <c r="H32" s="47" t="s">
        <v>246</v>
      </c>
    </row>
    <row r="33" customFormat="false" ht="15" hidden="false" customHeight="true" outlineLevel="0" collapsed="false">
      <c r="B33" s="7" t="s">
        <v>247</v>
      </c>
      <c r="C33" s="54" t="n">
        <v>0.05</v>
      </c>
      <c r="H33" s="47" t="s">
        <v>157</v>
      </c>
    </row>
    <row r="34" customFormat="false" ht="15" hidden="false" customHeight="true" outlineLevel="0" collapsed="false">
      <c r="B34" s="7" t="s">
        <v>248</v>
      </c>
      <c r="C34" s="50" t="n">
        <v>30000</v>
      </c>
      <c r="H34" s="47" t="s">
        <v>246</v>
      </c>
    </row>
    <row r="35" customFormat="false" ht="15" hidden="false" customHeight="true" outlineLevel="0" collapsed="false">
      <c r="B35" s="7" t="s">
        <v>249</v>
      </c>
      <c r="C35" s="54" t="n">
        <v>0.05</v>
      </c>
      <c r="H35" s="47" t="s">
        <v>157</v>
      </c>
    </row>
    <row r="36" customFormat="false" ht="15" hidden="false" customHeight="true" outlineLevel="0" collapsed="false">
      <c r="B36" s="7" t="s">
        <v>250</v>
      </c>
      <c r="C36" s="50" t="n">
        <v>5000</v>
      </c>
      <c r="H36" s="47" t="s">
        <v>246</v>
      </c>
    </row>
    <row r="37" customFormat="false" ht="15" hidden="false" customHeight="true" outlineLevel="0" collapsed="false">
      <c r="B37" s="7" t="s">
        <v>251</v>
      </c>
      <c r="C37" s="54" t="n">
        <v>0.04</v>
      </c>
      <c r="H37" s="47" t="s">
        <v>157</v>
      </c>
    </row>
    <row r="38" customFormat="false" ht="15" hidden="false" customHeight="true" outlineLevel="0" collapsed="false">
      <c r="B38" s="7" t="s">
        <v>252</v>
      </c>
      <c r="C38" s="50" t="n">
        <v>15000</v>
      </c>
      <c r="H38" s="47" t="s">
        <v>246</v>
      </c>
    </row>
    <row r="39" customFormat="false" ht="15" hidden="false" customHeight="true" outlineLevel="0" collapsed="false">
      <c r="B39" s="7" t="s">
        <v>253</v>
      </c>
      <c r="C39" s="54" t="n">
        <v>0.05</v>
      </c>
      <c r="H39" s="47" t="s">
        <v>157</v>
      </c>
    </row>
    <row r="40" customFormat="false" ht="15" hidden="false" customHeight="true" outlineLevel="0" collapsed="false">
      <c r="B40" s="7" t="s">
        <v>254</v>
      </c>
      <c r="C40" s="54" t="n">
        <v>0.02</v>
      </c>
      <c r="H40" s="47" t="s">
        <v>255</v>
      </c>
    </row>
    <row r="41" customFormat="false" ht="18" hidden="false" customHeight="true" outlineLevel="0" collapsed="false">
      <c r="B41" s="44" t="s">
        <v>256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257</v>
      </c>
      <c r="C42" s="50" t="n">
        <v>0</v>
      </c>
      <c r="H42" s="47" t="s">
        <v>106</v>
      </c>
    </row>
    <row r="43" customFormat="false" ht="15" hidden="false" customHeight="true" outlineLevel="0" collapsed="false">
      <c r="B43" s="7" t="s">
        <v>258</v>
      </c>
      <c r="C43" s="50" t="n">
        <v>0</v>
      </c>
      <c r="H43" s="47" t="s">
        <v>106</v>
      </c>
    </row>
    <row r="44" customFormat="false" ht="15" hidden="false" customHeight="true" outlineLevel="0" collapsed="false">
      <c r="B44" s="7" t="s">
        <v>259</v>
      </c>
      <c r="C44" s="54" t="n">
        <v>0</v>
      </c>
      <c r="H44" s="47" t="s">
        <v>157</v>
      </c>
    </row>
    <row r="45" customFormat="false" ht="15" hidden="false" customHeight="true" outlineLevel="0" collapsed="false">
      <c r="B45" s="7" t="s">
        <v>260</v>
      </c>
      <c r="C45" s="50" t="n">
        <v>500000</v>
      </c>
      <c r="H45" s="47" t="s">
        <v>106</v>
      </c>
    </row>
    <row r="46" customFormat="false" ht="15" hidden="false" customHeight="true" outlineLevel="0" collapsed="false">
      <c r="B46" s="7" t="s">
        <v>261</v>
      </c>
      <c r="C46" s="54" t="n">
        <v>0.15</v>
      </c>
      <c r="H46" s="47" t="s">
        <v>157</v>
      </c>
    </row>
    <row r="47" customFormat="false" ht="15" hidden="false" customHeight="true" outlineLevel="0" collapsed="false">
      <c r="B47" s="7" t="s">
        <v>262</v>
      </c>
      <c r="C47" s="50" t="n">
        <v>300000</v>
      </c>
      <c r="H47" s="47" t="s">
        <v>106</v>
      </c>
    </row>
    <row r="48" customFormat="false" ht="15" hidden="false" customHeight="true" outlineLevel="0" collapsed="false">
      <c r="B48" s="7" t="s">
        <v>263</v>
      </c>
      <c r="C48" s="54" t="n">
        <v>0.1</v>
      </c>
      <c r="H48" s="47" t="s">
        <v>157</v>
      </c>
    </row>
    <row r="49" customFormat="false" ht="18" hidden="false" customHeight="true" outlineLevel="0" collapsed="false">
      <c r="B49" s="44" t="s">
        <v>264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265</v>
      </c>
      <c r="C50" s="52" t="n">
        <v>0</v>
      </c>
      <c r="H50" s="47" t="s">
        <v>266</v>
      </c>
    </row>
    <row r="51" customFormat="false" ht="15" hidden="false" customHeight="true" outlineLevel="0" collapsed="false">
      <c r="B51" s="7" t="s">
        <v>267</v>
      </c>
      <c r="C51" s="52" t="n">
        <v>30</v>
      </c>
      <c r="H51" s="47" t="s">
        <v>266</v>
      </c>
    </row>
    <row r="52" customFormat="false" ht="15" hidden="false" customHeight="true" outlineLevel="0" collapsed="false">
      <c r="B52" s="7" t="s">
        <v>268</v>
      </c>
      <c r="C52" s="52" t="n">
        <v>5</v>
      </c>
      <c r="H52" s="47" t="s">
        <v>266</v>
      </c>
    </row>
    <row r="53" customFormat="false" ht="15" hidden="false" customHeight="true" outlineLevel="0" collapsed="false">
      <c r="B53" s="7" t="s">
        <v>269</v>
      </c>
      <c r="C53" s="52" t="n">
        <v>15</v>
      </c>
      <c r="H53" s="47" t="s">
        <v>266</v>
      </c>
    </row>
    <row r="54" customFormat="false" ht="15" hidden="false" customHeight="true" outlineLevel="0" collapsed="false">
      <c r="B54" s="7" t="s">
        <v>270</v>
      </c>
      <c r="C54" s="50" t="n">
        <v>50000</v>
      </c>
      <c r="H54" s="47" t="s">
        <v>106</v>
      </c>
    </row>
    <row r="55" customFormat="false" ht="15" hidden="false" customHeight="true" outlineLevel="0" collapsed="false">
      <c r="B55" s="7" t="s">
        <v>271</v>
      </c>
      <c r="C55" s="54" t="n">
        <v>0.25</v>
      </c>
      <c r="H55" s="47" t="s">
        <v>157</v>
      </c>
      <c r="P55" s="57" t="s">
        <v>272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">
        <v>334</v>
      </c>
      <c r="B5" s="62" t="n">
        <f aca="false">Assumptions!$C$18</f>
        <v>0.6</v>
      </c>
      <c r="C5" s="62" t="n">
        <f aca="false">Assumptions!$C$18</f>
        <v>0.6</v>
      </c>
      <c r="D5" s="62" t="n">
        <f aca="false">Assumptions!$C$18</f>
        <v>0.6</v>
      </c>
      <c r="E5" s="62" t="n">
        <f aca="false">Assumptions!$C$18</f>
        <v>0.6</v>
      </c>
      <c r="F5" s="62" t="n">
        <f aca="false">Assumptions!$C$18</f>
        <v>0.6</v>
      </c>
      <c r="G5" s="62" t="n">
        <f aca="false">Assumptions!$C$18</f>
        <v>0.6</v>
      </c>
      <c r="H5" s="62" t="n">
        <f aca="false">Assumptions!$C$18</f>
        <v>0.6</v>
      </c>
      <c r="I5" s="62" t="n">
        <f aca="false">Assumptions!$C$18</f>
        <v>0.6</v>
      </c>
      <c r="J5" s="62" t="n">
        <f aca="false">Assumptions!$C$18</f>
        <v>0.6</v>
      </c>
      <c r="K5" s="62" t="n">
        <f aca="false">Assumptions!$C$18</f>
        <v>0.6</v>
      </c>
      <c r="L5" s="62" t="n">
        <f aca="false">Assumptions!$C$18</f>
        <v>0.6</v>
      </c>
      <c r="M5" s="62" t="n">
        <f aca="false">Assumptions!$C$18</f>
        <v>0.6</v>
      </c>
      <c r="N5" s="63" t="n">
        <f aca="false">Assumptions!$C$18</f>
        <v>0.6</v>
      </c>
      <c r="O5" s="62" t="n">
        <f aca="false">Assumptions!$D$18</f>
        <v>0.65</v>
      </c>
      <c r="P5" s="62" t="n">
        <f aca="false">Assumptions!$D$18</f>
        <v>0.65</v>
      </c>
      <c r="Q5" s="62" t="n">
        <f aca="false">Assumptions!$D$18</f>
        <v>0.65</v>
      </c>
      <c r="R5" s="62" t="n">
        <f aca="false">Assumptions!$D$18</f>
        <v>0.65</v>
      </c>
      <c r="S5" s="62" t="n">
        <f aca="false">Assumptions!$D$18</f>
        <v>0.65</v>
      </c>
      <c r="T5" s="62" t="n">
        <f aca="false">Assumptions!$D$18</f>
        <v>0.65</v>
      </c>
      <c r="U5" s="62" t="n">
        <f aca="false">Assumptions!$D$18</f>
        <v>0.65</v>
      </c>
      <c r="V5" s="62" t="n">
        <f aca="false">Assumptions!$D$18</f>
        <v>0.65</v>
      </c>
      <c r="W5" s="62" t="n">
        <f aca="false">Assumptions!$D$18</f>
        <v>0.65</v>
      </c>
      <c r="X5" s="62" t="n">
        <f aca="false">Assumptions!$D$18</f>
        <v>0.65</v>
      </c>
      <c r="Y5" s="62" t="n">
        <f aca="false">Assumptions!$D$18</f>
        <v>0.65</v>
      </c>
      <c r="Z5" s="62" t="n">
        <f aca="false">Assumptions!$D$18</f>
        <v>0.65</v>
      </c>
      <c r="AA5" s="63" t="n">
        <f aca="false">Assumptions!$D$18</f>
        <v>0.65</v>
      </c>
      <c r="AB5" s="62" t="n">
        <f aca="false">Assumptions!$E$18</f>
        <v>0.7</v>
      </c>
      <c r="AC5" s="62" t="n">
        <f aca="false">Assumptions!$E$18</f>
        <v>0.7</v>
      </c>
      <c r="AD5" s="62" t="n">
        <f aca="false">Assumptions!$E$18</f>
        <v>0.7</v>
      </c>
      <c r="AE5" s="62" t="n">
        <f aca="false">Assumptions!$E$18</f>
        <v>0.7</v>
      </c>
      <c r="AF5" s="62" t="n">
        <f aca="false">Assumptions!$E$18</f>
        <v>0.7</v>
      </c>
      <c r="AG5" s="62" t="n">
        <f aca="false">Assumptions!$E$18</f>
        <v>0.7</v>
      </c>
      <c r="AH5" s="62" t="n">
        <f aca="false">Assumptions!$E$18</f>
        <v>0.7</v>
      </c>
      <c r="AI5" s="62" t="n">
        <f aca="false">Assumptions!$E$18</f>
        <v>0.7</v>
      </c>
      <c r="AJ5" s="62" t="n">
        <f aca="false">Assumptions!$E$18</f>
        <v>0.7</v>
      </c>
      <c r="AK5" s="62" t="n">
        <f aca="false">Assumptions!$E$18</f>
        <v>0.7</v>
      </c>
      <c r="AL5" s="62" t="n">
        <f aca="false">Assumptions!$E$18</f>
        <v>0.7</v>
      </c>
      <c r="AM5" s="62" t="n">
        <f aca="false">Assumptions!$E$18</f>
        <v>0.7</v>
      </c>
      <c r="AN5" s="63" t="n">
        <f aca="false">Assumptions!$E$18</f>
        <v>0.7</v>
      </c>
      <c r="AO5" s="62" t="n">
        <f aca="false">Assumptions!$F$18</f>
        <v>0.75</v>
      </c>
      <c r="AP5" s="62" t="n">
        <f aca="false">Assumptions!$F$18</f>
        <v>0.75</v>
      </c>
      <c r="AQ5" s="62" t="n">
        <f aca="false">Assumptions!$F$18</f>
        <v>0.75</v>
      </c>
      <c r="AR5" s="62" t="n">
        <f aca="false">Assumptions!$F$18</f>
        <v>0.75</v>
      </c>
      <c r="AS5" s="62" t="n">
        <f aca="false">Assumptions!$F$18</f>
        <v>0.75</v>
      </c>
      <c r="AT5" s="62" t="n">
        <f aca="false">Assumptions!$F$18</f>
        <v>0.75</v>
      </c>
      <c r="AU5" s="62" t="n">
        <f aca="false">Assumptions!$F$18</f>
        <v>0.75</v>
      </c>
      <c r="AV5" s="62" t="n">
        <f aca="false">Assumptions!$F$18</f>
        <v>0.75</v>
      </c>
      <c r="AW5" s="62" t="n">
        <f aca="false">Assumptions!$F$18</f>
        <v>0.75</v>
      </c>
      <c r="AX5" s="62" t="n">
        <f aca="false">Assumptions!$F$18</f>
        <v>0.75</v>
      </c>
      <c r="AY5" s="62" t="n">
        <f aca="false">Assumptions!$F$18</f>
        <v>0.75</v>
      </c>
      <c r="AZ5" s="62" t="n">
        <f aca="false">Assumptions!$F$18</f>
        <v>0.75</v>
      </c>
      <c r="BA5" s="63" t="n">
        <f aca="false">Assumptions!$F$18</f>
        <v>0.75</v>
      </c>
      <c r="BB5" s="62" t="n">
        <f aca="false">Assumptions!$G$18</f>
        <v>0.8</v>
      </c>
      <c r="BC5" s="62" t="n">
        <f aca="false">Assumptions!$G$18</f>
        <v>0.8</v>
      </c>
      <c r="BD5" s="62" t="n">
        <f aca="false">Assumptions!$G$18</f>
        <v>0.8</v>
      </c>
      <c r="BE5" s="62" t="n">
        <f aca="false">Assumptions!$G$18</f>
        <v>0.8</v>
      </c>
      <c r="BF5" s="62" t="n">
        <f aca="false">Assumptions!$G$18</f>
        <v>0.8</v>
      </c>
      <c r="BG5" s="62" t="n">
        <f aca="false">Assumptions!$G$18</f>
        <v>0.8</v>
      </c>
      <c r="BH5" s="62" t="n">
        <f aca="false">Assumptions!$G$18</f>
        <v>0.8</v>
      </c>
      <c r="BI5" s="62" t="n">
        <f aca="false">Assumptions!$G$18</f>
        <v>0.8</v>
      </c>
      <c r="BJ5" s="62" t="n">
        <f aca="false">Assumptions!$G$18</f>
        <v>0.8</v>
      </c>
      <c r="BK5" s="62" t="n">
        <f aca="false">Assumptions!$G$18</f>
        <v>0.8</v>
      </c>
      <c r="BL5" s="62" t="n">
        <f aca="false">Assumptions!$G$18</f>
        <v>0.8</v>
      </c>
      <c r="BM5" s="62" t="n">
        <f aca="false">Assumptions!$G$18</f>
        <v>0.8</v>
      </c>
      <c r="BN5" s="63" t="n">
        <f aca="false">Assumptions!$G$18</f>
        <v>0.8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Production (units)</v>
      </c>
      <c r="B6" s="65" t="n">
        <f aca="false">(Assumptions!$C$16*Assumptions!$C$18/12)*IF(SUM(Assumptions!$C$21:$N$21)=0,1,12*Assumptions!$C$21/SUM(Assumptions!$C$21:$N$21))</f>
        <v>504</v>
      </c>
      <c r="C6" s="65" t="n">
        <f aca="false">(Assumptions!$C$16*Assumptions!$C$18/12)*IF(SUM(Assumptions!$C$21:$N$21)=0,1,12*Assumptions!$D$21/SUM(Assumptions!$C$21:$N$21))</f>
        <v>504</v>
      </c>
      <c r="D6" s="65" t="n">
        <f aca="false">(Assumptions!$C$16*Assumptions!$C$18/12)*IF(SUM(Assumptions!$C$21:$N$21)=0,1,12*Assumptions!$E$21/SUM(Assumptions!$C$21:$N$21))</f>
        <v>576</v>
      </c>
      <c r="E6" s="65" t="n">
        <f aca="false">(Assumptions!$C$16*Assumptions!$C$18/12)*IF(SUM(Assumptions!$C$21:$N$21)=0,1,12*Assumptions!$F$21/SUM(Assumptions!$C$21:$N$21))</f>
        <v>576</v>
      </c>
      <c r="F6" s="65" t="n">
        <f aca="false">(Assumptions!$C$16*Assumptions!$C$18/12)*IF(SUM(Assumptions!$C$21:$N$21)=0,1,12*Assumptions!$G$21/SUM(Assumptions!$C$21:$N$21))</f>
        <v>648</v>
      </c>
      <c r="G6" s="65" t="n">
        <f aca="false">(Assumptions!$C$16*Assumptions!$C$18/12)*IF(SUM(Assumptions!$C$21:$N$21)=0,1,12*Assumptions!$H$21/SUM(Assumptions!$C$21:$N$21))</f>
        <v>648</v>
      </c>
      <c r="H6" s="65" t="n">
        <f aca="false">(Assumptions!$C$16*Assumptions!$C$18/12)*IF(SUM(Assumptions!$C$21:$N$21)=0,1,12*Assumptions!$I$21/SUM(Assumptions!$C$21:$N$21))</f>
        <v>648</v>
      </c>
      <c r="I6" s="65" t="n">
        <f aca="false">(Assumptions!$C$16*Assumptions!$C$18/12)*IF(SUM(Assumptions!$C$21:$N$21)=0,1,12*Assumptions!$J$21/SUM(Assumptions!$C$21:$N$21))</f>
        <v>648</v>
      </c>
      <c r="J6" s="65" t="n">
        <f aca="false">(Assumptions!$C$16*Assumptions!$C$18/12)*IF(SUM(Assumptions!$C$21:$N$21)=0,1,12*Assumptions!$K$21/SUM(Assumptions!$C$21:$N$21))</f>
        <v>576</v>
      </c>
      <c r="K6" s="65" t="n">
        <f aca="false">(Assumptions!$C$16*Assumptions!$C$18/12)*IF(SUM(Assumptions!$C$21:$N$21)=0,1,12*Assumptions!$L$21/SUM(Assumptions!$C$21:$N$21))</f>
        <v>576</v>
      </c>
      <c r="L6" s="65" t="n">
        <f aca="false">(Assumptions!$C$16*Assumptions!$C$18/12)*IF(SUM(Assumptions!$C$21:$N$21)=0,1,12*Assumptions!$M$21/SUM(Assumptions!$C$21:$N$21))</f>
        <v>648</v>
      </c>
      <c r="M6" s="65" t="n">
        <f aca="false">(Assumptions!$C$16*Assumptions!$C$18/12)*IF(SUM(Assumptions!$C$21:$N$21)=0,1,12*Assumptions!$N$21/SUM(Assumptions!$C$21:$N$21))</f>
        <v>648</v>
      </c>
      <c r="N6" s="66" t="n">
        <f aca="false">SUM(B6:M6)</f>
        <v>7200</v>
      </c>
      <c r="O6" s="65" t="n">
        <f aca="false">(Assumptions!$C$16*Assumptions!$D$18/12)*IF(SUM(Assumptions!$C$21:$N$21)=0,1,12*Assumptions!$C$21/SUM(Assumptions!$C$21:$N$21))</f>
        <v>546</v>
      </c>
      <c r="P6" s="65" t="n">
        <f aca="false">(Assumptions!$C$16*Assumptions!$D$18/12)*IF(SUM(Assumptions!$C$21:$N$21)=0,1,12*Assumptions!$D$21/SUM(Assumptions!$C$21:$N$21))</f>
        <v>546</v>
      </c>
      <c r="Q6" s="65" t="n">
        <f aca="false">(Assumptions!$C$16*Assumptions!$D$18/12)*IF(SUM(Assumptions!$C$21:$N$21)=0,1,12*Assumptions!$E$21/SUM(Assumptions!$C$21:$N$21))</f>
        <v>624</v>
      </c>
      <c r="R6" s="65" t="n">
        <f aca="false">(Assumptions!$C$16*Assumptions!$D$18/12)*IF(SUM(Assumptions!$C$21:$N$21)=0,1,12*Assumptions!$F$21/SUM(Assumptions!$C$21:$N$21))</f>
        <v>624</v>
      </c>
      <c r="S6" s="65" t="n">
        <f aca="false">(Assumptions!$C$16*Assumptions!$D$18/12)*IF(SUM(Assumptions!$C$21:$N$21)=0,1,12*Assumptions!$G$21/SUM(Assumptions!$C$21:$N$21))</f>
        <v>702</v>
      </c>
      <c r="T6" s="65" t="n">
        <f aca="false">(Assumptions!$C$16*Assumptions!$D$18/12)*IF(SUM(Assumptions!$C$21:$N$21)=0,1,12*Assumptions!$H$21/SUM(Assumptions!$C$21:$N$21))</f>
        <v>702</v>
      </c>
      <c r="U6" s="65" t="n">
        <f aca="false">(Assumptions!$C$16*Assumptions!$D$18/12)*IF(SUM(Assumptions!$C$21:$N$21)=0,1,12*Assumptions!$I$21/SUM(Assumptions!$C$21:$N$21))</f>
        <v>702</v>
      </c>
      <c r="V6" s="65" t="n">
        <f aca="false">(Assumptions!$C$16*Assumptions!$D$18/12)*IF(SUM(Assumptions!$C$21:$N$21)=0,1,12*Assumptions!$J$21/SUM(Assumptions!$C$21:$N$21))</f>
        <v>702</v>
      </c>
      <c r="W6" s="65" t="n">
        <f aca="false">(Assumptions!$C$16*Assumptions!$D$18/12)*IF(SUM(Assumptions!$C$21:$N$21)=0,1,12*Assumptions!$K$21/SUM(Assumptions!$C$21:$N$21))</f>
        <v>624</v>
      </c>
      <c r="X6" s="65" t="n">
        <f aca="false">(Assumptions!$C$16*Assumptions!$D$18/12)*IF(SUM(Assumptions!$C$21:$N$21)=0,1,12*Assumptions!$L$21/SUM(Assumptions!$C$21:$N$21))</f>
        <v>624</v>
      </c>
      <c r="Y6" s="65" t="n">
        <f aca="false">(Assumptions!$C$16*Assumptions!$D$18/12)*IF(SUM(Assumptions!$C$21:$N$21)=0,1,12*Assumptions!$M$21/SUM(Assumptions!$C$21:$N$21))</f>
        <v>702</v>
      </c>
      <c r="Z6" s="65" t="n">
        <f aca="false">(Assumptions!$C$16*Assumptions!$D$18/12)*IF(SUM(Assumptions!$C$21:$N$21)=0,1,12*Assumptions!$N$21/SUM(Assumptions!$C$21:$N$21))</f>
        <v>702</v>
      </c>
      <c r="AA6" s="66" t="n">
        <f aca="false">SUM(O6:Z6)</f>
        <v>7800</v>
      </c>
      <c r="AB6" s="65" t="n">
        <f aca="false">(Assumptions!$C$16*Assumptions!$E$18/12)*IF(SUM(Assumptions!$C$21:$N$21)=0,1,12*Assumptions!$C$21/SUM(Assumptions!$C$21:$N$21))</f>
        <v>588</v>
      </c>
      <c r="AC6" s="65" t="n">
        <f aca="false">(Assumptions!$C$16*Assumptions!$E$18/12)*IF(SUM(Assumptions!$C$21:$N$21)=0,1,12*Assumptions!$D$21/SUM(Assumptions!$C$21:$N$21))</f>
        <v>588</v>
      </c>
      <c r="AD6" s="65" t="n">
        <f aca="false">(Assumptions!$C$16*Assumptions!$E$18/12)*IF(SUM(Assumptions!$C$21:$N$21)=0,1,12*Assumptions!$E$21/SUM(Assumptions!$C$21:$N$21))</f>
        <v>672</v>
      </c>
      <c r="AE6" s="65" t="n">
        <f aca="false">(Assumptions!$C$16*Assumptions!$E$18/12)*IF(SUM(Assumptions!$C$21:$N$21)=0,1,12*Assumptions!$F$21/SUM(Assumptions!$C$21:$N$21))</f>
        <v>672</v>
      </c>
      <c r="AF6" s="65" t="n">
        <f aca="false">(Assumptions!$C$16*Assumptions!$E$18/12)*IF(SUM(Assumptions!$C$21:$N$21)=0,1,12*Assumptions!$G$21/SUM(Assumptions!$C$21:$N$21))</f>
        <v>756</v>
      </c>
      <c r="AG6" s="65" t="n">
        <f aca="false">(Assumptions!$C$16*Assumptions!$E$18/12)*IF(SUM(Assumptions!$C$21:$N$21)=0,1,12*Assumptions!$H$21/SUM(Assumptions!$C$21:$N$21))</f>
        <v>756</v>
      </c>
      <c r="AH6" s="65" t="n">
        <f aca="false">(Assumptions!$C$16*Assumptions!$E$18/12)*IF(SUM(Assumptions!$C$21:$N$21)=0,1,12*Assumptions!$I$21/SUM(Assumptions!$C$21:$N$21))</f>
        <v>756</v>
      </c>
      <c r="AI6" s="65" t="n">
        <f aca="false">(Assumptions!$C$16*Assumptions!$E$18/12)*IF(SUM(Assumptions!$C$21:$N$21)=0,1,12*Assumptions!$J$21/SUM(Assumptions!$C$21:$N$21))</f>
        <v>756</v>
      </c>
      <c r="AJ6" s="65" t="n">
        <f aca="false">(Assumptions!$C$16*Assumptions!$E$18/12)*IF(SUM(Assumptions!$C$21:$N$21)=0,1,12*Assumptions!$K$21/SUM(Assumptions!$C$21:$N$21))</f>
        <v>672</v>
      </c>
      <c r="AK6" s="65" t="n">
        <f aca="false">(Assumptions!$C$16*Assumptions!$E$18/12)*IF(SUM(Assumptions!$C$21:$N$21)=0,1,12*Assumptions!$L$21/SUM(Assumptions!$C$21:$N$21))</f>
        <v>672</v>
      </c>
      <c r="AL6" s="65" t="n">
        <f aca="false">(Assumptions!$C$16*Assumptions!$E$18/12)*IF(SUM(Assumptions!$C$21:$N$21)=0,1,12*Assumptions!$M$21/SUM(Assumptions!$C$21:$N$21))</f>
        <v>756</v>
      </c>
      <c r="AM6" s="65" t="n">
        <f aca="false">(Assumptions!$C$16*Assumptions!$E$18/12)*IF(SUM(Assumptions!$C$21:$N$21)=0,1,12*Assumptions!$N$21/SUM(Assumptions!$C$21:$N$21))</f>
        <v>756</v>
      </c>
      <c r="AN6" s="66" t="n">
        <f aca="false">SUM(AB6:AM6)</f>
        <v>8400</v>
      </c>
      <c r="AO6" s="65" t="n">
        <f aca="false">(Assumptions!$C$16*Assumptions!$F$18/12)*IF(SUM(Assumptions!$C$21:$N$21)=0,1,12*Assumptions!$C$21/SUM(Assumptions!$C$21:$N$21))</f>
        <v>630</v>
      </c>
      <c r="AP6" s="65" t="n">
        <f aca="false">(Assumptions!$C$16*Assumptions!$F$18/12)*IF(SUM(Assumptions!$C$21:$N$21)=0,1,12*Assumptions!$D$21/SUM(Assumptions!$C$21:$N$21))</f>
        <v>630</v>
      </c>
      <c r="AQ6" s="65" t="n">
        <f aca="false">(Assumptions!$C$16*Assumptions!$F$18/12)*IF(SUM(Assumptions!$C$21:$N$21)=0,1,12*Assumptions!$E$21/SUM(Assumptions!$C$21:$N$21))</f>
        <v>720</v>
      </c>
      <c r="AR6" s="65" t="n">
        <f aca="false">(Assumptions!$C$16*Assumptions!$F$18/12)*IF(SUM(Assumptions!$C$21:$N$21)=0,1,12*Assumptions!$F$21/SUM(Assumptions!$C$21:$N$21))</f>
        <v>720</v>
      </c>
      <c r="AS6" s="65" t="n">
        <f aca="false">(Assumptions!$C$16*Assumptions!$F$18/12)*IF(SUM(Assumptions!$C$21:$N$21)=0,1,12*Assumptions!$G$21/SUM(Assumptions!$C$21:$N$21))</f>
        <v>810</v>
      </c>
      <c r="AT6" s="65" t="n">
        <f aca="false">(Assumptions!$C$16*Assumptions!$F$18/12)*IF(SUM(Assumptions!$C$21:$N$21)=0,1,12*Assumptions!$H$21/SUM(Assumptions!$C$21:$N$21))</f>
        <v>810</v>
      </c>
      <c r="AU6" s="65" t="n">
        <f aca="false">(Assumptions!$C$16*Assumptions!$F$18/12)*IF(SUM(Assumptions!$C$21:$N$21)=0,1,12*Assumptions!$I$21/SUM(Assumptions!$C$21:$N$21))</f>
        <v>810</v>
      </c>
      <c r="AV6" s="65" t="n">
        <f aca="false">(Assumptions!$C$16*Assumptions!$F$18/12)*IF(SUM(Assumptions!$C$21:$N$21)=0,1,12*Assumptions!$J$21/SUM(Assumptions!$C$21:$N$21))</f>
        <v>810</v>
      </c>
      <c r="AW6" s="65" t="n">
        <f aca="false">(Assumptions!$C$16*Assumptions!$F$18/12)*IF(SUM(Assumptions!$C$21:$N$21)=0,1,12*Assumptions!$K$21/SUM(Assumptions!$C$21:$N$21))</f>
        <v>720</v>
      </c>
      <c r="AX6" s="65" t="n">
        <f aca="false">(Assumptions!$C$16*Assumptions!$F$18/12)*IF(SUM(Assumptions!$C$21:$N$21)=0,1,12*Assumptions!$L$21/SUM(Assumptions!$C$21:$N$21))</f>
        <v>720</v>
      </c>
      <c r="AY6" s="65" t="n">
        <f aca="false">(Assumptions!$C$16*Assumptions!$F$18/12)*IF(SUM(Assumptions!$C$21:$N$21)=0,1,12*Assumptions!$M$21/SUM(Assumptions!$C$21:$N$21))</f>
        <v>810</v>
      </c>
      <c r="AZ6" s="65" t="n">
        <f aca="false">(Assumptions!$C$16*Assumptions!$F$18/12)*IF(SUM(Assumptions!$C$21:$N$21)=0,1,12*Assumptions!$N$21/SUM(Assumptions!$C$21:$N$21))</f>
        <v>810</v>
      </c>
      <c r="BA6" s="66" t="n">
        <f aca="false">SUM(AO6:AZ6)</f>
        <v>9000</v>
      </c>
      <c r="BB6" s="65" t="n">
        <f aca="false">(Assumptions!$C$16*Assumptions!$G$18/12)*IF(SUM(Assumptions!$C$21:$N$21)=0,1,12*Assumptions!$C$21/SUM(Assumptions!$C$21:$N$21))</f>
        <v>672</v>
      </c>
      <c r="BC6" s="65" t="n">
        <f aca="false">(Assumptions!$C$16*Assumptions!$G$18/12)*IF(SUM(Assumptions!$C$21:$N$21)=0,1,12*Assumptions!$D$21/SUM(Assumptions!$C$21:$N$21))</f>
        <v>672</v>
      </c>
      <c r="BD6" s="65" t="n">
        <f aca="false">(Assumptions!$C$16*Assumptions!$G$18/12)*IF(SUM(Assumptions!$C$21:$N$21)=0,1,12*Assumptions!$E$21/SUM(Assumptions!$C$21:$N$21))</f>
        <v>768</v>
      </c>
      <c r="BE6" s="65" t="n">
        <f aca="false">(Assumptions!$C$16*Assumptions!$G$18/12)*IF(SUM(Assumptions!$C$21:$N$21)=0,1,12*Assumptions!$F$21/SUM(Assumptions!$C$21:$N$21))</f>
        <v>768</v>
      </c>
      <c r="BF6" s="65" t="n">
        <f aca="false">(Assumptions!$C$16*Assumptions!$G$18/12)*IF(SUM(Assumptions!$C$21:$N$21)=0,1,12*Assumptions!$G$21/SUM(Assumptions!$C$21:$N$21))</f>
        <v>864</v>
      </c>
      <c r="BG6" s="65" t="n">
        <f aca="false">(Assumptions!$C$16*Assumptions!$G$18/12)*IF(SUM(Assumptions!$C$21:$N$21)=0,1,12*Assumptions!$H$21/SUM(Assumptions!$C$21:$N$21))</f>
        <v>864</v>
      </c>
      <c r="BH6" s="65" t="n">
        <f aca="false">(Assumptions!$C$16*Assumptions!$G$18/12)*IF(SUM(Assumptions!$C$21:$N$21)=0,1,12*Assumptions!$I$21/SUM(Assumptions!$C$21:$N$21))</f>
        <v>864</v>
      </c>
      <c r="BI6" s="65" t="n">
        <f aca="false">(Assumptions!$C$16*Assumptions!$G$18/12)*IF(SUM(Assumptions!$C$21:$N$21)=0,1,12*Assumptions!$J$21/SUM(Assumptions!$C$21:$N$21))</f>
        <v>864</v>
      </c>
      <c r="BJ6" s="65" t="n">
        <f aca="false">(Assumptions!$C$16*Assumptions!$G$18/12)*IF(SUM(Assumptions!$C$21:$N$21)=0,1,12*Assumptions!$K$21/SUM(Assumptions!$C$21:$N$21))</f>
        <v>768</v>
      </c>
      <c r="BK6" s="65" t="n">
        <f aca="false">(Assumptions!$C$16*Assumptions!$G$18/12)*IF(SUM(Assumptions!$C$21:$N$21)=0,1,12*Assumptions!$L$21/SUM(Assumptions!$C$21:$N$21))</f>
        <v>768</v>
      </c>
      <c r="BL6" s="65" t="n">
        <f aca="false">(Assumptions!$C$16*Assumptions!$G$18/12)*IF(SUM(Assumptions!$C$21:$N$21)=0,1,12*Assumptions!$M$21/SUM(Assumptions!$C$21:$N$21))</f>
        <v>864</v>
      </c>
      <c r="BM6" s="65" t="n">
        <f aca="false">(Assumptions!$C$16*Assumptions!$G$18/12)*IF(SUM(Assumptions!$C$21:$N$21)=0,1,12*Assumptions!$N$21/SUM(Assumptions!$C$21:$N$21))</f>
        <v>864</v>
      </c>
      <c r="BN6" s="66" t="n">
        <f aca="false">SUM(BB6:BM6)</f>
        <v>9600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">
        <v>337</v>
      </c>
      <c r="B5" s="67" t="n">
        <f aca="false">Production!B6</f>
        <v>504</v>
      </c>
      <c r="C5" s="67" t="n">
        <f aca="false">Production!C6</f>
        <v>504</v>
      </c>
      <c r="D5" s="67" t="n">
        <f aca="false">Production!D6</f>
        <v>576</v>
      </c>
      <c r="E5" s="67" t="n">
        <f aca="false">Production!E6</f>
        <v>576</v>
      </c>
      <c r="F5" s="67" t="n">
        <f aca="false">Production!F6</f>
        <v>648</v>
      </c>
      <c r="G5" s="67" t="n">
        <f aca="false">Production!G6</f>
        <v>648</v>
      </c>
      <c r="H5" s="67" t="n">
        <f aca="false">Production!H6</f>
        <v>648</v>
      </c>
      <c r="I5" s="67" t="n">
        <f aca="false">Production!I6</f>
        <v>648</v>
      </c>
      <c r="J5" s="67" t="n">
        <f aca="false">Production!J6</f>
        <v>576</v>
      </c>
      <c r="K5" s="67" t="n">
        <f aca="false">Production!K6</f>
        <v>576</v>
      </c>
      <c r="L5" s="67" t="n">
        <f aca="false">Production!L6</f>
        <v>648</v>
      </c>
      <c r="M5" s="67" t="n">
        <f aca="false">Production!M6</f>
        <v>648</v>
      </c>
      <c r="N5" s="66" t="n">
        <f aca="false">SUM(B5:M5)</f>
        <v>7200</v>
      </c>
      <c r="O5" s="67" t="n">
        <f aca="false">Production!O6</f>
        <v>546</v>
      </c>
      <c r="P5" s="67" t="n">
        <f aca="false">Production!P6</f>
        <v>546</v>
      </c>
      <c r="Q5" s="67" t="n">
        <f aca="false">Production!Q6</f>
        <v>624</v>
      </c>
      <c r="R5" s="67" t="n">
        <f aca="false">Production!R6</f>
        <v>624</v>
      </c>
      <c r="S5" s="67" t="n">
        <f aca="false">Production!S6</f>
        <v>702</v>
      </c>
      <c r="T5" s="67" t="n">
        <f aca="false">Production!T6</f>
        <v>702</v>
      </c>
      <c r="U5" s="67" t="n">
        <f aca="false">Production!U6</f>
        <v>702</v>
      </c>
      <c r="V5" s="67" t="n">
        <f aca="false">Production!V6</f>
        <v>702</v>
      </c>
      <c r="W5" s="67" t="n">
        <f aca="false">Production!W6</f>
        <v>624</v>
      </c>
      <c r="X5" s="67" t="n">
        <f aca="false">Production!X6</f>
        <v>624</v>
      </c>
      <c r="Y5" s="67" t="n">
        <f aca="false">Production!Y6</f>
        <v>702</v>
      </c>
      <c r="Z5" s="67" t="n">
        <f aca="false">Production!Z6</f>
        <v>702</v>
      </c>
      <c r="AA5" s="66" t="n">
        <f aca="false">SUM(O5:Z5)</f>
        <v>7800</v>
      </c>
      <c r="AB5" s="67" t="n">
        <f aca="false">Production!AB6</f>
        <v>588</v>
      </c>
      <c r="AC5" s="67" t="n">
        <f aca="false">Production!AC6</f>
        <v>588</v>
      </c>
      <c r="AD5" s="67" t="n">
        <f aca="false">Production!AD6</f>
        <v>672</v>
      </c>
      <c r="AE5" s="67" t="n">
        <f aca="false">Production!AE6</f>
        <v>672</v>
      </c>
      <c r="AF5" s="67" t="n">
        <f aca="false">Production!AF6</f>
        <v>756</v>
      </c>
      <c r="AG5" s="67" t="n">
        <f aca="false">Production!AG6</f>
        <v>756</v>
      </c>
      <c r="AH5" s="67" t="n">
        <f aca="false">Production!AH6</f>
        <v>756</v>
      </c>
      <c r="AI5" s="67" t="n">
        <f aca="false">Production!AI6</f>
        <v>756</v>
      </c>
      <c r="AJ5" s="67" t="n">
        <f aca="false">Production!AJ6</f>
        <v>672</v>
      </c>
      <c r="AK5" s="67" t="n">
        <f aca="false">Production!AK6</f>
        <v>672</v>
      </c>
      <c r="AL5" s="67" t="n">
        <f aca="false">Production!AL6</f>
        <v>756</v>
      </c>
      <c r="AM5" s="67" t="n">
        <f aca="false">Production!AM6</f>
        <v>756</v>
      </c>
      <c r="AN5" s="66" t="n">
        <f aca="false">SUM(AB5:AM5)</f>
        <v>8400</v>
      </c>
      <c r="AO5" s="67" t="n">
        <f aca="false">Production!AO6</f>
        <v>630</v>
      </c>
      <c r="AP5" s="67" t="n">
        <f aca="false">Production!AP6</f>
        <v>630</v>
      </c>
      <c r="AQ5" s="67" t="n">
        <f aca="false">Production!AQ6</f>
        <v>720</v>
      </c>
      <c r="AR5" s="67" t="n">
        <f aca="false">Production!AR6</f>
        <v>720</v>
      </c>
      <c r="AS5" s="67" t="n">
        <f aca="false">Production!AS6</f>
        <v>810</v>
      </c>
      <c r="AT5" s="67" t="n">
        <f aca="false">Production!AT6</f>
        <v>810</v>
      </c>
      <c r="AU5" s="67" t="n">
        <f aca="false">Production!AU6</f>
        <v>810</v>
      </c>
      <c r="AV5" s="67" t="n">
        <f aca="false">Production!AV6</f>
        <v>810</v>
      </c>
      <c r="AW5" s="67" t="n">
        <f aca="false">Production!AW6</f>
        <v>720</v>
      </c>
      <c r="AX5" s="67" t="n">
        <f aca="false">Production!AX6</f>
        <v>720</v>
      </c>
      <c r="AY5" s="67" t="n">
        <f aca="false">Production!AY6</f>
        <v>810</v>
      </c>
      <c r="AZ5" s="67" t="n">
        <f aca="false">Production!AZ6</f>
        <v>810</v>
      </c>
      <c r="BA5" s="66" t="n">
        <f aca="false">SUM(AO5:AZ5)</f>
        <v>9000</v>
      </c>
      <c r="BB5" s="67" t="n">
        <f aca="false">Production!BB6</f>
        <v>672</v>
      </c>
      <c r="BC5" s="67" t="n">
        <f aca="false">Production!BC6</f>
        <v>672</v>
      </c>
      <c r="BD5" s="67" t="n">
        <f aca="false">Production!BD6</f>
        <v>768</v>
      </c>
      <c r="BE5" s="67" t="n">
        <f aca="false">Production!BE6</f>
        <v>768</v>
      </c>
      <c r="BF5" s="67" t="n">
        <f aca="false">Production!BF6</f>
        <v>864</v>
      </c>
      <c r="BG5" s="67" t="n">
        <f aca="false">Production!BG6</f>
        <v>864</v>
      </c>
      <c r="BH5" s="67" t="n">
        <f aca="false">Production!BH6</f>
        <v>864</v>
      </c>
      <c r="BI5" s="67" t="n">
        <f aca="false">Production!BI6</f>
        <v>864</v>
      </c>
      <c r="BJ5" s="67" t="n">
        <f aca="false">Production!BJ6</f>
        <v>768</v>
      </c>
      <c r="BK5" s="67" t="n">
        <f aca="false">Production!BK6</f>
        <v>768</v>
      </c>
      <c r="BL5" s="67" t="n">
        <f aca="false">Production!BL6</f>
        <v>864</v>
      </c>
      <c r="BM5" s="67" t="n">
        <f aca="false">Production!BM6</f>
        <v>864</v>
      </c>
      <c r="BN5" s="66" t="n">
        <f aca="false">SUM(BB5:BM5)</f>
        <v>9600</v>
      </c>
    </row>
    <row r="6" customFormat="false" ht="15" hidden="false" customHeight="true" outlineLevel="0" collapsed="false">
      <c r="A6" s="7" t="s">
        <v>338</v>
      </c>
      <c r="B6" s="68" t="n">
        <f aca="false">Assumptions!$C$23*(1+Assumptions!$C$24)^0</f>
        <v>1500</v>
      </c>
      <c r="C6" s="68" t="n">
        <f aca="false">Assumptions!$C$23*(1+Assumptions!$C$24)^0</f>
        <v>1500</v>
      </c>
      <c r="D6" s="68" t="n">
        <f aca="false">Assumptions!$C$23*(1+Assumptions!$C$24)^0</f>
        <v>1500</v>
      </c>
      <c r="E6" s="68" t="n">
        <f aca="false">Assumptions!$C$23*(1+Assumptions!$C$24)^0</f>
        <v>1500</v>
      </c>
      <c r="F6" s="68" t="n">
        <f aca="false">Assumptions!$C$23*(1+Assumptions!$C$24)^0</f>
        <v>1500</v>
      </c>
      <c r="G6" s="68" t="n">
        <f aca="false">Assumptions!$C$23*(1+Assumptions!$C$24)^0</f>
        <v>1500</v>
      </c>
      <c r="H6" s="68" t="n">
        <f aca="false">Assumptions!$C$23*(1+Assumptions!$C$24)^0</f>
        <v>1500</v>
      </c>
      <c r="I6" s="68" t="n">
        <f aca="false">Assumptions!$C$23*(1+Assumptions!$C$24)^0</f>
        <v>1500</v>
      </c>
      <c r="J6" s="68" t="n">
        <f aca="false">Assumptions!$C$23*(1+Assumptions!$C$24)^0</f>
        <v>1500</v>
      </c>
      <c r="K6" s="68" t="n">
        <f aca="false">Assumptions!$C$23*(1+Assumptions!$C$24)^0</f>
        <v>1500</v>
      </c>
      <c r="L6" s="68" t="n">
        <f aca="false">Assumptions!$C$23*(1+Assumptions!$C$24)^0</f>
        <v>1500</v>
      </c>
      <c r="M6" s="68" t="n">
        <f aca="false">Assumptions!$C$23*(1+Assumptions!$C$24)^0</f>
        <v>1500</v>
      </c>
      <c r="N6" s="69" t="n">
        <f aca="false">Assumptions!$C$23*(1+Assumptions!$C$24)^0</f>
        <v>1500</v>
      </c>
      <c r="O6" s="68" t="n">
        <f aca="false">Assumptions!$C$23*(1+Assumptions!$C$24)^1</f>
        <v>1575</v>
      </c>
      <c r="P6" s="68" t="n">
        <f aca="false">Assumptions!$C$23*(1+Assumptions!$C$24)^1</f>
        <v>1575</v>
      </c>
      <c r="Q6" s="68" t="n">
        <f aca="false">Assumptions!$C$23*(1+Assumptions!$C$24)^1</f>
        <v>1575</v>
      </c>
      <c r="R6" s="68" t="n">
        <f aca="false">Assumptions!$C$23*(1+Assumptions!$C$24)^1</f>
        <v>1575</v>
      </c>
      <c r="S6" s="68" t="n">
        <f aca="false">Assumptions!$C$23*(1+Assumptions!$C$24)^1</f>
        <v>1575</v>
      </c>
      <c r="T6" s="68" t="n">
        <f aca="false">Assumptions!$C$23*(1+Assumptions!$C$24)^1</f>
        <v>1575</v>
      </c>
      <c r="U6" s="68" t="n">
        <f aca="false">Assumptions!$C$23*(1+Assumptions!$C$24)^1</f>
        <v>1575</v>
      </c>
      <c r="V6" s="68" t="n">
        <f aca="false">Assumptions!$C$23*(1+Assumptions!$C$24)^1</f>
        <v>1575</v>
      </c>
      <c r="W6" s="68" t="n">
        <f aca="false">Assumptions!$C$23*(1+Assumptions!$C$24)^1</f>
        <v>1575</v>
      </c>
      <c r="X6" s="68" t="n">
        <f aca="false">Assumptions!$C$23*(1+Assumptions!$C$24)^1</f>
        <v>1575</v>
      </c>
      <c r="Y6" s="68" t="n">
        <f aca="false">Assumptions!$C$23*(1+Assumptions!$C$24)^1</f>
        <v>1575</v>
      </c>
      <c r="Z6" s="68" t="n">
        <f aca="false">Assumptions!$C$23*(1+Assumptions!$C$24)^1</f>
        <v>1575</v>
      </c>
      <c r="AA6" s="69" t="n">
        <f aca="false">Assumptions!$C$23*(1+Assumptions!$C$24)^1</f>
        <v>1575</v>
      </c>
      <c r="AB6" s="68" t="n">
        <f aca="false">Assumptions!$C$23*(1+Assumptions!$C$24)^2</f>
        <v>1653.75</v>
      </c>
      <c r="AC6" s="68" t="n">
        <f aca="false">Assumptions!$C$23*(1+Assumptions!$C$24)^2</f>
        <v>1653.75</v>
      </c>
      <c r="AD6" s="68" t="n">
        <f aca="false">Assumptions!$C$23*(1+Assumptions!$C$24)^2</f>
        <v>1653.75</v>
      </c>
      <c r="AE6" s="68" t="n">
        <f aca="false">Assumptions!$C$23*(1+Assumptions!$C$24)^2</f>
        <v>1653.75</v>
      </c>
      <c r="AF6" s="68" t="n">
        <f aca="false">Assumptions!$C$23*(1+Assumptions!$C$24)^2</f>
        <v>1653.75</v>
      </c>
      <c r="AG6" s="68" t="n">
        <f aca="false">Assumptions!$C$23*(1+Assumptions!$C$24)^2</f>
        <v>1653.75</v>
      </c>
      <c r="AH6" s="68" t="n">
        <f aca="false">Assumptions!$C$23*(1+Assumptions!$C$24)^2</f>
        <v>1653.75</v>
      </c>
      <c r="AI6" s="68" t="n">
        <f aca="false">Assumptions!$C$23*(1+Assumptions!$C$24)^2</f>
        <v>1653.75</v>
      </c>
      <c r="AJ6" s="68" t="n">
        <f aca="false">Assumptions!$C$23*(1+Assumptions!$C$24)^2</f>
        <v>1653.75</v>
      </c>
      <c r="AK6" s="68" t="n">
        <f aca="false">Assumptions!$C$23*(1+Assumptions!$C$24)^2</f>
        <v>1653.75</v>
      </c>
      <c r="AL6" s="68" t="n">
        <f aca="false">Assumptions!$C$23*(1+Assumptions!$C$24)^2</f>
        <v>1653.75</v>
      </c>
      <c r="AM6" s="68" t="n">
        <f aca="false">Assumptions!$C$23*(1+Assumptions!$C$24)^2</f>
        <v>1653.75</v>
      </c>
      <c r="AN6" s="69" t="n">
        <f aca="false">Assumptions!$C$23*(1+Assumptions!$C$24)^2</f>
        <v>1653.75</v>
      </c>
      <c r="AO6" s="68" t="n">
        <f aca="false">Assumptions!$C$23*(1+Assumptions!$C$24)^3</f>
        <v>1736.4375</v>
      </c>
      <c r="AP6" s="68" t="n">
        <f aca="false">Assumptions!$C$23*(1+Assumptions!$C$24)^3</f>
        <v>1736.4375</v>
      </c>
      <c r="AQ6" s="68" t="n">
        <f aca="false">Assumptions!$C$23*(1+Assumptions!$C$24)^3</f>
        <v>1736.4375</v>
      </c>
      <c r="AR6" s="68" t="n">
        <f aca="false">Assumptions!$C$23*(1+Assumptions!$C$24)^3</f>
        <v>1736.4375</v>
      </c>
      <c r="AS6" s="68" t="n">
        <f aca="false">Assumptions!$C$23*(1+Assumptions!$C$24)^3</f>
        <v>1736.4375</v>
      </c>
      <c r="AT6" s="68" t="n">
        <f aca="false">Assumptions!$C$23*(1+Assumptions!$C$24)^3</f>
        <v>1736.4375</v>
      </c>
      <c r="AU6" s="68" t="n">
        <f aca="false">Assumptions!$C$23*(1+Assumptions!$C$24)^3</f>
        <v>1736.4375</v>
      </c>
      <c r="AV6" s="68" t="n">
        <f aca="false">Assumptions!$C$23*(1+Assumptions!$C$24)^3</f>
        <v>1736.4375</v>
      </c>
      <c r="AW6" s="68" t="n">
        <f aca="false">Assumptions!$C$23*(1+Assumptions!$C$24)^3</f>
        <v>1736.4375</v>
      </c>
      <c r="AX6" s="68" t="n">
        <f aca="false">Assumptions!$C$23*(1+Assumptions!$C$24)^3</f>
        <v>1736.4375</v>
      </c>
      <c r="AY6" s="68" t="n">
        <f aca="false">Assumptions!$C$23*(1+Assumptions!$C$24)^3</f>
        <v>1736.4375</v>
      </c>
      <c r="AZ6" s="68" t="n">
        <f aca="false">Assumptions!$C$23*(1+Assumptions!$C$24)^3</f>
        <v>1736.4375</v>
      </c>
      <c r="BA6" s="69" t="n">
        <f aca="false">Assumptions!$C$23*(1+Assumptions!$C$24)^3</f>
        <v>1736.4375</v>
      </c>
      <c r="BB6" s="68" t="n">
        <f aca="false">Assumptions!$C$23*(1+Assumptions!$C$24)^4</f>
        <v>1823.259375</v>
      </c>
      <c r="BC6" s="68" t="n">
        <f aca="false">Assumptions!$C$23*(1+Assumptions!$C$24)^4</f>
        <v>1823.259375</v>
      </c>
      <c r="BD6" s="68" t="n">
        <f aca="false">Assumptions!$C$23*(1+Assumptions!$C$24)^4</f>
        <v>1823.259375</v>
      </c>
      <c r="BE6" s="68" t="n">
        <f aca="false">Assumptions!$C$23*(1+Assumptions!$C$24)^4</f>
        <v>1823.259375</v>
      </c>
      <c r="BF6" s="68" t="n">
        <f aca="false">Assumptions!$C$23*(1+Assumptions!$C$24)^4</f>
        <v>1823.259375</v>
      </c>
      <c r="BG6" s="68" t="n">
        <f aca="false">Assumptions!$C$23*(1+Assumptions!$C$24)^4</f>
        <v>1823.259375</v>
      </c>
      <c r="BH6" s="68" t="n">
        <f aca="false">Assumptions!$C$23*(1+Assumptions!$C$24)^4</f>
        <v>1823.259375</v>
      </c>
      <c r="BI6" s="68" t="n">
        <f aca="false">Assumptions!$C$23*(1+Assumptions!$C$24)^4</f>
        <v>1823.259375</v>
      </c>
      <c r="BJ6" s="68" t="n">
        <f aca="false">Assumptions!$C$23*(1+Assumptions!$C$24)^4</f>
        <v>1823.259375</v>
      </c>
      <c r="BK6" s="68" t="n">
        <f aca="false">Assumptions!$C$23*(1+Assumptions!$C$24)^4</f>
        <v>1823.259375</v>
      </c>
      <c r="BL6" s="68" t="n">
        <f aca="false">Assumptions!$C$23*(1+Assumptions!$C$24)^4</f>
        <v>1823.259375</v>
      </c>
      <c r="BM6" s="68" t="n">
        <f aca="false">Assumptions!$C$23*(1+Assumptions!$C$24)^4</f>
        <v>1823.259375</v>
      </c>
      <c r="BN6" s="69" t="n">
        <f aca="false">Assumptions!$C$23*(1+Assumptions!$C$24)^4</f>
        <v>1823.259375</v>
      </c>
    </row>
    <row r="7" customFormat="false" ht="15" hidden="false" customHeight="true" outlineLevel="0" collapsed="false">
      <c r="A7" s="64" t="s">
        <v>339</v>
      </c>
      <c r="B7" s="65" t="n">
        <f aca="false">B5*B6</f>
        <v>756000</v>
      </c>
      <c r="C7" s="65" t="n">
        <f aca="false">C5*C6</f>
        <v>756000</v>
      </c>
      <c r="D7" s="65" t="n">
        <f aca="false">D5*D6</f>
        <v>864000</v>
      </c>
      <c r="E7" s="65" t="n">
        <f aca="false">E5*E6</f>
        <v>864000</v>
      </c>
      <c r="F7" s="65" t="n">
        <f aca="false">F5*F6</f>
        <v>972000</v>
      </c>
      <c r="G7" s="65" t="n">
        <f aca="false">G5*G6</f>
        <v>972000</v>
      </c>
      <c r="H7" s="65" t="n">
        <f aca="false">H5*H6</f>
        <v>972000</v>
      </c>
      <c r="I7" s="65" t="n">
        <f aca="false">I5*I6</f>
        <v>972000</v>
      </c>
      <c r="J7" s="65" t="n">
        <f aca="false">J5*J6</f>
        <v>864000</v>
      </c>
      <c r="K7" s="65" t="n">
        <f aca="false">K5*K6</f>
        <v>864000</v>
      </c>
      <c r="L7" s="65" t="n">
        <f aca="false">L5*L6</f>
        <v>972000</v>
      </c>
      <c r="M7" s="65" t="n">
        <f aca="false">M5*M6</f>
        <v>972000</v>
      </c>
      <c r="N7" s="66" t="n">
        <f aca="false">SUM(B7:M7)</f>
        <v>10800000</v>
      </c>
      <c r="O7" s="65" t="n">
        <f aca="false">O5*O6</f>
        <v>859950</v>
      </c>
      <c r="P7" s="65" t="n">
        <f aca="false">P5*P6</f>
        <v>859950</v>
      </c>
      <c r="Q7" s="65" t="n">
        <f aca="false">Q5*Q6</f>
        <v>982800</v>
      </c>
      <c r="R7" s="65" t="n">
        <f aca="false">R5*R6</f>
        <v>982800</v>
      </c>
      <c r="S7" s="65" t="n">
        <f aca="false">S5*S6</f>
        <v>1105650</v>
      </c>
      <c r="T7" s="65" t="n">
        <f aca="false">T5*T6</f>
        <v>1105650</v>
      </c>
      <c r="U7" s="65" t="n">
        <f aca="false">U5*U6</f>
        <v>1105650</v>
      </c>
      <c r="V7" s="65" t="n">
        <f aca="false">V5*V6</f>
        <v>1105650</v>
      </c>
      <c r="W7" s="65" t="n">
        <f aca="false">W5*W6</f>
        <v>982800</v>
      </c>
      <c r="X7" s="65" t="n">
        <f aca="false">X5*X6</f>
        <v>982800</v>
      </c>
      <c r="Y7" s="65" t="n">
        <f aca="false">Y5*Y6</f>
        <v>1105650</v>
      </c>
      <c r="Z7" s="65" t="n">
        <f aca="false">Z5*Z6</f>
        <v>1105650</v>
      </c>
      <c r="AA7" s="66" t="n">
        <f aca="false">SUM(O7:Z7)</f>
        <v>12285000</v>
      </c>
      <c r="AB7" s="65" t="n">
        <f aca="false">AB5*AB6</f>
        <v>972405</v>
      </c>
      <c r="AC7" s="65" t="n">
        <f aca="false">AC5*AC6</f>
        <v>972405</v>
      </c>
      <c r="AD7" s="65" t="n">
        <f aca="false">AD5*AD6</f>
        <v>1111320</v>
      </c>
      <c r="AE7" s="65" t="n">
        <f aca="false">AE5*AE6</f>
        <v>1111320</v>
      </c>
      <c r="AF7" s="65" t="n">
        <f aca="false">AF5*AF6</f>
        <v>1250235</v>
      </c>
      <c r="AG7" s="65" t="n">
        <f aca="false">AG5*AG6</f>
        <v>1250235</v>
      </c>
      <c r="AH7" s="65" t="n">
        <f aca="false">AH5*AH6</f>
        <v>1250235</v>
      </c>
      <c r="AI7" s="65" t="n">
        <f aca="false">AI5*AI6</f>
        <v>1250235</v>
      </c>
      <c r="AJ7" s="65" t="n">
        <f aca="false">AJ5*AJ6</f>
        <v>1111320</v>
      </c>
      <c r="AK7" s="65" t="n">
        <f aca="false">AK5*AK6</f>
        <v>1111320</v>
      </c>
      <c r="AL7" s="65" t="n">
        <f aca="false">AL5*AL6</f>
        <v>1250235</v>
      </c>
      <c r="AM7" s="65" t="n">
        <f aca="false">AM5*AM6</f>
        <v>1250235</v>
      </c>
      <c r="AN7" s="66" t="n">
        <f aca="false">SUM(AB7:AM7)</f>
        <v>13891500</v>
      </c>
      <c r="AO7" s="65" t="n">
        <f aca="false">AO5*AO6</f>
        <v>1093955.625</v>
      </c>
      <c r="AP7" s="65" t="n">
        <f aca="false">AP5*AP6</f>
        <v>1093955.625</v>
      </c>
      <c r="AQ7" s="65" t="n">
        <f aca="false">AQ5*AQ6</f>
        <v>1250235</v>
      </c>
      <c r="AR7" s="65" t="n">
        <f aca="false">AR5*AR6</f>
        <v>1250235</v>
      </c>
      <c r="AS7" s="65" t="n">
        <f aca="false">AS5*AS6</f>
        <v>1406514.375</v>
      </c>
      <c r="AT7" s="65" t="n">
        <f aca="false">AT5*AT6</f>
        <v>1406514.375</v>
      </c>
      <c r="AU7" s="65" t="n">
        <f aca="false">AU5*AU6</f>
        <v>1406514.375</v>
      </c>
      <c r="AV7" s="65" t="n">
        <f aca="false">AV5*AV6</f>
        <v>1406514.375</v>
      </c>
      <c r="AW7" s="65" t="n">
        <f aca="false">AW5*AW6</f>
        <v>1250235</v>
      </c>
      <c r="AX7" s="65" t="n">
        <f aca="false">AX5*AX6</f>
        <v>1250235</v>
      </c>
      <c r="AY7" s="65" t="n">
        <f aca="false">AY5*AY6</f>
        <v>1406514.375</v>
      </c>
      <c r="AZ7" s="65" t="n">
        <f aca="false">AZ5*AZ6</f>
        <v>1406514.375</v>
      </c>
      <c r="BA7" s="66" t="n">
        <f aca="false">SUM(AO7:AZ7)</f>
        <v>15627937.5</v>
      </c>
      <c r="BB7" s="65" t="n">
        <f aca="false">BB5*BB6</f>
        <v>1225230.3</v>
      </c>
      <c r="BC7" s="65" t="n">
        <f aca="false">BC5*BC6</f>
        <v>1225230.3</v>
      </c>
      <c r="BD7" s="65" t="n">
        <f aca="false">BD5*BD6</f>
        <v>1400263.2</v>
      </c>
      <c r="BE7" s="65" t="n">
        <f aca="false">BE5*BE6</f>
        <v>1400263.2</v>
      </c>
      <c r="BF7" s="65" t="n">
        <f aca="false">BF5*BF6</f>
        <v>1575296.1</v>
      </c>
      <c r="BG7" s="65" t="n">
        <f aca="false">BG5*BG6</f>
        <v>1575296.1</v>
      </c>
      <c r="BH7" s="65" t="n">
        <f aca="false">BH5*BH6</f>
        <v>1575296.1</v>
      </c>
      <c r="BI7" s="65" t="n">
        <f aca="false">BI5*BI6</f>
        <v>1575296.1</v>
      </c>
      <c r="BJ7" s="65" t="n">
        <f aca="false">BJ5*BJ6</f>
        <v>1400263.2</v>
      </c>
      <c r="BK7" s="65" t="n">
        <f aca="false">BK5*BK6</f>
        <v>1400263.2</v>
      </c>
      <c r="BL7" s="65" t="n">
        <f aca="false">BL5*BL6</f>
        <v>1575296.1</v>
      </c>
      <c r="BM7" s="65" t="n">
        <f aca="false">BM5*BM6</f>
        <v>1575296.1</v>
      </c>
      <c r="BN7" s="66" t="n">
        <f aca="false">SUM(BB7:BM7)</f>
        <v>17503290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Raw materials</v>
      </c>
      <c r="B5" s="67" t="n">
        <f aca="false">Production!B6*(Assumptions!$C$25*(1+Assumptions!$C$26)^0)</f>
        <v>453600</v>
      </c>
      <c r="C5" s="67" t="n">
        <f aca="false">Production!C6*(Assumptions!$C$25*(1+Assumptions!$C$26)^0)</f>
        <v>453600</v>
      </c>
      <c r="D5" s="67" t="n">
        <f aca="false">Production!D6*(Assumptions!$C$25*(1+Assumptions!$C$26)^0)</f>
        <v>518400</v>
      </c>
      <c r="E5" s="67" t="n">
        <f aca="false">Production!E6*(Assumptions!$C$25*(1+Assumptions!$C$26)^0)</f>
        <v>518400</v>
      </c>
      <c r="F5" s="67" t="n">
        <f aca="false">Production!F6*(Assumptions!$C$25*(1+Assumptions!$C$26)^0)</f>
        <v>583200</v>
      </c>
      <c r="G5" s="67" t="n">
        <f aca="false">Production!G6*(Assumptions!$C$25*(1+Assumptions!$C$26)^0)</f>
        <v>583200</v>
      </c>
      <c r="H5" s="67" t="n">
        <f aca="false">Production!H6*(Assumptions!$C$25*(1+Assumptions!$C$26)^0)</f>
        <v>583200</v>
      </c>
      <c r="I5" s="67" t="n">
        <f aca="false">Production!I6*(Assumptions!$C$25*(1+Assumptions!$C$26)^0)</f>
        <v>583200</v>
      </c>
      <c r="J5" s="67" t="n">
        <f aca="false">Production!J6*(Assumptions!$C$25*(1+Assumptions!$C$26)^0)</f>
        <v>518400</v>
      </c>
      <c r="K5" s="67" t="n">
        <f aca="false">Production!K6*(Assumptions!$C$25*(1+Assumptions!$C$26)^0)</f>
        <v>518400</v>
      </c>
      <c r="L5" s="67" t="n">
        <f aca="false">Production!L6*(Assumptions!$C$25*(1+Assumptions!$C$26)^0)</f>
        <v>583200</v>
      </c>
      <c r="M5" s="67" t="n">
        <f aca="false">Production!M6*(Assumptions!$C$25*(1+Assumptions!$C$26)^0)</f>
        <v>583200</v>
      </c>
      <c r="N5" s="66" t="n">
        <f aca="false">SUM(B5:M5)</f>
        <v>6480000</v>
      </c>
      <c r="O5" s="67" t="n">
        <f aca="false">Production!O6*(Assumptions!$C$25*(1+Assumptions!$C$26)^1)</f>
        <v>511056</v>
      </c>
      <c r="P5" s="67" t="n">
        <f aca="false">Production!P6*(Assumptions!$C$25*(1+Assumptions!$C$26)^1)</f>
        <v>511056</v>
      </c>
      <c r="Q5" s="67" t="n">
        <f aca="false">Production!Q6*(Assumptions!$C$25*(1+Assumptions!$C$26)^1)</f>
        <v>584064</v>
      </c>
      <c r="R5" s="67" t="n">
        <f aca="false">Production!R6*(Assumptions!$C$25*(1+Assumptions!$C$26)^1)</f>
        <v>584064</v>
      </c>
      <c r="S5" s="67" t="n">
        <f aca="false">Production!S6*(Assumptions!$C$25*(1+Assumptions!$C$26)^1)</f>
        <v>657072</v>
      </c>
      <c r="T5" s="67" t="n">
        <f aca="false">Production!T6*(Assumptions!$C$25*(1+Assumptions!$C$26)^1)</f>
        <v>657072</v>
      </c>
      <c r="U5" s="67" t="n">
        <f aca="false">Production!U6*(Assumptions!$C$25*(1+Assumptions!$C$26)^1)</f>
        <v>657072</v>
      </c>
      <c r="V5" s="67" t="n">
        <f aca="false">Production!V6*(Assumptions!$C$25*(1+Assumptions!$C$26)^1)</f>
        <v>657072</v>
      </c>
      <c r="W5" s="67" t="n">
        <f aca="false">Production!W6*(Assumptions!$C$25*(1+Assumptions!$C$26)^1)</f>
        <v>584064</v>
      </c>
      <c r="X5" s="67" t="n">
        <f aca="false">Production!X6*(Assumptions!$C$25*(1+Assumptions!$C$26)^1)</f>
        <v>584064</v>
      </c>
      <c r="Y5" s="67" t="n">
        <f aca="false">Production!Y6*(Assumptions!$C$25*(1+Assumptions!$C$26)^1)</f>
        <v>657072</v>
      </c>
      <c r="Z5" s="67" t="n">
        <f aca="false">Production!Z6*(Assumptions!$C$25*(1+Assumptions!$C$26)^1)</f>
        <v>657072</v>
      </c>
      <c r="AA5" s="66" t="n">
        <f aca="false">SUM(O5:Z5)</f>
        <v>7300800</v>
      </c>
      <c r="AB5" s="67" t="n">
        <f aca="false">Production!AB6*(Assumptions!$C$25*(1+Assumptions!$C$26)^2)</f>
        <v>572382.72</v>
      </c>
      <c r="AC5" s="67" t="n">
        <f aca="false">Production!AC6*(Assumptions!$C$25*(1+Assumptions!$C$26)^2)</f>
        <v>572382.72</v>
      </c>
      <c r="AD5" s="67" t="n">
        <f aca="false">Production!AD6*(Assumptions!$C$25*(1+Assumptions!$C$26)^2)</f>
        <v>654151.68</v>
      </c>
      <c r="AE5" s="67" t="n">
        <f aca="false">Production!AE6*(Assumptions!$C$25*(1+Assumptions!$C$26)^2)</f>
        <v>654151.68</v>
      </c>
      <c r="AF5" s="67" t="n">
        <f aca="false">Production!AF6*(Assumptions!$C$25*(1+Assumptions!$C$26)^2)</f>
        <v>735920.64</v>
      </c>
      <c r="AG5" s="67" t="n">
        <f aca="false">Production!AG6*(Assumptions!$C$25*(1+Assumptions!$C$26)^2)</f>
        <v>735920.64</v>
      </c>
      <c r="AH5" s="67" t="n">
        <f aca="false">Production!AH6*(Assumptions!$C$25*(1+Assumptions!$C$26)^2)</f>
        <v>735920.64</v>
      </c>
      <c r="AI5" s="67" t="n">
        <f aca="false">Production!AI6*(Assumptions!$C$25*(1+Assumptions!$C$26)^2)</f>
        <v>735920.64</v>
      </c>
      <c r="AJ5" s="67" t="n">
        <f aca="false">Production!AJ6*(Assumptions!$C$25*(1+Assumptions!$C$26)^2)</f>
        <v>654151.68</v>
      </c>
      <c r="AK5" s="67" t="n">
        <f aca="false">Production!AK6*(Assumptions!$C$25*(1+Assumptions!$C$26)^2)</f>
        <v>654151.68</v>
      </c>
      <c r="AL5" s="67" t="n">
        <f aca="false">Production!AL6*(Assumptions!$C$25*(1+Assumptions!$C$26)^2)</f>
        <v>735920.64</v>
      </c>
      <c r="AM5" s="67" t="n">
        <f aca="false">Production!AM6*(Assumptions!$C$25*(1+Assumptions!$C$26)^2)</f>
        <v>735920.64</v>
      </c>
      <c r="AN5" s="66" t="n">
        <f aca="false">SUM(AB5:AM5)</f>
        <v>8176896</v>
      </c>
      <c r="AO5" s="67" t="n">
        <f aca="false">Production!AO6*(Assumptions!$C$25*(1+Assumptions!$C$26)^3)</f>
        <v>637797.888</v>
      </c>
      <c r="AP5" s="67" t="n">
        <f aca="false">Production!AP6*(Assumptions!$C$25*(1+Assumptions!$C$26)^3)</f>
        <v>637797.888</v>
      </c>
      <c r="AQ5" s="67" t="n">
        <f aca="false">Production!AQ6*(Assumptions!$C$25*(1+Assumptions!$C$26)^3)</f>
        <v>728911.872</v>
      </c>
      <c r="AR5" s="67" t="n">
        <f aca="false">Production!AR6*(Assumptions!$C$25*(1+Assumptions!$C$26)^3)</f>
        <v>728911.872</v>
      </c>
      <c r="AS5" s="67" t="n">
        <f aca="false">Production!AS6*(Assumptions!$C$25*(1+Assumptions!$C$26)^3)</f>
        <v>820025.856</v>
      </c>
      <c r="AT5" s="67" t="n">
        <f aca="false">Production!AT6*(Assumptions!$C$25*(1+Assumptions!$C$26)^3)</f>
        <v>820025.856</v>
      </c>
      <c r="AU5" s="67" t="n">
        <f aca="false">Production!AU6*(Assumptions!$C$25*(1+Assumptions!$C$26)^3)</f>
        <v>820025.856</v>
      </c>
      <c r="AV5" s="67" t="n">
        <f aca="false">Production!AV6*(Assumptions!$C$25*(1+Assumptions!$C$26)^3)</f>
        <v>820025.856</v>
      </c>
      <c r="AW5" s="67" t="n">
        <f aca="false">Production!AW6*(Assumptions!$C$25*(1+Assumptions!$C$26)^3)</f>
        <v>728911.872</v>
      </c>
      <c r="AX5" s="67" t="n">
        <f aca="false">Production!AX6*(Assumptions!$C$25*(1+Assumptions!$C$26)^3)</f>
        <v>728911.872</v>
      </c>
      <c r="AY5" s="67" t="n">
        <f aca="false">Production!AY6*(Assumptions!$C$25*(1+Assumptions!$C$26)^3)</f>
        <v>820025.856</v>
      </c>
      <c r="AZ5" s="67" t="n">
        <f aca="false">Production!AZ6*(Assumptions!$C$25*(1+Assumptions!$C$26)^3)</f>
        <v>820025.856</v>
      </c>
      <c r="BA5" s="66" t="n">
        <f aca="false">SUM(AO5:AZ5)</f>
        <v>9111398.4</v>
      </c>
      <c r="BB5" s="67" t="n">
        <f aca="false">Production!BB6*(Assumptions!$C$25*(1+Assumptions!$C$26)^4)</f>
        <v>707530.457088</v>
      </c>
      <c r="BC5" s="67" t="n">
        <f aca="false">Production!BC6*(Assumptions!$C$25*(1+Assumptions!$C$26)^4)</f>
        <v>707530.457088</v>
      </c>
      <c r="BD5" s="67" t="n">
        <f aca="false">Production!BD6*(Assumptions!$C$25*(1+Assumptions!$C$26)^4)</f>
        <v>808606.236672</v>
      </c>
      <c r="BE5" s="67" t="n">
        <f aca="false">Production!BE6*(Assumptions!$C$25*(1+Assumptions!$C$26)^4)</f>
        <v>808606.236672</v>
      </c>
      <c r="BF5" s="67" t="n">
        <f aca="false">Production!BF6*(Assumptions!$C$25*(1+Assumptions!$C$26)^4)</f>
        <v>909682.016256</v>
      </c>
      <c r="BG5" s="67" t="n">
        <f aca="false">Production!BG6*(Assumptions!$C$25*(1+Assumptions!$C$26)^4)</f>
        <v>909682.016256</v>
      </c>
      <c r="BH5" s="67" t="n">
        <f aca="false">Production!BH6*(Assumptions!$C$25*(1+Assumptions!$C$26)^4)</f>
        <v>909682.016256</v>
      </c>
      <c r="BI5" s="67" t="n">
        <f aca="false">Production!BI6*(Assumptions!$C$25*(1+Assumptions!$C$26)^4)</f>
        <v>909682.016256</v>
      </c>
      <c r="BJ5" s="67" t="n">
        <f aca="false">Production!BJ6*(Assumptions!$C$25*(1+Assumptions!$C$26)^4)</f>
        <v>808606.236672</v>
      </c>
      <c r="BK5" s="67" t="n">
        <f aca="false">Production!BK6*(Assumptions!$C$25*(1+Assumptions!$C$26)^4)</f>
        <v>808606.236672</v>
      </c>
      <c r="BL5" s="67" t="n">
        <f aca="false">Production!BL6*(Assumptions!$C$25*(1+Assumptions!$C$26)^4)</f>
        <v>909682.016256</v>
      </c>
      <c r="BM5" s="67" t="n">
        <f aca="false">Production!BM6*(Assumptions!$C$25*(1+Assumptions!$C$26)^4)</f>
        <v>909682.016256</v>
      </c>
      <c r="BN5" s="66" t="n">
        <f aca="false">SUM(BB5:BM5)</f>
        <v>10107577.9584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25200</v>
      </c>
      <c r="C6" s="67" t="n">
        <f aca="false">Production!C6*(Assumptions!$C$27*(1+Assumptions!$C$28)^0)</f>
        <v>25200</v>
      </c>
      <c r="D6" s="67" t="n">
        <f aca="false">Production!D6*(Assumptions!$C$27*(1+Assumptions!$C$28)^0)</f>
        <v>28800</v>
      </c>
      <c r="E6" s="67" t="n">
        <f aca="false">Production!E6*(Assumptions!$C$27*(1+Assumptions!$C$28)^0)</f>
        <v>28800</v>
      </c>
      <c r="F6" s="67" t="n">
        <f aca="false">Production!F6*(Assumptions!$C$27*(1+Assumptions!$C$28)^0)</f>
        <v>32400</v>
      </c>
      <c r="G6" s="67" t="n">
        <f aca="false">Production!G6*(Assumptions!$C$27*(1+Assumptions!$C$28)^0)</f>
        <v>32400</v>
      </c>
      <c r="H6" s="67" t="n">
        <f aca="false">Production!H6*(Assumptions!$C$27*(1+Assumptions!$C$28)^0)</f>
        <v>32400</v>
      </c>
      <c r="I6" s="67" t="n">
        <f aca="false">Production!I6*(Assumptions!$C$27*(1+Assumptions!$C$28)^0)</f>
        <v>32400</v>
      </c>
      <c r="J6" s="67" t="n">
        <f aca="false">Production!J6*(Assumptions!$C$27*(1+Assumptions!$C$28)^0)</f>
        <v>28800</v>
      </c>
      <c r="K6" s="67" t="n">
        <f aca="false">Production!K6*(Assumptions!$C$27*(1+Assumptions!$C$28)^0)</f>
        <v>28800</v>
      </c>
      <c r="L6" s="67" t="n">
        <f aca="false">Production!L6*(Assumptions!$C$27*(1+Assumptions!$C$28)^0)</f>
        <v>32400</v>
      </c>
      <c r="M6" s="67" t="n">
        <f aca="false">Production!M6*(Assumptions!$C$27*(1+Assumptions!$C$28)^0)</f>
        <v>32400</v>
      </c>
      <c r="N6" s="66" t="n">
        <f aca="false">SUM(B6:M6)</f>
        <v>360000</v>
      </c>
      <c r="O6" s="67" t="n">
        <f aca="false">Production!O6*(Assumptions!$C$27*(1+Assumptions!$C$28)^1)</f>
        <v>28392</v>
      </c>
      <c r="P6" s="67" t="n">
        <f aca="false">Production!P6*(Assumptions!$C$27*(1+Assumptions!$C$28)^1)</f>
        <v>28392</v>
      </c>
      <c r="Q6" s="67" t="n">
        <f aca="false">Production!Q6*(Assumptions!$C$27*(1+Assumptions!$C$28)^1)</f>
        <v>32448</v>
      </c>
      <c r="R6" s="67" t="n">
        <f aca="false">Production!R6*(Assumptions!$C$27*(1+Assumptions!$C$28)^1)</f>
        <v>32448</v>
      </c>
      <c r="S6" s="67" t="n">
        <f aca="false">Production!S6*(Assumptions!$C$27*(1+Assumptions!$C$28)^1)</f>
        <v>36504</v>
      </c>
      <c r="T6" s="67" t="n">
        <f aca="false">Production!T6*(Assumptions!$C$27*(1+Assumptions!$C$28)^1)</f>
        <v>36504</v>
      </c>
      <c r="U6" s="67" t="n">
        <f aca="false">Production!U6*(Assumptions!$C$27*(1+Assumptions!$C$28)^1)</f>
        <v>36504</v>
      </c>
      <c r="V6" s="67" t="n">
        <f aca="false">Production!V6*(Assumptions!$C$27*(1+Assumptions!$C$28)^1)</f>
        <v>36504</v>
      </c>
      <c r="W6" s="67" t="n">
        <f aca="false">Production!W6*(Assumptions!$C$27*(1+Assumptions!$C$28)^1)</f>
        <v>32448</v>
      </c>
      <c r="X6" s="67" t="n">
        <f aca="false">Production!X6*(Assumptions!$C$27*(1+Assumptions!$C$28)^1)</f>
        <v>32448</v>
      </c>
      <c r="Y6" s="67" t="n">
        <f aca="false">Production!Y6*(Assumptions!$C$27*(1+Assumptions!$C$28)^1)</f>
        <v>36504</v>
      </c>
      <c r="Z6" s="67" t="n">
        <f aca="false">Production!Z6*(Assumptions!$C$27*(1+Assumptions!$C$28)^1)</f>
        <v>36504</v>
      </c>
      <c r="AA6" s="66" t="n">
        <f aca="false">SUM(O6:Z6)</f>
        <v>405600</v>
      </c>
      <c r="AB6" s="67" t="n">
        <f aca="false">Production!AB6*(Assumptions!$C$27*(1+Assumptions!$C$28)^2)</f>
        <v>31799.04</v>
      </c>
      <c r="AC6" s="67" t="n">
        <f aca="false">Production!AC6*(Assumptions!$C$27*(1+Assumptions!$C$28)^2)</f>
        <v>31799.04</v>
      </c>
      <c r="AD6" s="67" t="n">
        <f aca="false">Production!AD6*(Assumptions!$C$27*(1+Assumptions!$C$28)^2)</f>
        <v>36341.76</v>
      </c>
      <c r="AE6" s="67" t="n">
        <f aca="false">Production!AE6*(Assumptions!$C$27*(1+Assumptions!$C$28)^2)</f>
        <v>36341.76</v>
      </c>
      <c r="AF6" s="67" t="n">
        <f aca="false">Production!AF6*(Assumptions!$C$27*(1+Assumptions!$C$28)^2)</f>
        <v>40884.48</v>
      </c>
      <c r="AG6" s="67" t="n">
        <f aca="false">Production!AG6*(Assumptions!$C$27*(1+Assumptions!$C$28)^2)</f>
        <v>40884.48</v>
      </c>
      <c r="AH6" s="67" t="n">
        <f aca="false">Production!AH6*(Assumptions!$C$27*(1+Assumptions!$C$28)^2)</f>
        <v>40884.48</v>
      </c>
      <c r="AI6" s="67" t="n">
        <f aca="false">Production!AI6*(Assumptions!$C$27*(1+Assumptions!$C$28)^2)</f>
        <v>40884.48</v>
      </c>
      <c r="AJ6" s="67" t="n">
        <f aca="false">Production!AJ6*(Assumptions!$C$27*(1+Assumptions!$C$28)^2)</f>
        <v>36341.76</v>
      </c>
      <c r="AK6" s="67" t="n">
        <f aca="false">Production!AK6*(Assumptions!$C$27*(1+Assumptions!$C$28)^2)</f>
        <v>36341.76</v>
      </c>
      <c r="AL6" s="67" t="n">
        <f aca="false">Production!AL6*(Assumptions!$C$27*(1+Assumptions!$C$28)^2)</f>
        <v>40884.48</v>
      </c>
      <c r="AM6" s="67" t="n">
        <f aca="false">Production!AM6*(Assumptions!$C$27*(1+Assumptions!$C$28)^2)</f>
        <v>40884.48</v>
      </c>
      <c r="AN6" s="66" t="n">
        <f aca="false">SUM(AB6:AM6)</f>
        <v>454272</v>
      </c>
      <c r="AO6" s="67" t="n">
        <f aca="false">Production!AO6*(Assumptions!$C$27*(1+Assumptions!$C$28)^3)</f>
        <v>35433.216</v>
      </c>
      <c r="AP6" s="67" t="n">
        <f aca="false">Production!AP6*(Assumptions!$C$27*(1+Assumptions!$C$28)^3)</f>
        <v>35433.216</v>
      </c>
      <c r="AQ6" s="67" t="n">
        <f aca="false">Production!AQ6*(Assumptions!$C$27*(1+Assumptions!$C$28)^3)</f>
        <v>40495.104</v>
      </c>
      <c r="AR6" s="67" t="n">
        <f aca="false">Production!AR6*(Assumptions!$C$27*(1+Assumptions!$C$28)^3)</f>
        <v>40495.104</v>
      </c>
      <c r="AS6" s="67" t="n">
        <f aca="false">Production!AS6*(Assumptions!$C$27*(1+Assumptions!$C$28)^3)</f>
        <v>45556.992</v>
      </c>
      <c r="AT6" s="67" t="n">
        <f aca="false">Production!AT6*(Assumptions!$C$27*(1+Assumptions!$C$28)^3)</f>
        <v>45556.992</v>
      </c>
      <c r="AU6" s="67" t="n">
        <f aca="false">Production!AU6*(Assumptions!$C$27*(1+Assumptions!$C$28)^3)</f>
        <v>45556.992</v>
      </c>
      <c r="AV6" s="67" t="n">
        <f aca="false">Production!AV6*(Assumptions!$C$27*(1+Assumptions!$C$28)^3)</f>
        <v>45556.992</v>
      </c>
      <c r="AW6" s="67" t="n">
        <f aca="false">Production!AW6*(Assumptions!$C$27*(1+Assumptions!$C$28)^3)</f>
        <v>40495.104</v>
      </c>
      <c r="AX6" s="67" t="n">
        <f aca="false">Production!AX6*(Assumptions!$C$27*(1+Assumptions!$C$28)^3)</f>
        <v>40495.104</v>
      </c>
      <c r="AY6" s="67" t="n">
        <f aca="false">Production!AY6*(Assumptions!$C$27*(1+Assumptions!$C$28)^3)</f>
        <v>45556.992</v>
      </c>
      <c r="AZ6" s="67" t="n">
        <f aca="false">Production!AZ6*(Assumptions!$C$27*(1+Assumptions!$C$28)^3)</f>
        <v>45556.992</v>
      </c>
      <c r="BA6" s="66" t="n">
        <f aca="false">SUM(AO6:AZ6)</f>
        <v>506188.8</v>
      </c>
      <c r="BB6" s="67" t="n">
        <f aca="false">Production!BB6*(Assumptions!$C$27*(1+Assumptions!$C$28)^4)</f>
        <v>39307.247616</v>
      </c>
      <c r="BC6" s="67" t="n">
        <f aca="false">Production!BC6*(Assumptions!$C$27*(1+Assumptions!$C$28)^4)</f>
        <v>39307.247616</v>
      </c>
      <c r="BD6" s="67" t="n">
        <f aca="false">Production!BD6*(Assumptions!$C$27*(1+Assumptions!$C$28)^4)</f>
        <v>44922.568704</v>
      </c>
      <c r="BE6" s="67" t="n">
        <f aca="false">Production!BE6*(Assumptions!$C$27*(1+Assumptions!$C$28)^4)</f>
        <v>44922.568704</v>
      </c>
      <c r="BF6" s="67" t="n">
        <f aca="false">Production!BF6*(Assumptions!$C$27*(1+Assumptions!$C$28)^4)</f>
        <v>50537.889792</v>
      </c>
      <c r="BG6" s="67" t="n">
        <f aca="false">Production!BG6*(Assumptions!$C$27*(1+Assumptions!$C$28)^4)</f>
        <v>50537.889792</v>
      </c>
      <c r="BH6" s="67" t="n">
        <f aca="false">Production!BH6*(Assumptions!$C$27*(1+Assumptions!$C$28)^4)</f>
        <v>50537.889792</v>
      </c>
      <c r="BI6" s="67" t="n">
        <f aca="false">Production!BI6*(Assumptions!$C$27*(1+Assumptions!$C$28)^4)</f>
        <v>50537.889792</v>
      </c>
      <c r="BJ6" s="67" t="n">
        <f aca="false">Production!BJ6*(Assumptions!$C$27*(1+Assumptions!$C$28)^4)</f>
        <v>44922.568704</v>
      </c>
      <c r="BK6" s="67" t="n">
        <f aca="false">Production!BK6*(Assumptions!$C$27*(1+Assumptions!$C$28)^4)</f>
        <v>44922.568704</v>
      </c>
      <c r="BL6" s="67" t="n">
        <f aca="false">Production!BL6*(Assumptions!$C$27*(1+Assumptions!$C$28)^4)</f>
        <v>50537.889792</v>
      </c>
      <c r="BM6" s="67" t="n">
        <f aca="false">Production!BM6*(Assumptions!$C$27*(1+Assumptions!$C$28)^4)</f>
        <v>50537.889792</v>
      </c>
      <c r="BN6" s="66" t="n">
        <f aca="false">SUM(BB6:BM6)</f>
        <v>561532.1088</v>
      </c>
    </row>
    <row r="7" customFormat="false" ht="15" hidden="false" customHeight="true" outlineLevel="0" collapsed="false">
      <c r="A7" s="7" t="s">
        <v>342</v>
      </c>
      <c r="B7" s="70" t="n">
        <f aca="false">Assumptions!$C$32*(1+Assumptions!$C$33)^0</f>
        <v>60000</v>
      </c>
      <c r="C7" s="70" t="n">
        <f aca="false">Assumptions!$C$32*(1+Assumptions!$C$33)^0</f>
        <v>60000</v>
      </c>
      <c r="D7" s="70" t="n">
        <f aca="false">Assumptions!$C$32*(1+Assumptions!$C$33)^0</f>
        <v>60000</v>
      </c>
      <c r="E7" s="70" t="n">
        <f aca="false">Assumptions!$C$32*(1+Assumptions!$C$33)^0</f>
        <v>60000</v>
      </c>
      <c r="F7" s="70" t="n">
        <f aca="false">Assumptions!$C$32*(1+Assumptions!$C$33)^0</f>
        <v>60000</v>
      </c>
      <c r="G7" s="70" t="n">
        <f aca="false">Assumptions!$C$32*(1+Assumptions!$C$33)^0</f>
        <v>60000</v>
      </c>
      <c r="H7" s="70" t="n">
        <f aca="false">Assumptions!$C$32*(1+Assumptions!$C$33)^0</f>
        <v>60000</v>
      </c>
      <c r="I7" s="70" t="n">
        <f aca="false">Assumptions!$C$32*(1+Assumptions!$C$33)^0</f>
        <v>60000</v>
      </c>
      <c r="J7" s="70" t="n">
        <f aca="false">Assumptions!$C$32*(1+Assumptions!$C$33)^0</f>
        <v>60000</v>
      </c>
      <c r="K7" s="70" t="n">
        <f aca="false">Assumptions!$C$32*(1+Assumptions!$C$33)^0</f>
        <v>60000</v>
      </c>
      <c r="L7" s="70" t="n">
        <f aca="false">Assumptions!$C$32*(1+Assumptions!$C$33)^0</f>
        <v>60000</v>
      </c>
      <c r="M7" s="70" t="n">
        <f aca="false">Assumptions!$C$32*(1+Assumptions!$C$33)^0</f>
        <v>60000</v>
      </c>
      <c r="N7" s="66" t="n">
        <f aca="false">SUM(B7:M7)</f>
        <v>720000</v>
      </c>
      <c r="O7" s="70" t="n">
        <f aca="false">Assumptions!$C$32*(1+Assumptions!$C$33)^1</f>
        <v>63000</v>
      </c>
      <c r="P7" s="70" t="n">
        <f aca="false">Assumptions!$C$32*(1+Assumptions!$C$33)^1</f>
        <v>63000</v>
      </c>
      <c r="Q7" s="70" t="n">
        <f aca="false">Assumptions!$C$32*(1+Assumptions!$C$33)^1</f>
        <v>63000</v>
      </c>
      <c r="R7" s="70" t="n">
        <f aca="false">Assumptions!$C$32*(1+Assumptions!$C$33)^1</f>
        <v>63000</v>
      </c>
      <c r="S7" s="70" t="n">
        <f aca="false">Assumptions!$C$32*(1+Assumptions!$C$33)^1</f>
        <v>63000</v>
      </c>
      <c r="T7" s="70" t="n">
        <f aca="false">Assumptions!$C$32*(1+Assumptions!$C$33)^1</f>
        <v>63000</v>
      </c>
      <c r="U7" s="70" t="n">
        <f aca="false">Assumptions!$C$32*(1+Assumptions!$C$33)^1</f>
        <v>63000</v>
      </c>
      <c r="V7" s="70" t="n">
        <f aca="false">Assumptions!$C$32*(1+Assumptions!$C$33)^1</f>
        <v>63000</v>
      </c>
      <c r="W7" s="70" t="n">
        <f aca="false">Assumptions!$C$32*(1+Assumptions!$C$33)^1</f>
        <v>63000</v>
      </c>
      <c r="X7" s="70" t="n">
        <f aca="false">Assumptions!$C$32*(1+Assumptions!$C$33)^1</f>
        <v>63000</v>
      </c>
      <c r="Y7" s="70" t="n">
        <f aca="false">Assumptions!$C$32*(1+Assumptions!$C$33)^1</f>
        <v>63000</v>
      </c>
      <c r="Z7" s="70" t="n">
        <f aca="false">Assumptions!$C$32*(1+Assumptions!$C$33)^1</f>
        <v>63000</v>
      </c>
      <c r="AA7" s="66" t="n">
        <f aca="false">SUM(O7:Z7)</f>
        <v>756000</v>
      </c>
      <c r="AB7" s="70" t="n">
        <f aca="false">Assumptions!$C$32*(1+Assumptions!$C$33)^2</f>
        <v>66150</v>
      </c>
      <c r="AC7" s="70" t="n">
        <f aca="false">Assumptions!$C$32*(1+Assumptions!$C$33)^2</f>
        <v>66150</v>
      </c>
      <c r="AD7" s="70" t="n">
        <f aca="false">Assumptions!$C$32*(1+Assumptions!$C$33)^2</f>
        <v>66150</v>
      </c>
      <c r="AE7" s="70" t="n">
        <f aca="false">Assumptions!$C$32*(1+Assumptions!$C$33)^2</f>
        <v>66150</v>
      </c>
      <c r="AF7" s="70" t="n">
        <f aca="false">Assumptions!$C$32*(1+Assumptions!$C$33)^2</f>
        <v>66150</v>
      </c>
      <c r="AG7" s="70" t="n">
        <f aca="false">Assumptions!$C$32*(1+Assumptions!$C$33)^2</f>
        <v>66150</v>
      </c>
      <c r="AH7" s="70" t="n">
        <f aca="false">Assumptions!$C$32*(1+Assumptions!$C$33)^2</f>
        <v>66150</v>
      </c>
      <c r="AI7" s="70" t="n">
        <f aca="false">Assumptions!$C$32*(1+Assumptions!$C$33)^2</f>
        <v>66150</v>
      </c>
      <c r="AJ7" s="70" t="n">
        <f aca="false">Assumptions!$C$32*(1+Assumptions!$C$33)^2</f>
        <v>66150</v>
      </c>
      <c r="AK7" s="70" t="n">
        <f aca="false">Assumptions!$C$32*(1+Assumptions!$C$33)^2</f>
        <v>66150</v>
      </c>
      <c r="AL7" s="70" t="n">
        <f aca="false">Assumptions!$C$32*(1+Assumptions!$C$33)^2</f>
        <v>66150</v>
      </c>
      <c r="AM7" s="70" t="n">
        <f aca="false">Assumptions!$C$32*(1+Assumptions!$C$33)^2</f>
        <v>66150</v>
      </c>
      <c r="AN7" s="66" t="n">
        <f aca="false">SUM(AB7:AM7)</f>
        <v>793800</v>
      </c>
      <c r="AO7" s="70" t="n">
        <f aca="false">Assumptions!$C$32*(1+Assumptions!$C$33)^3</f>
        <v>69457.5</v>
      </c>
      <c r="AP7" s="70" t="n">
        <f aca="false">Assumptions!$C$32*(1+Assumptions!$C$33)^3</f>
        <v>69457.5</v>
      </c>
      <c r="AQ7" s="70" t="n">
        <f aca="false">Assumptions!$C$32*(1+Assumptions!$C$33)^3</f>
        <v>69457.5</v>
      </c>
      <c r="AR7" s="70" t="n">
        <f aca="false">Assumptions!$C$32*(1+Assumptions!$C$33)^3</f>
        <v>69457.5</v>
      </c>
      <c r="AS7" s="70" t="n">
        <f aca="false">Assumptions!$C$32*(1+Assumptions!$C$33)^3</f>
        <v>69457.5</v>
      </c>
      <c r="AT7" s="70" t="n">
        <f aca="false">Assumptions!$C$32*(1+Assumptions!$C$33)^3</f>
        <v>69457.5</v>
      </c>
      <c r="AU7" s="70" t="n">
        <f aca="false">Assumptions!$C$32*(1+Assumptions!$C$33)^3</f>
        <v>69457.5</v>
      </c>
      <c r="AV7" s="70" t="n">
        <f aca="false">Assumptions!$C$32*(1+Assumptions!$C$33)^3</f>
        <v>69457.5</v>
      </c>
      <c r="AW7" s="70" t="n">
        <f aca="false">Assumptions!$C$32*(1+Assumptions!$C$33)^3</f>
        <v>69457.5</v>
      </c>
      <c r="AX7" s="70" t="n">
        <f aca="false">Assumptions!$C$32*(1+Assumptions!$C$33)^3</f>
        <v>69457.5</v>
      </c>
      <c r="AY7" s="70" t="n">
        <f aca="false">Assumptions!$C$32*(1+Assumptions!$C$33)^3</f>
        <v>69457.5</v>
      </c>
      <c r="AZ7" s="70" t="n">
        <f aca="false">Assumptions!$C$32*(1+Assumptions!$C$33)^3</f>
        <v>69457.5</v>
      </c>
      <c r="BA7" s="66" t="n">
        <f aca="false">SUM(AO7:AZ7)</f>
        <v>833490</v>
      </c>
      <c r="BB7" s="70" t="n">
        <f aca="false">Assumptions!$C$32*(1+Assumptions!$C$33)^4</f>
        <v>72930.375</v>
      </c>
      <c r="BC7" s="70" t="n">
        <f aca="false">Assumptions!$C$32*(1+Assumptions!$C$33)^4</f>
        <v>72930.375</v>
      </c>
      <c r="BD7" s="70" t="n">
        <f aca="false">Assumptions!$C$32*(1+Assumptions!$C$33)^4</f>
        <v>72930.375</v>
      </c>
      <c r="BE7" s="70" t="n">
        <f aca="false">Assumptions!$C$32*(1+Assumptions!$C$33)^4</f>
        <v>72930.375</v>
      </c>
      <c r="BF7" s="70" t="n">
        <f aca="false">Assumptions!$C$32*(1+Assumptions!$C$33)^4</f>
        <v>72930.375</v>
      </c>
      <c r="BG7" s="70" t="n">
        <f aca="false">Assumptions!$C$32*(1+Assumptions!$C$33)^4</f>
        <v>72930.375</v>
      </c>
      <c r="BH7" s="70" t="n">
        <f aca="false">Assumptions!$C$32*(1+Assumptions!$C$33)^4</f>
        <v>72930.375</v>
      </c>
      <c r="BI7" s="70" t="n">
        <f aca="false">Assumptions!$C$32*(1+Assumptions!$C$33)^4</f>
        <v>72930.375</v>
      </c>
      <c r="BJ7" s="70" t="n">
        <f aca="false">Assumptions!$C$32*(1+Assumptions!$C$33)^4</f>
        <v>72930.375</v>
      </c>
      <c r="BK7" s="70" t="n">
        <f aca="false">Assumptions!$C$32*(1+Assumptions!$C$33)^4</f>
        <v>72930.375</v>
      </c>
      <c r="BL7" s="70" t="n">
        <f aca="false">Assumptions!$C$32*(1+Assumptions!$C$33)^4</f>
        <v>72930.375</v>
      </c>
      <c r="BM7" s="70" t="n">
        <f aca="false">Assumptions!$C$32*(1+Assumptions!$C$33)^4</f>
        <v>72930.375</v>
      </c>
      <c r="BN7" s="66" t="n">
        <f aca="false">SUM(BB7:BM7)</f>
        <v>875164.5</v>
      </c>
    </row>
    <row r="8" customFormat="false" ht="15" hidden="false" customHeight="true" outlineLevel="0" collapsed="false">
      <c r="A8" s="7" t="s">
        <v>343</v>
      </c>
      <c r="B8" s="67" t="n">
        <f aca="false">Production!B6*(Assumptions!$C$29*(1+Assumptions!$C$30)^0)</f>
        <v>25200</v>
      </c>
      <c r="C8" s="67" t="n">
        <f aca="false">Production!C6*(Assumptions!$C$29*(1+Assumptions!$C$30)^0)</f>
        <v>25200</v>
      </c>
      <c r="D8" s="67" t="n">
        <f aca="false">Production!D6*(Assumptions!$C$29*(1+Assumptions!$C$30)^0)</f>
        <v>28800</v>
      </c>
      <c r="E8" s="67" t="n">
        <f aca="false">Production!E6*(Assumptions!$C$29*(1+Assumptions!$C$30)^0)</f>
        <v>28800</v>
      </c>
      <c r="F8" s="67" t="n">
        <f aca="false">Production!F6*(Assumptions!$C$29*(1+Assumptions!$C$30)^0)</f>
        <v>32400</v>
      </c>
      <c r="G8" s="67" t="n">
        <f aca="false">Production!G6*(Assumptions!$C$29*(1+Assumptions!$C$30)^0)</f>
        <v>32400</v>
      </c>
      <c r="H8" s="67" t="n">
        <f aca="false">Production!H6*(Assumptions!$C$29*(1+Assumptions!$C$30)^0)</f>
        <v>32400</v>
      </c>
      <c r="I8" s="67" t="n">
        <f aca="false">Production!I6*(Assumptions!$C$29*(1+Assumptions!$C$30)^0)</f>
        <v>32400</v>
      </c>
      <c r="J8" s="67" t="n">
        <f aca="false">Production!J6*(Assumptions!$C$29*(1+Assumptions!$C$30)^0)</f>
        <v>28800</v>
      </c>
      <c r="K8" s="67" t="n">
        <f aca="false">Production!K6*(Assumptions!$C$29*(1+Assumptions!$C$30)^0)</f>
        <v>28800</v>
      </c>
      <c r="L8" s="67" t="n">
        <f aca="false">Production!L6*(Assumptions!$C$29*(1+Assumptions!$C$30)^0)</f>
        <v>32400</v>
      </c>
      <c r="M8" s="67" t="n">
        <f aca="false">Production!M6*(Assumptions!$C$29*(1+Assumptions!$C$30)^0)</f>
        <v>32400</v>
      </c>
      <c r="N8" s="66" t="n">
        <f aca="false">SUM(B8:M8)</f>
        <v>360000</v>
      </c>
      <c r="O8" s="67" t="n">
        <f aca="false">Production!O6*(Assumptions!$C$29*(1+Assumptions!$C$30)^1)</f>
        <v>28392</v>
      </c>
      <c r="P8" s="67" t="n">
        <f aca="false">Production!P6*(Assumptions!$C$29*(1+Assumptions!$C$30)^1)</f>
        <v>28392</v>
      </c>
      <c r="Q8" s="67" t="n">
        <f aca="false">Production!Q6*(Assumptions!$C$29*(1+Assumptions!$C$30)^1)</f>
        <v>32448</v>
      </c>
      <c r="R8" s="67" t="n">
        <f aca="false">Production!R6*(Assumptions!$C$29*(1+Assumptions!$C$30)^1)</f>
        <v>32448</v>
      </c>
      <c r="S8" s="67" t="n">
        <f aca="false">Production!S6*(Assumptions!$C$29*(1+Assumptions!$C$30)^1)</f>
        <v>36504</v>
      </c>
      <c r="T8" s="67" t="n">
        <f aca="false">Production!T6*(Assumptions!$C$29*(1+Assumptions!$C$30)^1)</f>
        <v>36504</v>
      </c>
      <c r="U8" s="67" t="n">
        <f aca="false">Production!U6*(Assumptions!$C$29*(1+Assumptions!$C$30)^1)</f>
        <v>36504</v>
      </c>
      <c r="V8" s="67" t="n">
        <f aca="false">Production!V6*(Assumptions!$C$29*(1+Assumptions!$C$30)^1)</f>
        <v>36504</v>
      </c>
      <c r="W8" s="67" t="n">
        <f aca="false">Production!W6*(Assumptions!$C$29*(1+Assumptions!$C$30)^1)</f>
        <v>32448</v>
      </c>
      <c r="X8" s="67" t="n">
        <f aca="false">Production!X6*(Assumptions!$C$29*(1+Assumptions!$C$30)^1)</f>
        <v>32448</v>
      </c>
      <c r="Y8" s="67" t="n">
        <f aca="false">Production!Y6*(Assumptions!$C$29*(1+Assumptions!$C$30)^1)</f>
        <v>36504</v>
      </c>
      <c r="Z8" s="67" t="n">
        <f aca="false">Production!Z6*(Assumptions!$C$29*(1+Assumptions!$C$30)^1)</f>
        <v>36504</v>
      </c>
      <c r="AA8" s="66" t="n">
        <f aca="false">SUM(O8:Z8)</f>
        <v>405600</v>
      </c>
      <c r="AB8" s="67" t="n">
        <f aca="false">Production!AB6*(Assumptions!$C$29*(1+Assumptions!$C$30)^2)</f>
        <v>31799.04</v>
      </c>
      <c r="AC8" s="67" t="n">
        <f aca="false">Production!AC6*(Assumptions!$C$29*(1+Assumptions!$C$30)^2)</f>
        <v>31799.04</v>
      </c>
      <c r="AD8" s="67" t="n">
        <f aca="false">Production!AD6*(Assumptions!$C$29*(1+Assumptions!$C$30)^2)</f>
        <v>36341.76</v>
      </c>
      <c r="AE8" s="67" t="n">
        <f aca="false">Production!AE6*(Assumptions!$C$29*(1+Assumptions!$C$30)^2)</f>
        <v>36341.76</v>
      </c>
      <c r="AF8" s="67" t="n">
        <f aca="false">Production!AF6*(Assumptions!$C$29*(1+Assumptions!$C$30)^2)</f>
        <v>40884.48</v>
      </c>
      <c r="AG8" s="67" t="n">
        <f aca="false">Production!AG6*(Assumptions!$C$29*(1+Assumptions!$C$30)^2)</f>
        <v>40884.48</v>
      </c>
      <c r="AH8" s="67" t="n">
        <f aca="false">Production!AH6*(Assumptions!$C$29*(1+Assumptions!$C$30)^2)</f>
        <v>40884.48</v>
      </c>
      <c r="AI8" s="67" t="n">
        <f aca="false">Production!AI6*(Assumptions!$C$29*(1+Assumptions!$C$30)^2)</f>
        <v>40884.48</v>
      </c>
      <c r="AJ8" s="67" t="n">
        <f aca="false">Production!AJ6*(Assumptions!$C$29*(1+Assumptions!$C$30)^2)</f>
        <v>36341.76</v>
      </c>
      <c r="AK8" s="67" t="n">
        <f aca="false">Production!AK6*(Assumptions!$C$29*(1+Assumptions!$C$30)^2)</f>
        <v>36341.76</v>
      </c>
      <c r="AL8" s="67" t="n">
        <f aca="false">Production!AL6*(Assumptions!$C$29*(1+Assumptions!$C$30)^2)</f>
        <v>40884.48</v>
      </c>
      <c r="AM8" s="67" t="n">
        <f aca="false">Production!AM6*(Assumptions!$C$29*(1+Assumptions!$C$30)^2)</f>
        <v>40884.48</v>
      </c>
      <c r="AN8" s="66" t="n">
        <f aca="false">SUM(AB8:AM8)</f>
        <v>454272</v>
      </c>
      <c r="AO8" s="67" t="n">
        <f aca="false">Production!AO6*(Assumptions!$C$29*(1+Assumptions!$C$30)^3)</f>
        <v>35433.216</v>
      </c>
      <c r="AP8" s="67" t="n">
        <f aca="false">Production!AP6*(Assumptions!$C$29*(1+Assumptions!$C$30)^3)</f>
        <v>35433.216</v>
      </c>
      <c r="AQ8" s="67" t="n">
        <f aca="false">Production!AQ6*(Assumptions!$C$29*(1+Assumptions!$C$30)^3)</f>
        <v>40495.104</v>
      </c>
      <c r="AR8" s="67" t="n">
        <f aca="false">Production!AR6*(Assumptions!$C$29*(1+Assumptions!$C$30)^3)</f>
        <v>40495.104</v>
      </c>
      <c r="AS8" s="67" t="n">
        <f aca="false">Production!AS6*(Assumptions!$C$29*(1+Assumptions!$C$30)^3)</f>
        <v>45556.992</v>
      </c>
      <c r="AT8" s="67" t="n">
        <f aca="false">Production!AT6*(Assumptions!$C$29*(1+Assumptions!$C$30)^3)</f>
        <v>45556.992</v>
      </c>
      <c r="AU8" s="67" t="n">
        <f aca="false">Production!AU6*(Assumptions!$C$29*(1+Assumptions!$C$30)^3)</f>
        <v>45556.992</v>
      </c>
      <c r="AV8" s="67" t="n">
        <f aca="false">Production!AV6*(Assumptions!$C$29*(1+Assumptions!$C$30)^3)</f>
        <v>45556.992</v>
      </c>
      <c r="AW8" s="67" t="n">
        <f aca="false">Production!AW6*(Assumptions!$C$29*(1+Assumptions!$C$30)^3)</f>
        <v>40495.104</v>
      </c>
      <c r="AX8" s="67" t="n">
        <f aca="false">Production!AX6*(Assumptions!$C$29*(1+Assumptions!$C$30)^3)</f>
        <v>40495.104</v>
      </c>
      <c r="AY8" s="67" t="n">
        <f aca="false">Production!AY6*(Assumptions!$C$29*(1+Assumptions!$C$30)^3)</f>
        <v>45556.992</v>
      </c>
      <c r="AZ8" s="67" t="n">
        <f aca="false">Production!AZ6*(Assumptions!$C$29*(1+Assumptions!$C$30)^3)</f>
        <v>45556.992</v>
      </c>
      <c r="BA8" s="66" t="n">
        <f aca="false">SUM(AO8:AZ8)</f>
        <v>506188.8</v>
      </c>
      <c r="BB8" s="67" t="n">
        <f aca="false">Production!BB6*(Assumptions!$C$29*(1+Assumptions!$C$30)^4)</f>
        <v>39307.247616</v>
      </c>
      <c r="BC8" s="67" t="n">
        <f aca="false">Production!BC6*(Assumptions!$C$29*(1+Assumptions!$C$30)^4)</f>
        <v>39307.247616</v>
      </c>
      <c r="BD8" s="67" t="n">
        <f aca="false">Production!BD6*(Assumptions!$C$29*(1+Assumptions!$C$30)^4)</f>
        <v>44922.568704</v>
      </c>
      <c r="BE8" s="67" t="n">
        <f aca="false">Production!BE6*(Assumptions!$C$29*(1+Assumptions!$C$30)^4)</f>
        <v>44922.568704</v>
      </c>
      <c r="BF8" s="67" t="n">
        <f aca="false">Production!BF6*(Assumptions!$C$29*(1+Assumptions!$C$30)^4)</f>
        <v>50537.889792</v>
      </c>
      <c r="BG8" s="67" t="n">
        <f aca="false">Production!BG6*(Assumptions!$C$29*(1+Assumptions!$C$30)^4)</f>
        <v>50537.889792</v>
      </c>
      <c r="BH8" s="67" t="n">
        <f aca="false">Production!BH6*(Assumptions!$C$29*(1+Assumptions!$C$30)^4)</f>
        <v>50537.889792</v>
      </c>
      <c r="BI8" s="67" t="n">
        <f aca="false">Production!BI6*(Assumptions!$C$29*(1+Assumptions!$C$30)^4)</f>
        <v>50537.889792</v>
      </c>
      <c r="BJ8" s="67" t="n">
        <f aca="false">Production!BJ6*(Assumptions!$C$29*(1+Assumptions!$C$30)^4)</f>
        <v>44922.568704</v>
      </c>
      <c r="BK8" s="67" t="n">
        <f aca="false">Production!BK6*(Assumptions!$C$29*(1+Assumptions!$C$30)^4)</f>
        <v>44922.568704</v>
      </c>
      <c r="BL8" s="67" t="n">
        <f aca="false">Production!BL6*(Assumptions!$C$29*(1+Assumptions!$C$30)^4)</f>
        <v>50537.889792</v>
      </c>
      <c r="BM8" s="67" t="n">
        <f aca="false">Production!BM6*(Assumptions!$C$29*(1+Assumptions!$C$30)^4)</f>
        <v>50537.889792</v>
      </c>
      <c r="BN8" s="66" t="n">
        <f aca="false">SUM(BB8:BM8)</f>
        <v>561532.1088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Factory overheads</v>
      </c>
      <c r="B9" s="70" t="n">
        <f aca="false">Assumptions!$C$34*(1+Assumptions!$C$35)^0</f>
        <v>30000</v>
      </c>
      <c r="C9" s="70" t="n">
        <f aca="false">Assumptions!$C$34*(1+Assumptions!$C$35)^0</f>
        <v>30000</v>
      </c>
      <c r="D9" s="70" t="n">
        <f aca="false">Assumptions!$C$34*(1+Assumptions!$C$35)^0</f>
        <v>30000</v>
      </c>
      <c r="E9" s="70" t="n">
        <f aca="false">Assumptions!$C$34*(1+Assumptions!$C$35)^0</f>
        <v>30000</v>
      </c>
      <c r="F9" s="70" t="n">
        <f aca="false">Assumptions!$C$34*(1+Assumptions!$C$35)^0</f>
        <v>30000</v>
      </c>
      <c r="G9" s="70" t="n">
        <f aca="false">Assumptions!$C$34*(1+Assumptions!$C$35)^0</f>
        <v>30000</v>
      </c>
      <c r="H9" s="70" t="n">
        <f aca="false">Assumptions!$C$34*(1+Assumptions!$C$35)^0</f>
        <v>30000</v>
      </c>
      <c r="I9" s="70" t="n">
        <f aca="false">Assumptions!$C$34*(1+Assumptions!$C$35)^0</f>
        <v>30000</v>
      </c>
      <c r="J9" s="70" t="n">
        <f aca="false">Assumptions!$C$34*(1+Assumptions!$C$35)^0</f>
        <v>30000</v>
      </c>
      <c r="K9" s="70" t="n">
        <f aca="false">Assumptions!$C$34*(1+Assumptions!$C$35)^0</f>
        <v>30000</v>
      </c>
      <c r="L9" s="70" t="n">
        <f aca="false">Assumptions!$C$34*(1+Assumptions!$C$35)^0</f>
        <v>30000</v>
      </c>
      <c r="M9" s="70" t="n">
        <f aca="false">Assumptions!$C$34*(1+Assumptions!$C$35)^0</f>
        <v>30000</v>
      </c>
      <c r="N9" s="66" t="n">
        <f aca="false">SUM(B9:M9)</f>
        <v>360000</v>
      </c>
      <c r="O9" s="70" t="n">
        <f aca="false">Assumptions!$C$34*(1+Assumptions!$C$35)^1</f>
        <v>31500</v>
      </c>
      <c r="P9" s="70" t="n">
        <f aca="false">Assumptions!$C$34*(1+Assumptions!$C$35)^1</f>
        <v>31500</v>
      </c>
      <c r="Q9" s="70" t="n">
        <f aca="false">Assumptions!$C$34*(1+Assumptions!$C$35)^1</f>
        <v>31500</v>
      </c>
      <c r="R9" s="70" t="n">
        <f aca="false">Assumptions!$C$34*(1+Assumptions!$C$35)^1</f>
        <v>31500</v>
      </c>
      <c r="S9" s="70" t="n">
        <f aca="false">Assumptions!$C$34*(1+Assumptions!$C$35)^1</f>
        <v>31500</v>
      </c>
      <c r="T9" s="70" t="n">
        <f aca="false">Assumptions!$C$34*(1+Assumptions!$C$35)^1</f>
        <v>31500</v>
      </c>
      <c r="U9" s="70" t="n">
        <f aca="false">Assumptions!$C$34*(1+Assumptions!$C$35)^1</f>
        <v>31500</v>
      </c>
      <c r="V9" s="70" t="n">
        <f aca="false">Assumptions!$C$34*(1+Assumptions!$C$35)^1</f>
        <v>31500</v>
      </c>
      <c r="W9" s="70" t="n">
        <f aca="false">Assumptions!$C$34*(1+Assumptions!$C$35)^1</f>
        <v>31500</v>
      </c>
      <c r="X9" s="70" t="n">
        <f aca="false">Assumptions!$C$34*(1+Assumptions!$C$35)^1</f>
        <v>31500</v>
      </c>
      <c r="Y9" s="70" t="n">
        <f aca="false">Assumptions!$C$34*(1+Assumptions!$C$35)^1</f>
        <v>31500</v>
      </c>
      <c r="Z9" s="70" t="n">
        <f aca="false">Assumptions!$C$34*(1+Assumptions!$C$35)^1</f>
        <v>31500</v>
      </c>
      <c r="AA9" s="66" t="n">
        <f aca="false">SUM(O9:Z9)</f>
        <v>378000</v>
      </c>
      <c r="AB9" s="70" t="n">
        <f aca="false">Assumptions!$C$34*(1+Assumptions!$C$35)^2</f>
        <v>33075</v>
      </c>
      <c r="AC9" s="70" t="n">
        <f aca="false">Assumptions!$C$34*(1+Assumptions!$C$35)^2</f>
        <v>33075</v>
      </c>
      <c r="AD9" s="70" t="n">
        <f aca="false">Assumptions!$C$34*(1+Assumptions!$C$35)^2</f>
        <v>33075</v>
      </c>
      <c r="AE9" s="70" t="n">
        <f aca="false">Assumptions!$C$34*(1+Assumptions!$C$35)^2</f>
        <v>33075</v>
      </c>
      <c r="AF9" s="70" t="n">
        <f aca="false">Assumptions!$C$34*(1+Assumptions!$C$35)^2</f>
        <v>33075</v>
      </c>
      <c r="AG9" s="70" t="n">
        <f aca="false">Assumptions!$C$34*(1+Assumptions!$C$35)^2</f>
        <v>33075</v>
      </c>
      <c r="AH9" s="70" t="n">
        <f aca="false">Assumptions!$C$34*(1+Assumptions!$C$35)^2</f>
        <v>33075</v>
      </c>
      <c r="AI9" s="70" t="n">
        <f aca="false">Assumptions!$C$34*(1+Assumptions!$C$35)^2</f>
        <v>33075</v>
      </c>
      <c r="AJ9" s="70" t="n">
        <f aca="false">Assumptions!$C$34*(1+Assumptions!$C$35)^2</f>
        <v>33075</v>
      </c>
      <c r="AK9" s="70" t="n">
        <f aca="false">Assumptions!$C$34*(1+Assumptions!$C$35)^2</f>
        <v>33075</v>
      </c>
      <c r="AL9" s="70" t="n">
        <f aca="false">Assumptions!$C$34*(1+Assumptions!$C$35)^2</f>
        <v>33075</v>
      </c>
      <c r="AM9" s="70" t="n">
        <f aca="false">Assumptions!$C$34*(1+Assumptions!$C$35)^2</f>
        <v>33075</v>
      </c>
      <c r="AN9" s="66" t="n">
        <f aca="false">SUM(AB9:AM9)</f>
        <v>396900</v>
      </c>
      <c r="AO9" s="70" t="n">
        <f aca="false">Assumptions!$C$34*(1+Assumptions!$C$35)^3</f>
        <v>34728.75</v>
      </c>
      <c r="AP9" s="70" t="n">
        <f aca="false">Assumptions!$C$34*(1+Assumptions!$C$35)^3</f>
        <v>34728.75</v>
      </c>
      <c r="AQ9" s="70" t="n">
        <f aca="false">Assumptions!$C$34*(1+Assumptions!$C$35)^3</f>
        <v>34728.75</v>
      </c>
      <c r="AR9" s="70" t="n">
        <f aca="false">Assumptions!$C$34*(1+Assumptions!$C$35)^3</f>
        <v>34728.75</v>
      </c>
      <c r="AS9" s="70" t="n">
        <f aca="false">Assumptions!$C$34*(1+Assumptions!$C$35)^3</f>
        <v>34728.75</v>
      </c>
      <c r="AT9" s="70" t="n">
        <f aca="false">Assumptions!$C$34*(1+Assumptions!$C$35)^3</f>
        <v>34728.75</v>
      </c>
      <c r="AU9" s="70" t="n">
        <f aca="false">Assumptions!$C$34*(1+Assumptions!$C$35)^3</f>
        <v>34728.75</v>
      </c>
      <c r="AV9" s="70" t="n">
        <f aca="false">Assumptions!$C$34*(1+Assumptions!$C$35)^3</f>
        <v>34728.75</v>
      </c>
      <c r="AW9" s="70" t="n">
        <f aca="false">Assumptions!$C$34*(1+Assumptions!$C$35)^3</f>
        <v>34728.75</v>
      </c>
      <c r="AX9" s="70" t="n">
        <f aca="false">Assumptions!$C$34*(1+Assumptions!$C$35)^3</f>
        <v>34728.75</v>
      </c>
      <c r="AY9" s="70" t="n">
        <f aca="false">Assumptions!$C$34*(1+Assumptions!$C$35)^3</f>
        <v>34728.75</v>
      </c>
      <c r="AZ9" s="70" t="n">
        <f aca="false">Assumptions!$C$34*(1+Assumptions!$C$35)^3</f>
        <v>34728.75</v>
      </c>
      <c r="BA9" s="66" t="n">
        <f aca="false">SUM(AO9:AZ9)</f>
        <v>416745</v>
      </c>
      <c r="BB9" s="70" t="n">
        <f aca="false">Assumptions!$C$34*(1+Assumptions!$C$35)^4</f>
        <v>36465.1875</v>
      </c>
      <c r="BC9" s="70" t="n">
        <f aca="false">Assumptions!$C$34*(1+Assumptions!$C$35)^4</f>
        <v>36465.1875</v>
      </c>
      <c r="BD9" s="70" t="n">
        <f aca="false">Assumptions!$C$34*(1+Assumptions!$C$35)^4</f>
        <v>36465.1875</v>
      </c>
      <c r="BE9" s="70" t="n">
        <f aca="false">Assumptions!$C$34*(1+Assumptions!$C$35)^4</f>
        <v>36465.1875</v>
      </c>
      <c r="BF9" s="70" t="n">
        <f aca="false">Assumptions!$C$34*(1+Assumptions!$C$35)^4</f>
        <v>36465.1875</v>
      </c>
      <c r="BG9" s="70" t="n">
        <f aca="false">Assumptions!$C$34*(1+Assumptions!$C$35)^4</f>
        <v>36465.1875</v>
      </c>
      <c r="BH9" s="70" t="n">
        <f aca="false">Assumptions!$C$34*(1+Assumptions!$C$35)^4</f>
        <v>36465.1875</v>
      </c>
      <c r="BI9" s="70" t="n">
        <f aca="false">Assumptions!$C$34*(1+Assumptions!$C$35)^4</f>
        <v>36465.1875</v>
      </c>
      <c r="BJ9" s="70" t="n">
        <f aca="false">Assumptions!$C$34*(1+Assumptions!$C$35)^4</f>
        <v>36465.1875</v>
      </c>
      <c r="BK9" s="70" t="n">
        <f aca="false">Assumptions!$C$34*(1+Assumptions!$C$35)^4</f>
        <v>36465.1875</v>
      </c>
      <c r="BL9" s="70" t="n">
        <f aca="false">Assumptions!$C$34*(1+Assumptions!$C$35)^4</f>
        <v>36465.1875</v>
      </c>
      <c r="BM9" s="70" t="n">
        <f aca="false">Assumptions!$C$34*(1+Assumptions!$C$35)^4</f>
        <v>36465.1875</v>
      </c>
      <c r="BN9" s="66" t="n">
        <f aca="false">SUM(BB9:BM9)</f>
        <v>437582.25</v>
      </c>
    </row>
    <row r="10" customFormat="false" ht="15" hidden="false" customHeight="true" outlineLevel="0" collapsed="false">
      <c r="A10" s="7" t="s">
        <v>344</v>
      </c>
      <c r="B10" s="70" t="n">
        <f aca="false">Assumptions!$C$36*(1+Assumptions!$C$37)^0</f>
        <v>5000</v>
      </c>
      <c r="C10" s="70" t="n">
        <f aca="false">Assumptions!$C$36*(1+Assumptions!$C$37)^0</f>
        <v>5000</v>
      </c>
      <c r="D10" s="70" t="n">
        <f aca="false">Assumptions!$C$36*(1+Assumptions!$C$37)^0</f>
        <v>5000</v>
      </c>
      <c r="E10" s="70" t="n">
        <f aca="false">Assumptions!$C$36*(1+Assumptions!$C$37)^0</f>
        <v>5000</v>
      </c>
      <c r="F10" s="70" t="n">
        <f aca="false">Assumptions!$C$36*(1+Assumptions!$C$37)^0</f>
        <v>5000</v>
      </c>
      <c r="G10" s="70" t="n">
        <f aca="false">Assumptions!$C$36*(1+Assumptions!$C$37)^0</f>
        <v>5000</v>
      </c>
      <c r="H10" s="70" t="n">
        <f aca="false">Assumptions!$C$36*(1+Assumptions!$C$37)^0</f>
        <v>5000</v>
      </c>
      <c r="I10" s="70" t="n">
        <f aca="false">Assumptions!$C$36*(1+Assumptions!$C$37)^0</f>
        <v>5000</v>
      </c>
      <c r="J10" s="70" t="n">
        <f aca="false">Assumptions!$C$36*(1+Assumptions!$C$37)^0</f>
        <v>5000</v>
      </c>
      <c r="K10" s="70" t="n">
        <f aca="false">Assumptions!$C$36*(1+Assumptions!$C$37)^0</f>
        <v>5000</v>
      </c>
      <c r="L10" s="70" t="n">
        <f aca="false">Assumptions!$C$36*(1+Assumptions!$C$37)^0</f>
        <v>5000</v>
      </c>
      <c r="M10" s="70" t="n">
        <f aca="false">Assumptions!$C$36*(1+Assumptions!$C$37)^0</f>
        <v>5000</v>
      </c>
      <c r="N10" s="66" t="n">
        <f aca="false">SUM(B10:M10)</f>
        <v>60000</v>
      </c>
      <c r="O10" s="70" t="n">
        <f aca="false">Assumptions!$C$36*(1+Assumptions!$C$37)^1</f>
        <v>5200</v>
      </c>
      <c r="P10" s="70" t="n">
        <f aca="false">Assumptions!$C$36*(1+Assumptions!$C$37)^1</f>
        <v>5200</v>
      </c>
      <c r="Q10" s="70" t="n">
        <f aca="false">Assumptions!$C$36*(1+Assumptions!$C$37)^1</f>
        <v>5200</v>
      </c>
      <c r="R10" s="70" t="n">
        <f aca="false">Assumptions!$C$36*(1+Assumptions!$C$37)^1</f>
        <v>5200</v>
      </c>
      <c r="S10" s="70" t="n">
        <f aca="false">Assumptions!$C$36*(1+Assumptions!$C$37)^1</f>
        <v>5200</v>
      </c>
      <c r="T10" s="70" t="n">
        <f aca="false">Assumptions!$C$36*(1+Assumptions!$C$37)^1</f>
        <v>5200</v>
      </c>
      <c r="U10" s="70" t="n">
        <f aca="false">Assumptions!$C$36*(1+Assumptions!$C$37)^1</f>
        <v>5200</v>
      </c>
      <c r="V10" s="70" t="n">
        <f aca="false">Assumptions!$C$36*(1+Assumptions!$C$37)^1</f>
        <v>5200</v>
      </c>
      <c r="W10" s="70" t="n">
        <f aca="false">Assumptions!$C$36*(1+Assumptions!$C$37)^1</f>
        <v>5200</v>
      </c>
      <c r="X10" s="70" t="n">
        <f aca="false">Assumptions!$C$36*(1+Assumptions!$C$37)^1</f>
        <v>5200</v>
      </c>
      <c r="Y10" s="70" t="n">
        <f aca="false">Assumptions!$C$36*(1+Assumptions!$C$37)^1</f>
        <v>5200</v>
      </c>
      <c r="Z10" s="70" t="n">
        <f aca="false">Assumptions!$C$36*(1+Assumptions!$C$37)^1</f>
        <v>5200</v>
      </c>
      <c r="AA10" s="66" t="n">
        <f aca="false">SUM(O10:Z10)</f>
        <v>62400</v>
      </c>
      <c r="AB10" s="70" t="n">
        <f aca="false">Assumptions!$C$36*(1+Assumptions!$C$37)^2</f>
        <v>5408</v>
      </c>
      <c r="AC10" s="70" t="n">
        <f aca="false">Assumptions!$C$36*(1+Assumptions!$C$37)^2</f>
        <v>5408</v>
      </c>
      <c r="AD10" s="70" t="n">
        <f aca="false">Assumptions!$C$36*(1+Assumptions!$C$37)^2</f>
        <v>5408</v>
      </c>
      <c r="AE10" s="70" t="n">
        <f aca="false">Assumptions!$C$36*(1+Assumptions!$C$37)^2</f>
        <v>5408</v>
      </c>
      <c r="AF10" s="70" t="n">
        <f aca="false">Assumptions!$C$36*(1+Assumptions!$C$37)^2</f>
        <v>5408</v>
      </c>
      <c r="AG10" s="70" t="n">
        <f aca="false">Assumptions!$C$36*(1+Assumptions!$C$37)^2</f>
        <v>5408</v>
      </c>
      <c r="AH10" s="70" t="n">
        <f aca="false">Assumptions!$C$36*(1+Assumptions!$C$37)^2</f>
        <v>5408</v>
      </c>
      <c r="AI10" s="70" t="n">
        <f aca="false">Assumptions!$C$36*(1+Assumptions!$C$37)^2</f>
        <v>5408</v>
      </c>
      <c r="AJ10" s="70" t="n">
        <f aca="false">Assumptions!$C$36*(1+Assumptions!$C$37)^2</f>
        <v>5408</v>
      </c>
      <c r="AK10" s="70" t="n">
        <f aca="false">Assumptions!$C$36*(1+Assumptions!$C$37)^2</f>
        <v>5408</v>
      </c>
      <c r="AL10" s="70" t="n">
        <f aca="false">Assumptions!$C$36*(1+Assumptions!$C$37)^2</f>
        <v>5408</v>
      </c>
      <c r="AM10" s="70" t="n">
        <f aca="false">Assumptions!$C$36*(1+Assumptions!$C$37)^2</f>
        <v>5408</v>
      </c>
      <c r="AN10" s="66" t="n">
        <f aca="false">SUM(AB10:AM10)</f>
        <v>64896</v>
      </c>
      <c r="AO10" s="70" t="n">
        <f aca="false">Assumptions!$C$36*(1+Assumptions!$C$37)^3</f>
        <v>5624.32</v>
      </c>
      <c r="AP10" s="70" t="n">
        <f aca="false">Assumptions!$C$36*(1+Assumptions!$C$37)^3</f>
        <v>5624.32</v>
      </c>
      <c r="AQ10" s="70" t="n">
        <f aca="false">Assumptions!$C$36*(1+Assumptions!$C$37)^3</f>
        <v>5624.32</v>
      </c>
      <c r="AR10" s="70" t="n">
        <f aca="false">Assumptions!$C$36*(1+Assumptions!$C$37)^3</f>
        <v>5624.32</v>
      </c>
      <c r="AS10" s="70" t="n">
        <f aca="false">Assumptions!$C$36*(1+Assumptions!$C$37)^3</f>
        <v>5624.32</v>
      </c>
      <c r="AT10" s="70" t="n">
        <f aca="false">Assumptions!$C$36*(1+Assumptions!$C$37)^3</f>
        <v>5624.32</v>
      </c>
      <c r="AU10" s="70" t="n">
        <f aca="false">Assumptions!$C$36*(1+Assumptions!$C$37)^3</f>
        <v>5624.32</v>
      </c>
      <c r="AV10" s="70" t="n">
        <f aca="false">Assumptions!$C$36*(1+Assumptions!$C$37)^3</f>
        <v>5624.32</v>
      </c>
      <c r="AW10" s="70" t="n">
        <f aca="false">Assumptions!$C$36*(1+Assumptions!$C$37)^3</f>
        <v>5624.32</v>
      </c>
      <c r="AX10" s="70" t="n">
        <f aca="false">Assumptions!$C$36*(1+Assumptions!$C$37)^3</f>
        <v>5624.32</v>
      </c>
      <c r="AY10" s="70" t="n">
        <f aca="false">Assumptions!$C$36*(1+Assumptions!$C$37)^3</f>
        <v>5624.32</v>
      </c>
      <c r="AZ10" s="70" t="n">
        <f aca="false">Assumptions!$C$36*(1+Assumptions!$C$37)^3</f>
        <v>5624.32</v>
      </c>
      <c r="BA10" s="66" t="n">
        <f aca="false">SUM(AO10:AZ10)</f>
        <v>67491.84</v>
      </c>
      <c r="BB10" s="70" t="n">
        <f aca="false">Assumptions!$C$36*(1+Assumptions!$C$37)^4</f>
        <v>5849.2928</v>
      </c>
      <c r="BC10" s="70" t="n">
        <f aca="false">Assumptions!$C$36*(1+Assumptions!$C$37)^4</f>
        <v>5849.2928</v>
      </c>
      <c r="BD10" s="70" t="n">
        <f aca="false">Assumptions!$C$36*(1+Assumptions!$C$37)^4</f>
        <v>5849.2928</v>
      </c>
      <c r="BE10" s="70" t="n">
        <f aca="false">Assumptions!$C$36*(1+Assumptions!$C$37)^4</f>
        <v>5849.2928</v>
      </c>
      <c r="BF10" s="70" t="n">
        <f aca="false">Assumptions!$C$36*(1+Assumptions!$C$37)^4</f>
        <v>5849.2928</v>
      </c>
      <c r="BG10" s="70" t="n">
        <f aca="false">Assumptions!$C$36*(1+Assumptions!$C$37)^4</f>
        <v>5849.2928</v>
      </c>
      <c r="BH10" s="70" t="n">
        <f aca="false">Assumptions!$C$36*(1+Assumptions!$C$37)^4</f>
        <v>5849.2928</v>
      </c>
      <c r="BI10" s="70" t="n">
        <f aca="false">Assumptions!$C$36*(1+Assumptions!$C$37)^4</f>
        <v>5849.2928</v>
      </c>
      <c r="BJ10" s="70" t="n">
        <f aca="false">Assumptions!$C$36*(1+Assumptions!$C$37)^4</f>
        <v>5849.2928</v>
      </c>
      <c r="BK10" s="70" t="n">
        <f aca="false">Assumptions!$C$36*(1+Assumptions!$C$37)^4</f>
        <v>5849.2928</v>
      </c>
      <c r="BL10" s="70" t="n">
        <f aca="false">Assumptions!$C$36*(1+Assumptions!$C$37)^4</f>
        <v>5849.2928</v>
      </c>
      <c r="BM10" s="70" t="n">
        <f aca="false">Assumptions!$C$36*(1+Assumptions!$C$37)^4</f>
        <v>5849.2928</v>
      </c>
      <c r="BN10" s="66" t="n">
        <f aca="false">SUM(BB10:BM10)</f>
        <v>70191.5136</v>
      </c>
    </row>
    <row r="11" customFormat="false" ht="15" hidden="false" customHeight="true" outlineLevel="0" collapsed="false">
      <c r="A11" s="7" t="s">
        <v>345</v>
      </c>
      <c r="B11" s="70" t="n">
        <f aca="false">Assumptions!$C$38*(1+Assumptions!$C$39)^0</f>
        <v>15000</v>
      </c>
      <c r="C11" s="70" t="n">
        <f aca="false">Assumptions!$C$38*(1+Assumptions!$C$39)^0</f>
        <v>15000</v>
      </c>
      <c r="D11" s="70" t="n">
        <f aca="false">Assumptions!$C$38*(1+Assumptions!$C$39)^0</f>
        <v>15000</v>
      </c>
      <c r="E11" s="70" t="n">
        <f aca="false">Assumptions!$C$38*(1+Assumptions!$C$39)^0</f>
        <v>15000</v>
      </c>
      <c r="F11" s="70" t="n">
        <f aca="false">Assumptions!$C$38*(1+Assumptions!$C$39)^0</f>
        <v>15000</v>
      </c>
      <c r="G11" s="70" t="n">
        <f aca="false">Assumptions!$C$38*(1+Assumptions!$C$39)^0</f>
        <v>15000</v>
      </c>
      <c r="H11" s="70" t="n">
        <f aca="false">Assumptions!$C$38*(1+Assumptions!$C$39)^0</f>
        <v>15000</v>
      </c>
      <c r="I11" s="70" t="n">
        <f aca="false">Assumptions!$C$38*(1+Assumptions!$C$39)^0</f>
        <v>15000</v>
      </c>
      <c r="J11" s="70" t="n">
        <f aca="false">Assumptions!$C$38*(1+Assumptions!$C$39)^0</f>
        <v>15000</v>
      </c>
      <c r="K11" s="70" t="n">
        <f aca="false">Assumptions!$C$38*(1+Assumptions!$C$39)^0</f>
        <v>15000</v>
      </c>
      <c r="L11" s="70" t="n">
        <f aca="false">Assumptions!$C$38*(1+Assumptions!$C$39)^0</f>
        <v>15000</v>
      </c>
      <c r="M11" s="70" t="n">
        <f aca="false">Assumptions!$C$38*(1+Assumptions!$C$39)^0</f>
        <v>15000</v>
      </c>
      <c r="N11" s="66" t="n">
        <f aca="false">SUM(B11:M11)</f>
        <v>180000</v>
      </c>
      <c r="O11" s="70" t="n">
        <f aca="false">Assumptions!$C$38*(1+Assumptions!$C$39)^1</f>
        <v>15750</v>
      </c>
      <c r="P11" s="70" t="n">
        <f aca="false">Assumptions!$C$38*(1+Assumptions!$C$39)^1</f>
        <v>15750</v>
      </c>
      <c r="Q11" s="70" t="n">
        <f aca="false">Assumptions!$C$38*(1+Assumptions!$C$39)^1</f>
        <v>15750</v>
      </c>
      <c r="R11" s="70" t="n">
        <f aca="false">Assumptions!$C$38*(1+Assumptions!$C$39)^1</f>
        <v>15750</v>
      </c>
      <c r="S11" s="70" t="n">
        <f aca="false">Assumptions!$C$38*(1+Assumptions!$C$39)^1</f>
        <v>15750</v>
      </c>
      <c r="T11" s="70" t="n">
        <f aca="false">Assumptions!$C$38*(1+Assumptions!$C$39)^1</f>
        <v>15750</v>
      </c>
      <c r="U11" s="70" t="n">
        <f aca="false">Assumptions!$C$38*(1+Assumptions!$C$39)^1</f>
        <v>15750</v>
      </c>
      <c r="V11" s="70" t="n">
        <f aca="false">Assumptions!$C$38*(1+Assumptions!$C$39)^1</f>
        <v>15750</v>
      </c>
      <c r="W11" s="70" t="n">
        <f aca="false">Assumptions!$C$38*(1+Assumptions!$C$39)^1</f>
        <v>15750</v>
      </c>
      <c r="X11" s="70" t="n">
        <f aca="false">Assumptions!$C$38*(1+Assumptions!$C$39)^1</f>
        <v>15750</v>
      </c>
      <c r="Y11" s="70" t="n">
        <f aca="false">Assumptions!$C$38*(1+Assumptions!$C$39)^1</f>
        <v>15750</v>
      </c>
      <c r="Z11" s="70" t="n">
        <f aca="false">Assumptions!$C$38*(1+Assumptions!$C$39)^1</f>
        <v>15750</v>
      </c>
      <c r="AA11" s="66" t="n">
        <f aca="false">SUM(O11:Z11)</f>
        <v>189000</v>
      </c>
      <c r="AB11" s="70" t="n">
        <f aca="false">Assumptions!$C$38*(1+Assumptions!$C$39)^2</f>
        <v>16537.5</v>
      </c>
      <c r="AC11" s="70" t="n">
        <f aca="false">Assumptions!$C$38*(1+Assumptions!$C$39)^2</f>
        <v>16537.5</v>
      </c>
      <c r="AD11" s="70" t="n">
        <f aca="false">Assumptions!$C$38*(1+Assumptions!$C$39)^2</f>
        <v>16537.5</v>
      </c>
      <c r="AE11" s="70" t="n">
        <f aca="false">Assumptions!$C$38*(1+Assumptions!$C$39)^2</f>
        <v>16537.5</v>
      </c>
      <c r="AF11" s="70" t="n">
        <f aca="false">Assumptions!$C$38*(1+Assumptions!$C$39)^2</f>
        <v>16537.5</v>
      </c>
      <c r="AG11" s="70" t="n">
        <f aca="false">Assumptions!$C$38*(1+Assumptions!$C$39)^2</f>
        <v>16537.5</v>
      </c>
      <c r="AH11" s="70" t="n">
        <f aca="false">Assumptions!$C$38*(1+Assumptions!$C$39)^2</f>
        <v>16537.5</v>
      </c>
      <c r="AI11" s="70" t="n">
        <f aca="false">Assumptions!$C$38*(1+Assumptions!$C$39)^2</f>
        <v>16537.5</v>
      </c>
      <c r="AJ11" s="70" t="n">
        <f aca="false">Assumptions!$C$38*(1+Assumptions!$C$39)^2</f>
        <v>16537.5</v>
      </c>
      <c r="AK11" s="70" t="n">
        <f aca="false">Assumptions!$C$38*(1+Assumptions!$C$39)^2</f>
        <v>16537.5</v>
      </c>
      <c r="AL11" s="70" t="n">
        <f aca="false">Assumptions!$C$38*(1+Assumptions!$C$39)^2</f>
        <v>16537.5</v>
      </c>
      <c r="AM11" s="70" t="n">
        <f aca="false">Assumptions!$C$38*(1+Assumptions!$C$39)^2</f>
        <v>16537.5</v>
      </c>
      <c r="AN11" s="66" t="n">
        <f aca="false">SUM(AB11:AM11)</f>
        <v>198450</v>
      </c>
      <c r="AO11" s="70" t="n">
        <f aca="false">Assumptions!$C$38*(1+Assumptions!$C$39)^3</f>
        <v>17364.375</v>
      </c>
      <c r="AP11" s="70" t="n">
        <f aca="false">Assumptions!$C$38*(1+Assumptions!$C$39)^3</f>
        <v>17364.375</v>
      </c>
      <c r="AQ11" s="70" t="n">
        <f aca="false">Assumptions!$C$38*(1+Assumptions!$C$39)^3</f>
        <v>17364.375</v>
      </c>
      <c r="AR11" s="70" t="n">
        <f aca="false">Assumptions!$C$38*(1+Assumptions!$C$39)^3</f>
        <v>17364.375</v>
      </c>
      <c r="AS11" s="70" t="n">
        <f aca="false">Assumptions!$C$38*(1+Assumptions!$C$39)^3</f>
        <v>17364.375</v>
      </c>
      <c r="AT11" s="70" t="n">
        <f aca="false">Assumptions!$C$38*(1+Assumptions!$C$39)^3</f>
        <v>17364.375</v>
      </c>
      <c r="AU11" s="70" t="n">
        <f aca="false">Assumptions!$C$38*(1+Assumptions!$C$39)^3</f>
        <v>17364.375</v>
      </c>
      <c r="AV11" s="70" t="n">
        <f aca="false">Assumptions!$C$38*(1+Assumptions!$C$39)^3</f>
        <v>17364.375</v>
      </c>
      <c r="AW11" s="70" t="n">
        <f aca="false">Assumptions!$C$38*(1+Assumptions!$C$39)^3</f>
        <v>17364.375</v>
      </c>
      <c r="AX11" s="70" t="n">
        <f aca="false">Assumptions!$C$38*(1+Assumptions!$C$39)^3</f>
        <v>17364.375</v>
      </c>
      <c r="AY11" s="70" t="n">
        <f aca="false">Assumptions!$C$38*(1+Assumptions!$C$39)^3</f>
        <v>17364.375</v>
      </c>
      <c r="AZ11" s="70" t="n">
        <f aca="false">Assumptions!$C$38*(1+Assumptions!$C$39)^3</f>
        <v>17364.375</v>
      </c>
      <c r="BA11" s="66" t="n">
        <f aca="false">SUM(AO11:AZ11)</f>
        <v>208372.5</v>
      </c>
      <c r="BB11" s="70" t="n">
        <f aca="false">Assumptions!$C$38*(1+Assumptions!$C$39)^4</f>
        <v>18232.59375</v>
      </c>
      <c r="BC11" s="70" t="n">
        <f aca="false">Assumptions!$C$38*(1+Assumptions!$C$39)^4</f>
        <v>18232.59375</v>
      </c>
      <c r="BD11" s="70" t="n">
        <f aca="false">Assumptions!$C$38*(1+Assumptions!$C$39)^4</f>
        <v>18232.59375</v>
      </c>
      <c r="BE11" s="70" t="n">
        <f aca="false">Assumptions!$C$38*(1+Assumptions!$C$39)^4</f>
        <v>18232.59375</v>
      </c>
      <c r="BF11" s="70" t="n">
        <f aca="false">Assumptions!$C$38*(1+Assumptions!$C$39)^4</f>
        <v>18232.59375</v>
      </c>
      <c r="BG11" s="70" t="n">
        <f aca="false">Assumptions!$C$38*(1+Assumptions!$C$39)^4</f>
        <v>18232.59375</v>
      </c>
      <c r="BH11" s="70" t="n">
        <f aca="false">Assumptions!$C$38*(1+Assumptions!$C$39)^4</f>
        <v>18232.59375</v>
      </c>
      <c r="BI11" s="70" t="n">
        <f aca="false">Assumptions!$C$38*(1+Assumptions!$C$39)^4</f>
        <v>18232.59375</v>
      </c>
      <c r="BJ11" s="70" t="n">
        <f aca="false">Assumptions!$C$38*(1+Assumptions!$C$39)^4</f>
        <v>18232.59375</v>
      </c>
      <c r="BK11" s="70" t="n">
        <f aca="false">Assumptions!$C$38*(1+Assumptions!$C$39)^4</f>
        <v>18232.59375</v>
      </c>
      <c r="BL11" s="70" t="n">
        <f aca="false">Assumptions!$C$38*(1+Assumptions!$C$39)^4</f>
        <v>18232.59375</v>
      </c>
      <c r="BM11" s="70" t="n">
        <f aca="false">Assumptions!$C$38*(1+Assumptions!$C$39)^4</f>
        <v>18232.59375</v>
      </c>
      <c r="BN11" s="66" t="n">
        <f aca="false">SUM(BB11:BM11)</f>
        <v>218791.125</v>
      </c>
    </row>
    <row r="12" customFormat="false" ht="15" hidden="false" customHeight="true" outlineLevel="0" collapsed="false">
      <c r="A12" s="7" t="s">
        <v>254</v>
      </c>
      <c r="B12" s="67" t="n">
        <f aca="false">Sales!B7*Assumptions!$C$40</f>
        <v>15120</v>
      </c>
      <c r="C12" s="67" t="n">
        <f aca="false">Sales!C7*Assumptions!$C$40</f>
        <v>15120</v>
      </c>
      <c r="D12" s="67" t="n">
        <f aca="false">Sales!D7*Assumptions!$C$40</f>
        <v>17280</v>
      </c>
      <c r="E12" s="67" t="n">
        <f aca="false">Sales!E7*Assumptions!$C$40</f>
        <v>17280</v>
      </c>
      <c r="F12" s="67" t="n">
        <f aca="false">Sales!F7*Assumptions!$C$40</f>
        <v>19440</v>
      </c>
      <c r="G12" s="67" t="n">
        <f aca="false">Sales!G7*Assumptions!$C$40</f>
        <v>19440</v>
      </c>
      <c r="H12" s="67" t="n">
        <f aca="false">Sales!H7*Assumptions!$C$40</f>
        <v>19440</v>
      </c>
      <c r="I12" s="67" t="n">
        <f aca="false">Sales!I7*Assumptions!$C$40</f>
        <v>19440</v>
      </c>
      <c r="J12" s="67" t="n">
        <f aca="false">Sales!J7*Assumptions!$C$40</f>
        <v>17280</v>
      </c>
      <c r="K12" s="67" t="n">
        <f aca="false">Sales!K7*Assumptions!$C$40</f>
        <v>17280</v>
      </c>
      <c r="L12" s="67" t="n">
        <f aca="false">Sales!L7*Assumptions!$C$40</f>
        <v>19440</v>
      </c>
      <c r="M12" s="67" t="n">
        <f aca="false">Sales!M7*Assumptions!$C$40</f>
        <v>19440</v>
      </c>
      <c r="N12" s="66" t="n">
        <f aca="false">SUM(B12:M12)</f>
        <v>216000</v>
      </c>
      <c r="O12" s="67" t="n">
        <f aca="false">Sales!O7*Assumptions!$C$40</f>
        <v>17199</v>
      </c>
      <c r="P12" s="67" t="n">
        <f aca="false">Sales!P7*Assumptions!$C$40</f>
        <v>17199</v>
      </c>
      <c r="Q12" s="67" t="n">
        <f aca="false">Sales!Q7*Assumptions!$C$40</f>
        <v>19656</v>
      </c>
      <c r="R12" s="67" t="n">
        <f aca="false">Sales!R7*Assumptions!$C$40</f>
        <v>19656</v>
      </c>
      <c r="S12" s="67" t="n">
        <f aca="false">Sales!S7*Assumptions!$C$40</f>
        <v>22113</v>
      </c>
      <c r="T12" s="67" t="n">
        <f aca="false">Sales!T7*Assumptions!$C$40</f>
        <v>22113</v>
      </c>
      <c r="U12" s="67" t="n">
        <f aca="false">Sales!U7*Assumptions!$C$40</f>
        <v>22113</v>
      </c>
      <c r="V12" s="67" t="n">
        <f aca="false">Sales!V7*Assumptions!$C$40</f>
        <v>22113</v>
      </c>
      <c r="W12" s="67" t="n">
        <f aca="false">Sales!W7*Assumptions!$C$40</f>
        <v>19656</v>
      </c>
      <c r="X12" s="67" t="n">
        <f aca="false">Sales!X7*Assumptions!$C$40</f>
        <v>19656</v>
      </c>
      <c r="Y12" s="67" t="n">
        <f aca="false">Sales!Y7*Assumptions!$C$40</f>
        <v>22113</v>
      </c>
      <c r="Z12" s="67" t="n">
        <f aca="false">Sales!Z7*Assumptions!$C$40</f>
        <v>22113</v>
      </c>
      <c r="AA12" s="66" t="n">
        <f aca="false">SUM(O12:Z12)</f>
        <v>245700</v>
      </c>
      <c r="AB12" s="67" t="n">
        <f aca="false">Sales!AB7*Assumptions!$C$40</f>
        <v>19448.1</v>
      </c>
      <c r="AC12" s="67" t="n">
        <f aca="false">Sales!AC7*Assumptions!$C$40</f>
        <v>19448.1</v>
      </c>
      <c r="AD12" s="67" t="n">
        <f aca="false">Sales!AD7*Assumptions!$C$40</f>
        <v>22226.4</v>
      </c>
      <c r="AE12" s="67" t="n">
        <f aca="false">Sales!AE7*Assumptions!$C$40</f>
        <v>22226.4</v>
      </c>
      <c r="AF12" s="67" t="n">
        <f aca="false">Sales!AF7*Assumptions!$C$40</f>
        <v>25004.7</v>
      </c>
      <c r="AG12" s="67" t="n">
        <f aca="false">Sales!AG7*Assumptions!$C$40</f>
        <v>25004.7</v>
      </c>
      <c r="AH12" s="67" t="n">
        <f aca="false">Sales!AH7*Assumptions!$C$40</f>
        <v>25004.7</v>
      </c>
      <c r="AI12" s="67" t="n">
        <f aca="false">Sales!AI7*Assumptions!$C$40</f>
        <v>25004.7</v>
      </c>
      <c r="AJ12" s="67" t="n">
        <f aca="false">Sales!AJ7*Assumptions!$C$40</f>
        <v>22226.4</v>
      </c>
      <c r="AK12" s="67" t="n">
        <f aca="false">Sales!AK7*Assumptions!$C$40</f>
        <v>22226.4</v>
      </c>
      <c r="AL12" s="67" t="n">
        <f aca="false">Sales!AL7*Assumptions!$C$40</f>
        <v>25004.7</v>
      </c>
      <c r="AM12" s="67" t="n">
        <f aca="false">Sales!AM7*Assumptions!$C$40</f>
        <v>25004.7</v>
      </c>
      <c r="AN12" s="66" t="n">
        <f aca="false">SUM(AB12:AM12)</f>
        <v>277830</v>
      </c>
      <c r="AO12" s="67" t="n">
        <f aca="false">Sales!AO7*Assumptions!$C$40</f>
        <v>21879.1125</v>
      </c>
      <c r="AP12" s="67" t="n">
        <f aca="false">Sales!AP7*Assumptions!$C$40</f>
        <v>21879.1125</v>
      </c>
      <c r="AQ12" s="67" t="n">
        <f aca="false">Sales!AQ7*Assumptions!$C$40</f>
        <v>25004.7</v>
      </c>
      <c r="AR12" s="67" t="n">
        <f aca="false">Sales!AR7*Assumptions!$C$40</f>
        <v>25004.7</v>
      </c>
      <c r="AS12" s="67" t="n">
        <f aca="false">Sales!AS7*Assumptions!$C$40</f>
        <v>28130.2875</v>
      </c>
      <c r="AT12" s="67" t="n">
        <f aca="false">Sales!AT7*Assumptions!$C$40</f>
        <v>28130.2875</v>
      </c>
      <c r="AU12" s="67" t="n">
        <f aca="false">Sales!AU7*Assumptions!$C$40</f>
        <v>28130.2875</v>
      </c>
      <c r="AV12" s="67" t="n">
        <f aca="false">Sales!AV7*Assumptions!$C$40</f>
        <v>28130.2875</v>
      </c>
      <c r="AW12" s="67" t="n">
        <f aca="false">Sales!AW7*Assumptions!$C$40</f>
        <v>25004.7</v>
      </c>
      <c r="AX12" s="67" t="n">
        <f aca="false">Sales!AX7*Assumptions!$C$40</f>
        <v>25004.7</v>
      </c>
      <c r="AY12" s="67" t="n">
        <f aca="false">Sales!AY7*Assumptions!$C$40</f>
        <v>28130.2875</v>
      </c>
      <c r="AZ12" s="67" t="n">
        <f aca="false">Sales!AZ7*Assumptions!$C$40</f>
        <v>28130.2875</v>
      </c>
      <c r="BA12" s="66" t="n">
        <f aca="false">SUM(AO12:AZ12)</f>
        <v>312558.75</v>
      </c>
      <c r="BB12" s="67" t="n">
        <f aca="false">Sales!BB7*Assumptions!$C$40</f>
        <v>24504.606</v>
      </c>
      <c r="BC12" s="67" t="n">
        <f aca="false">Sales!BC7*Assumptions!$C$40</f>
        <v>24504.606</v>
      </c>
      <c r="BD12" s="67" t="n">
        <f aca="false">Sales!BD7*Assumptions!$C$40</f>
        <v>28005.264</v>
      </c>
      <c r="BE12" s="67" t="n">
        <f aca="false">Sales!BE7*Assumptions!$C$40</f>
        <v>28005.264</v>
      </c>
      <c r="BF12" s="67" t="n">
        <f aca="false">Sales!BF7*Assumptions!$C$40</f>
        <v>31505.922</v>
      </c>
      <c r="BG12" s="67" t="n">
        <f aca="false">Sales!BG7*Assumptions!$C$40</f>
        <v>31505.922</v>
      </c>
      <c r="BH12" s="67" t="n">
        <f aca="false">Sales!BH7*Assumptions!$C$40</f>
        <v>31505.922</v>
      </c>
      <c r="BI12" s="67" t="n">
        <f aca="false">Sales!BI7*Assumptions!$C$40</f>
        <v>31505.922</v>
      </c>
      <c r="BJ12" s="67" t="n">
        <f aca="false">Sales!BJ7*Assumptions!$C$40</f>
        <v>28005.264</v>
      </c>
      <c r="BK12" s="67" t="n">
        <f aca="false">Sales!BK7*Assumptions!$C$40</f>
        <v>28005.264</v>
      </c>
      <c r="BL12" s="67" t="n">
        <f aca="false">Sales!BL7*Assumptions!$C$40</f>
        <v>31505.922</v>
      </c>
      <c r="BM12" s="67" t="n">
        <f aca="false">Sales!BM7*Assumptions!$C$40</f>
        <v>31505.922</v>
      </c>
      <c r="BN12" s="66" t="n">
        <f aca="false">SUM(BB12:BM12)</f>
        <v>350065.8</v>
      </c>
    </row>
    <row r="13" customFormat="false" ht="15" hidden="false" customHeight="true" outlineLevel="0" collapsed="false">
      <c r="A13" s="7" t="s">
        <v>346</v>
      </c>
      <c r="B13" s="70" t="n">
        <f aca="false">(Assumptions!$C$43*Assumptions!$C$44+Assumptions!$C$45*Assumptions!$C$46+Assumptions!$C$47*Assumptions!$C$48)/12</f>
        <v>8750</v>
      </c>
      <c r="C13" s="70" t="n">
        <f aca="false">(Assumptions!$C$43*Assumptions!$C$44+Assumptions!$C$45*Assumptions!$C$46+Assumptions!$C$47*Assumptions!$C$48)/12</f>
        <v>8750</v>
      </c>
      <c r="D13" s="70" t="n">
        <f aca="false">(Assumptions!$C$43*Assumptions!$C$44+Assumptions!$C$45*Assumptions!$C$46+Assumptions!$C$47*Assumptions!$C$48)/12</f>
        <v>8750</v>
      </c>
      <c r="E13" s="70" t="n">
        <f aca="false">(Assumptions!$C$43*Assumptions!$C$44+Assumptions!$C$45*Assumptions!$C$46+Assumptions!$C$47*Assumptions!$C$48)/12</f>
        <v>8750</v>
      </c>
      <c r="F13" s="70" t="n">
        <f aca="false">(Assumptions!$C$43*Assumptions!$C$44+Assumptions!$C$45*Assumptions!$C$46+Assumptions!$C$47*Assumptions!$C$48)/12</f>
        <v>8750</v>
      </c>
      <c r="G13" s="70" t="n">
        <f aca="false">(Assumptions!$C$43*Assumptions!$C$44+Assumptions!$C$45*Assumptions!$C$46+Assumptions!$C$47*Assumptions!$C$48)/12</f>
        <v>8750</v>
      </c>
      <c r="H13" s="70" t="n">
        <f aca="false">(Assumptions!$C$43*Assumptions!$C$44+Assumptions!$C$45*Assumptions!$C$46+Assumptions!$C$47*Assumptions!$C$48)/12</f>
        <v>8750</v>
      </c>
      <c r="I13" s="70" t="n">
        <f aca="false">(Assumptions!$C$43*Assumptions!$C$44+Assumptions!$C$45*Assumptions!$C$46+Assumptions!$C$47*Assumptions!$C$48)/12</f>
        <v>8750</v>
      </c>
      <c r="J13" s="70" t="n">
        <f aca="false">(Assumptions!$C$43*Assumptions!$C$44+Assumptions!$C$45*Assumptions!$C$46+Assumptions!$C$47*Assumptions!$C$48)/12</f>
        <v>8750</v>
      </c>
      <c r="K13" s="70" t="n">
        <f aca="false">(Assumptions!$C$43*Assumptions!$C$44+Assumptions!$C$45*Assumptions!$C$46+Assumptions!$C$47*Assumptions!$C$48)/12</f>
        <v>8750</v>
      </c>
      <c r="L13" s="70" t="n">
        <f aca="false">(Assumptions!$C$43*Assumptions!$C$44+Assumptions!$C$45*Assumptions!$C$46+Assumptions!$C$47*Assumptions!$C$48)/12</f>
        <v>8750</v>
      </c>
      <c r="M13" s="70" t="n">
        <f aca="false">(Assumptions!$C$43*Assumptions!$C$44+Assumptions!$C$45*Assumptions!$C$46+Assumptions!$C$47*Assumptions!$C$48)/12</f>
        <v>8750</v>
      </c>
      <c r="N13" s="66" t="n">
        <f aca="false">SUM(B13:M13)</f>
        <v>105000</v>
      </c>
      <c r="O13" s="70" t="n">
        <f aca="false">(Assumptions!$C$43*Assumptions!$C$44+Assumptions!$C$45*Assumptions!$C$46+Assumptions!$C$47*Assumptions!$C$48)/12</f>
        <v>8750</v>
      </c>
      <c r="P13" s="70" t="n">
        <f aca="false">(Assumptions!$C$43*Assumptions!$C$44+Assumptions!$C$45*Assumptions!$C$46+Assumptions!$C$47*Assumptions!$C$48)/12</f>
        <v>8750</v>
      </c>
      <c r="Q13" s="70" t="n">
        <f aca="false">(Assumptions!$C$43*Assumptions!$C$44+Assumptions!$C$45*Assumptions!$C$46+Assumptions!$C$47*Assumptions!$C$48)/12</f>
        <v>8750</v>
      </c>
      <c r="R13" s="70" t="n">
        <f aca="false">(Assumptions!$C$43*Assumptions!$C$44+Assumptions!$C$45*Assumptions!$C$46+Assumptions!$C$47*Assumptions!$C$48)/12</f>
        <v>8750</v>
      </c>
      <c r="S13" s="70" t="n">
        <f aca="false">(Assumptions!$C$43*Assumptions!$C$44+Assumptions!$C$45*Assumptions!$C$46+Assumptions!$C$47*Assumptions!$C$48)/12</f>
        <v>8750</v>
      </c>
      <c r="T13" s="70" t="n">
        <f aca="false">(Assumptions!$C$43*Assumptions!$C$44+Assumptions!$C$45*Assumptions!$C$46+Assumptions!$C$47*Assumptions!$C$48)/12</f>
        <v>8750</v>
      </c>
      <c r="U13" s="70" t="n">
        <f aca="false">(Assumptions!$C$43*Assumptions!$C$44+Assumptions!$C$45*Assumptions!$C$46+Assumptions!$C$47*Assumptions!$C$48)/12</f>
        <v>8750</v>
      </c>
      <c r="V13" s="70" t="n">
        <f aca="false">(Assumptions!$C$43*Assumptions!$C$44+Assumptions!$C$45*Assumptions!$C$46+Assumptions!$C$47*Assumptions!$C$48)/12</f>
        <v>8750</v>
      </c>
      <c r="W13" s="70" t="n">
        <f aca="false">(Assumptions!$C$43*Assumptions!$C$44+Assumptions!$C$45*Assumptions!$C$46+Assumptions!$C$47*Assumptions!$C$48)/12</f>
        <v>8750</v>
      </c>
      <c r="X13" s="70" t="n">
        <f aca="false">(Assumptions!$C$43*Assumptions!$C$44+Assumptions!$C$45*Assumptions!$C$46+Assumptions!$C$47*Assumptions!$C$48)/12</f>
        <v>8750</v>
      </c>
      <c r="Y13" s="70" t="n">
        <f aca="false">(Assumptions!$C$43*Assumptions!$C$44+Assumptions!$C$45*Assumptions!$C$46+Assumptions!$C$47*Assumptions!$C$48)/12</f>
        <v>8750</v>
      </c>
      <c r="Z13" s="70" t="n">
        <f aca="false">(Assumptions!$C$43*Assumptions!$C$44+Assumptions!$C$45*Assumptions!$C$46+Assumptions!$C$47*Assumptions!$C$48)/12</f>
        <v>8750</v>
      </c>
      <c r="AA13" s="66" t="n">
        <f aca="false">SUM(O13:Z13)</f>
        <v>105000</v>
      </c>
      <c r="AB13" s="70" t="n">
        <f aca="false">(Assumptions!$C$43*Assumptions!$C$44+Assumptions!$C$45*Assumptions!$C$46+Assumptions!$C$47*Assumptions!$C$48)/12</f>
        <v>8750</v>
      </c>
      <c r="AC13" s="70" t="n">
        <f aca="false">(Assumptions!$C$43*Assumptions!$C$44+Assumptions!$C$45*Assumptions!$C$46+Assumptions!$C$47*Assumptions!$C$48)/12</f>
        <v>8750</v>
      </c>
      <c r="AD13" s="70" t="n">
        <f aca="false">(Assumptions!$C$43*Assumptions!$C$44+Assumptions!$C$45*Assumptions!$C$46+Assumptions!$C$47*Assumptions!$C$48)/12</f>
        <v>8750</v>
      </c>
      <c r="AE13" s="70" t="n">
        <f aca="false">(Assumptions!$C$43*Assumptions!$C$44+Assumptions!$C$45*Assumptions!$C$46+Assumptions!$C$47*Assumptions!$C$48)/12</f>
        <v>8750</v>
      </c>
      <c r="AF13" s="70" t="n">
        <f aca="false">(Assumptions!$C$43*Assumptions!$C$44+Assumptions!$C$45*Assumptions!$C$46+Assumptions!$C$47*Assumptions!$C$48)/12</f>
        <v>8750</v>
      </c>
      <c r="AG13" s="70" t="n">
        <f aca="false">(Assumptions!$C$43*Assumptions!$C$44+Assumptions!$C$45*Assumptions!$C$46+Assumptions!$C$47*Assumptions!$C$48)/12</f>
        <v>8750</v>
      </c>
      <c r="AH13" s="70" t="n">
        <f aca="false">(Assumptions!$C$43*Assumptions!$C$44+Assumptions!$C$45*Assumptions!$C$46+Assumptions!$C$47*Assumptions!$C$48)/12</f>
        <v>8750</v>
      </c>
      <c r="AI13" s="70" t="n">
        <f aca="false">(Assumptions!$C$43*Assumptions!$C$44+Assumptions!$C$45*Assumptions!$C$46+Assumptions!$C$47*Assumptions!$C$48)/12</f>
        <v>8750</v>
      </c>
      <c r="AJ13" s="70" t="n">
        <f aca="false">(Assumptions!$C$43*Assumptions!$C$44+Assumptions!$C$45*Assumptions!$C$46+Assumptions!$C$47*Assumptions!$C$48)/12</f>
        <v>8750</v>
      </c>
      <c r="AK13" s="70" t="n">
        <f aca="false">(Assumptions!$C$43*Assumptions!$C$44+Assumptions!$C$45*Assumptions!$C$46+Assumptions!$C$47*Assumptions!$C$48)/12</f>
        <v>8750</v>
      </c>
      <c r="AL13" s="70" t="n">
        <f aca="false">(Assumptions!$C$43*Assumptions!$C$44+Assumptions!$C$45*Assumptions!$C$46+Assumptions!$C$47*Assumptions!$C$48)/12</f>
        <v>8750</v>
      </c>
      <c r="AM13" s="70" t="n">
        <f aca="false">(Assumptions!$C$43*Assumptions!$C$44+Assumptions!$C$45*Assumptions!$C$46+Assumptions!$C$47*Assumptions!$C$48)/12</f>
        <v>8750</v>
      </c>
      <c r="AN13" s="66" t="n">
        <f aca="false">SUM(AB13:AM13)</f>
        <v>105000</v>
      </c>
      <c r="AO13" s="70" t="n">
        <f aca="false">(Assumptions!$C$43*Assumptions!$C$44+Assumptions!$C$45*Assumptions!$C$46+Assumptions!$C$47*Assumptions!$C$48)/12</f>
        <v>8750</v>
      </c>
      <c r="AP13" s="70" t="n">
        <f aca="false">(Assumptions!$C$43*Assumptions!$C$44+Assumptions!$C$45*Assumptions!$C$46+Assumptions!$C$47*Assumptions!$C$48)/12</f>
        <v>8750</v>
      </c>
      <c r="AQ13" s="70" t="n">
        <f aca="false">(Assumptions!$C$43*Assumptions!$C$44+Assumptions!$C$45*Assumptions!$C$46+Assumptions!$C$47*Assumptions!$C$48)/12</f>
        <v>8750</v>
      </c>
      <c r="AR13" s="70" t="n">
        <f aca="false">(Assumptions!$C$43*Assumptions!$C$44+Assumptions!$C$45*Assumptions!$C$46+Assumptions!$C$47*Assumptions!$C$48)/12</f>
        <v>8750</v>
      </c>
      <c r="AS13" s="70" t="n">
        <f aca="false">(Assumptions!$C$43*Assumptions!$C$44+Assumptions!$C$45*Assumptions!$C$46+Assumptions!$C$47*Assumptions!$C$48)/12</f>
        <v>8750</v>
      </c>
      <c r="AT13" s="70" t="n">
        <f aca="false">(Assumptions!$C$43*Assumptions!$C$44+Assumptions!$C$45*Assumptions!$C$46+Assumptions!$C$47*Assumptions!$C$48)/12</f>
        <v>8750</v>
      </c>
      <c r="AU13" s="70" t="n">
        <f aca="false">(Assumptions!$C$43*Assumptions!$C$44+Assumptions!$C$45*Assumptions!$C$46+Assumptions!$C$47*Assumptions!$C$48)/12</f>
        <v>8750</v>
      </c>
      <c r="AV13" s="70" t="n">
        <f aca="false">(Assumptions!$C$43*Assumptions!$C$44+Assumptions!$C$45*Assumptions!$C$46+Assumptions!$C$47*Assumptions!$C$48)/12</f>
        <v>8750</v>
      </c>
      <c r="AW13" s="70" t="n">
        <f aca="false">(Assumptions!$C$43*Assumptions!$C$44+Assumptions!$C$45*Assumptions!$C$46+Assumptions!$C$47*Assumptions!$C$48)/12</f>
        <v>8750</v>
      </c>
      <c r="AX13" s="70" t="n">
        <f aca="false">(Assumptions!$C$43*Assumptions!$C$44+Assumptions!$C$45*Assumptions!$C$46+Assumptions!$C$47*Assumptions!$C$48)/12</f>
        <v>8750</v>
      </c>
      <c r="AY13" s="70" t="n">
        <f aca="false">(Assumptions!$C$43*Assumptions!$C$44+Assumptions!$C$45*Assumptions!$C$46+Assumptions!$C$47*Assumptions!$C$48)/12</f>
        <v>8750</v>
      </c>
      <c r="AZ13" s="70" t="n">
        <f aca="false">(Assumptions!$C$43*Assumptions!$C$44+Assumptions!$C$45*Assumptions!$C$46+Assumptions!$C$47*Assumptions!$C$48)/12</f>
        <v>8750</v>
      </c>
      <c r="BA13" s="66" t="n">
        <f aca="false">SUM(AO13:AZ13)</f>
        <v>105000</v>
      </c>
      <c r="BB13" s="70" t="n">
        <f aca="false">(Assumptions!$C$43*Assumptions!$C$44+Assumptions!$C$45*Assumptions!$C$46+Assumptions!$C$47*Assumptions!$C$48)/12</f>
        <v>8750</v>
      </c>
      <c r="BC13" s="70" t="n">
        <f aca="false">(Assumptions!$C$43*Assumptions!$C$44+Assumptions!$C$45*Assumptions!$C$46+Assumptions!$C$47*Assumptions!$C$48)/12</f>
        <v>8750</v>
      </c>
      <c r="BD13" s="70" t="n">
        <f aca="false">(Assumptions!$C$43*Assumptions!$C$44+Assumptions!$C$45*Assumptions!$C$46+Assumptions!$C$47*Assumptions!$C$48)/12</f>
        <v>8750</v>
      </c>
      <c r="BE13" s="70" t="n">
        <f aca="false">(Assumptions!$C$43*Assumptions!$C$44+Assumptions!$C$45*Assumptions!$C$46+Assumptions!$C$47*Assumptions!$C$48)/12</f>
        <v>8750</v>
      </c>
      <c r="BF13" s="70" t="n">
        <f aca="false">(Assumptions!$C$43*Assumptions!$C$44+Assumptions!$C$45*Assumptions!$C$46+Assumptions!$C$47*Assumptions!$C$48)/12</f>
        <v>8750</v>
      </c>
      <c r="BG13" s="70" t="n">
        <f aca="false">(Assumptions!$C$43*Assumptions!$C$44+Assumptions!$C$45*Assumptions!$C$46+Assumptions!$C$47*Assumptions!$C$48)/12</f>
        <v>8750</v>
      </c>
      <c r="BH13" s="70" t="n">
        <f aca="false">(Assumptions!$C$43*Assumptions!$C$44+Assumptions!$C$45*Assumptions!$C$46+Assumptions!$C$47*Assumptions!$C$48)/12</f>
        <v>8750</v>
      </c>
      <c r="BI13" s="70" t="n">
        <f aca="false">(Assumptions!$C$43*Assumptions!$C$44+Assumptions!$C$45*Assumptions!$C$46+Assumptions!$C$47*Assumptions!$C$48)/12</f>
        <v>8750</v>
      </c>
      <c r="BJ13" s="70" t="n">
        <f aca="false">(Assumptions!$C$43*Assumptions!$C$44+Assumptions!$C$45*Assumptions!$C$46+Assumptions!$C$47*Assumptions!$C$48)/12</f>
        <v>8750</v>
      </c>
      <c r="BK13" s="70" t="n">
        <f aca="false">(Assumptions!$C$43*Assumptions!$C$44+Assumptions!$C$45*Assumptions!$C$46+Assumptions!$C$47*Assumptions!$C$48)/12</f>
        <v>8750</v>
      </c>
      <c r="BL13" s="70" t="n">
        <f aca="false">(Assumptions!$C$43*Assumptions!$C$44+Assumptions!$C$45*Assumptions!$C$46+Assumptions!$C$47*Assumptions!$C$48)/12</f>
        <v>8750</v>
      </c>
      <c r="BM13" s="70" t="n">
        <f aca="false">(Assumptions!$C$43*Assumptions!$C$44+Assumptions!$C$45*Assumptions!$C$46+Assumptions!$C$47*Assumptions!$C$48)/12</f>
        <v>8750</v>
      </c>
      <c r="BN13" s="66" t="n">
        <f aca="false">SUM(BB13:BM13)</f>
        <v>105000</v>
      </c>
    </row>
    <row r="14" customFormat="false" ht="15" hidden="false" customHeight="true" outlineLevel="0" collapsed="false">
      <c r="A14" s="7" t="s">
        <v>347</v>
      </c>
      <c r="B14" s="67" t="n">
        <f aca="false">Repayment!C6/12</f>
        <v>17500</v>
      </c>
      <c r="C14" s="67" t="n">
        <f aca="false">Repayment!C6/12</f>
        <v>17500</v>
      </c>
      <c r="D14" s="67" t="n">
        <f aca="false">Repayment!C6/12</f>
        <v>17500</v>
      </c>
      <c r="E14" s="67" t="n">
        <f aca="false">Repayment!C6/12</f>
        <v>17500</v>
      </c>
      <c r="F14" s="67" t="n">
        <f aca="false">Repayment!C6/12</f>
        <v>17500</v>
      </c>
      <c r="G14" s="67" t="n">
        <f aca="false">Repayment!C6/12</f>
        <v>17500</v>
      </c>
      <c r="H14" s="67" t="n">
        <f aca="false">Repayment!C6/12</f>
        <v>17500</v>
      </c>
      <c r="I14" s="67" t="n">
        <f aca="false">Repayment!C6/12</f>
        <v>17500</v>
      </c>
      <c r="J14" s="67" t="n">
        <f aca="false">Repayment!C6/12</f>
        <v>17500</v>
      </c>
      <c r="K14" s="67" t="n">
        <f aca="false">Repayment!C6/12</f>
        <v>17500</v>
      </c>
      <c r="L14" s="67" t="n">
        <f aca="false">Repayment!C6/12</f>
        <v>17500</v>
      </c>
      <c r="M14" s="67" t="n">
        <f aca="false">Repayment!C6/12</f>
        <v>17500</v>
      </c>
      <c r="N14" s="66" t="n">
        <f aca="false">SUM(B14:M14)</f>
        <v>210000</v>
      </c>
      <c r="O14" s="67" t="n">
        <f aca="false">Repayment!D6/12</f>
        <v>13611.1111111111</v>
      </c>
      <c r="P14" s="67" t="n">
        <f aca="false">Repayment!D6/12</f>
        <v>13611.1111111111</v>
      </c>
      <c r="Q14" s="67" t="n">
        <f aca="false">Repayment!D6/12</f>
        <v>13611.1111111111</v>
      </c>
      <c r="R14" s="67" t="n">
        <f aca="false">Repayment!D6/12</f>
        <v>13611.1111111111</v>
      </c>
      <c r="S14" s="67" t="n">
        <f aca="false">Repayment!D6/12</f>
        <v>13611.1111111111</v>
      </c>
      <c r="T14" s="67" t="n">
        <f aca="false">Repayment!D6/12</f>
        <v>13611.1111111111</v>
      </c>
      <c r="U14" s="67" t="n">
        <f aca="false">Repayment!D6/12</f>
        <v>13611.1111111111</v>
      </c>
      <c r="V14" s="67" t="n">
        <f aca="false">Repayment!D6/12</f>
        <v>13611.1111111111</v>
      </c>
      <c r="W14" s="67" t="n">
        <f aca="false">Repayment!D6/12</f>
        <v>13611.1111111111</v>
      </c>
      <c r="X14" s="67" t="n">
        <f aca="false">Repayment!D6/12</f>
        <v>13611.1111111111</v>
      </c>
      <c r="Y14" s="67" t="n">
        <f aca="false">Repayment!D6/12</f>
        <v>13611.1111111111</v>
      </c>
      <c r="Z14" s="67" t="n">
        <f aca="false">Repayment!D6/12</f>
        <v>13611.1111111111</v>
      </c>
      <c r="AA14" s="66" t="n">
        <f aca="false">SUM(O14:Z14)</f>
        <v>163333.333333333</v>
      </c>
      <c r="AB14" s="67" t="n">
        <f aca="false">Repayment!E6/12</f>
        <v>9722.22222222222</v>
      </c>
      <c r="AC14" s="67" t="n">
        <f aca="false">Repayment!E6/12</f>
        <v>9722.22222222222</v>
      </c>
      <c r="AD14" s="67" t="n">
        <f aca="false">Repayment!E6/12</f>
        <v>9722.22222222222</v>
      </c>
      <c r="AE14" s="67" t="n">
        <f aca="false">Repayment!E6/12</f>
        <v>9722.22222222222</v>
      </c>
      <c r="AF14" s="67" t="n">
        <f aca="false">Repayment!E6/12</f>
        <v>9722.22222222222</v>
      </c>
      <c r="AG14" s="67" t="n">
        <f aca="false">Repayment!E6/12</f>
        <v>9722.22222222222</v>
      </c>
      <c r="AH14" s="67" t="n">
        <f aca="false">Repayment!E6/12</f>
        <v>9722.22222222222</v>
      </c>
      <c r="AI14" s="67" t="n">
        <f aca="false">Repayment!E6/12</f>
        <v>9722.22222222222</v>
      </c>
      <c r="AJ14" s="67" t="n">
        <f aca="false">Repayment!E6/12</f>
        <v>9722.22222222222</v>
      </c>
      <c r="AK14" s="67" t="n">
        <f aca="false">Repayment!E6/12</f>
        <v>9722.22222222222</v>
      </c>
      <c r="AL14" s="67" t="n">
        <f aca="false">Repayment!E6/12</f>
        <v>9722.22222222222</v>
      </c>
      <c r="AM14" s="67" t="n">
        <f aca="false">Repayment!E6/12</f>
        <v>9722.22222222222</v>
      </c>
      <c r="AN14" s="66" t="n">
        <f aca="false">SUM(AB14:AM14)</f>
        <v>116666.666666667</v>
      </c>
      <c r="AO14" s="67" t="n">
        <f aca="false">Repayment!F6/12</f>
        <v>5833.33333333333</v>
      </c>
      <c r="AP14" s="67" t="n">
        <f aca="false">Repayment!F6/12</f>
        <v>5833.33333333333</v>
      </c>
      <c r="AQ14" s="67" t="n">
        <f aca="false">Repayment!F6/12</f>
        <v>5833.33333333333</v>
      </c>
      <c r="AR14" s="67" t="n">
        <f aca="false">Repayment!F6/12</f>
        <v>5833.33333333333</v>
      </c>
      <c r="AS14" s="67" t="n">
        <f aca="false">Repayment!F6/12</f>
        <v>5833.33333333333</v>
      </c>
      <c r="AT14" s="67" t="n">
        <f aca="false">Repayment!F6/12</f>
        <v>5833.33333333333</v>
      </c>
      <c r="AU14" s="67" t="n">
        <f aca="false">Repayment!F6/12</f>
        <v>5833.33333333333</v>
      </c>
      <c r="AV14" s="67" t="n">
        <f aca="false">Repayment!F6/12</f>
        <v>5833.33333333333</v>
      </c>
      <c r="AW14" s="67" t="n">
        <f aca="false">Repayment!F6/12</f>
        <v>5833.33333333333</v>
      </c>
      <c r="AX14" s="67" t="n">
        <f aca="false">Repayment!F6/12</f>
        <v>5833.33333333333</v>
      </c>
      <c r="AY14" s="67" t="n">
        <f aca="false">Repayment!F6/12</f>
        <v>5833.33333333333</v>
      </c>
      <c r="AZ14" s="67" t="n">
        <f aca="false">Repayment!F6/12</f>
        <v>5833.33333333333</v>
      </c>
      <c r="BA14" s="66" t="n">
        <f aca="false">SUM(AO14:AZ14)</f>
        <v>70000</v>
      </c>
      <c r="BB14" s="67" t="n">
        <f aca="false">Repayment!G6/12</f>
        <v>1944.44444444444</v>
      </c>
      <c r="BC14" s="67" t="n">
        <f aca="false">Repayment!G6/12</f>
        <v>1944.44444444444</v>
      </c>
      <c r="BD14" s="67" t="n">
        <f aca="false">Repayment!G6/12</f>
        <v>1944.44444444444</v>
      </c>
      <c r="BE14" s="67" t="n">
        <f aca="false">Repayment!G6/12</f>
        <v>1944.44444444444</v>
      </c>
      <c r="BF14" s="67" t="n">
        <f aca="false">Repayment!G6/12</f>
        <v>1944.44444444444</v>
      </c>
      <c r="BG14" s="67" t="n">
        <f aca="false">Repayment!G6/12</f>
        <v>1944.44444444444</v>
      </c>
      <c r="BH14" s="67" t="n">
        <f aca="false">Repayment!G6/12</f>
        <v>1944.44444444444</v>
      </c>
      <c r="BI14" s="67" t="n">
        <f aca="false">Repayment!G6/12</f>
        <v>1944.44444444444</v>
      </c>
      <c r="BJ14" s="67" t="n">
        <f aca="false">Repayment!G6/12</f>
        <v>1944.44444444444</v>
      </c>
      <c r="BK14" s="67" t="n">
        <f aca="false">Repayment!G6/12</f>
        <v>1944.44444444444</v>
      </c>
      <c r="BL14" s="67" t="n">
        <f aca="false">Repayment!G6/12</f>
        <v>1944.44444444444</v>
      </c>
      <c r="BM14" s="67" t="n">
        <f aca="false">Repayment!G6/12</f>
        <v>1944.44444444444</v>
      </c>
      <c r="BN14" s="66" t="n">
        <f aca="false">SUM(BB14:BM14)</f>
        <v>23333.3333333333</v>
      </c>
    </row>
    <row r="15" customFormat="false" ht="15" hidden="false" customHeight="true" outlineLevel="0" collapsed="false">
      <c r="A15" s="7" t="s">
        <v>348</v>
      </c>
      <c r="B15" s="67" t="n">
        <f aca="false">Form_V_MPBF!C11*Assumptions!$C$13/12</f>
        <v>4027.39726027397</v>
      </c>
      <c r="C15" s="67" t="n">
        <f aca="false">Form_V_MPBF!C11*Assumptions!$C$13/12</f>
        <v>4027.39726027397</v>
      </c>
      <c r="D15" s="67" t="n">
        <f aca="false">Form_V_MPBF!C11*Assumptions!$C$13/12</f>
        <v>4027.39726027397</v>
      </c>
      <c r="E15" s="67" t="n">
        <f aca="false">Form_V_MPBF!C11*Assumptions!$C$13/12</f>
        <v>4027.39726027397</v>
      </c>
      <c r="F15" s="67" t="n">
        <f aca="false">Form_V_MPBF!C11*Assumptions!$C$13/12</f>
        <v>4027.39726027397</v>
      </c>
      <c r="G15" s="67" t="n">
        <f aca="false">Form_V_MPBF!C11*Assumptions!$C$13/12</f>
        <v>4027.39726027397</v>
      </c>
      <c r="H15" s="67" t="n">
        <f aca="false">Form_V_MPBF!C11*Assumptions!$C$13/12</f>
        <v>4027.39726027397</v>
      </c>
      <c r="I15" s="67" t="n">
        <f aca="false">Form_V_MPBF!C11*Assumptions!$C$13/12</f>
        <v>4027.39726027397</v>
      </c>
      <c r="J15" s="67" t="n">
        <f aca="false">Form_V_MPBF!C11*Assumptions!$C$13/12</f>
        <v>4027.39726027397</v>
      </c>
      <c r="K15" s="67" t="n">
        <f aca="false">Form_V_MPBF!C11*Assumptions!$C$13/12</f>
        <v>4027.39726027397</v>
      </c>
      <c r="L15" s="67" t="n">
        <f aca="false">Form_V_MPBF!C11*Assumptions!$C$13/12</f>
        <v>4027.39726027397</v>
      </c>
      <c r="M15" s="67" t="n">
        <f aca="false">Form_V_MPBF!C11*Assumptions!$C$13/12</f>
        <v>4027.39726027397</v>
      </c>
      <c r="N15" s="66" t="n">
        <f aca="false">SUM(B15:M15)</f>
        <v>48328.7671232877</v>
      </c>
      <c r="O15" s="67" t="n">
        <f aca="false">Form_V_MPBF!D11*Assumptions!$C$13/12</f>
        <v>4439.6095890411</v>
      </c>
      <c r="P15" s="67" t="n">
        <f aca="false">Form_V_MPBF!D11*Assumptions!$C$13/12</f>
        <v>4439.6095890411</v>
      </c>
      <c r="Q15" s="67" t="n">
        <f aca="false">Form_V_MPBF!D11*Assumptions!$C$13/12</f>
        <v>4439.6095890411</v>
      </c>
      <c r="R15" s="67" t="n">
        <f aca="false">Form_V_MPBF!D11*Assumptions!$C$13/12</f>
        <v>4439.6095890411</v>
      </c>
      <c r="S15" s="67" t="n">
        <f aca="false">Form_V_MPBF!D11*Assumptions!$C$13/12</f>
        <v>4439.6095890411</v>
      </c>
      <c r="T15" s="67" t="n">
        <f aca="false">Form_V_MPBF!D11*Assumptions!$C$13/12</f>
        <v>4439.6095890411</v>
      </c>
      <c r="U15" s="67" t="n">
        <f aca="false">Form_V_MPBF!D11*Assumptions!$C$13/12</f>
        <v>4439.6095890411</v>
      </c>
      <c r="V15" s="67" t="n">
        <f aca="false">Form_V_MPBF!D11*Assumptions!$C$13/12</f>
        <v>4439.6095890411</v>
      </c>
      <c r="W15" s="67" t="n">
        <f aca="false">Form_V_MPBF!D11*Assumptions!$C$13/12</f>
        <v>4439.6095890411</v>
      </c>
      <c r="X15" s="67" t="n">
        <f aca="false">Form_V_MPBF!D11*Assumptions!$C$13/12</f>
        <v>4439.6095890411</v>
      </c>
      <c r="Y15" s="67" t="n">
        <f aca="false">Form_V_MPBF!D11*Assumptions!$C$13/12</f>
        <v>4439.6095890411</v>
      </c>
      <c r="Z15" s="67" t="n">
        <f aca="false">Form_V_MPBF!D11*Assumptions!$C$13/12</f>
        <v>4439.6095890411</v>
      </c>
      <c r="AA15" s="66" t="n">
        <f aca="false">SUM(O15:Z15)</f>
        <v>53275.3150684932</v>
      </c>
      <c r="AB15" s="67" t="n">
        <f aca="false">Form_V_MPBF!E11*Assumptions!$C$13/12</f>
        <v>4881.17794520548</v>
      </c>
      <c r="AC15" s="67" t="n">
        <f aca="false">Form_V_MPBF!E11*Assumptions!$C$13/12</f>
        <v>4881.17794520548</v>
      </c>
      <c r="AD15" s="67" t="n">
        <f aca="false">Form_V_MPBF!E11*Assumptions!$C$13/12</f>
        <v>4881.17794520548</v>
      </c>
      <c r="AE15" s="67" t="n">
        <f aca="false">Form_V_MPBF!E11*Assumptions!$C$13/12</f>
        <v>4881.17794520548</v>
      </c>
      <c r="AF15" s="67" t="n">
        <f aca="false">Form_V_MPBF!E11*Assumptions!$C$13/12</f>
        <v>4881.17794520548</v>
      </c>
      <c r="AG15" s="67" t="n">
        <f aca="false">Form_V_MPBF!E11*Assumptions!$C$13/12</f>
        <v>4881.17794520548</v>
      </c>
      <c r="AH15" s="67" t="n">
        <f aca="false">Form_V_MPBF!E11*Assumptions!$C$13/12</f>
        <v>4881.17794520548</v>
      </c>
      <c r="AI15" s="67" t="n">
        <f aca="false">Form_V_MPBF!E11*Assumptions!$C$13/12</f>
        <v>4881.17794520548</v>
      </c>
      <c r="AJ15" s="67" t="n">
        <f aca="false">Form_V_MPBF!E11*Assumptions!$C$13/12</f>
        <v>4881.17794520548</v>
      </c>
      <c r="AK15" s="67" t="n">
        <f aca="false">Form_V_MPBF!E11*Assumptions!$C$13/12</f>
        <v>4881.17794520548</v>
      </c>
      <c r="AL15" s="67" t="n">
        <f aca="false">Form_V_MPBF!E11*Assumptions!$C$13/12</f>
        <v>4881.17794520548</v>
      </c>
      <c r="AM15" s="67" t="n">
        <f aca="false">Form_V_MPBF!E11*Assumptions!$C$13/12</f>
        <v>4881.17794520548</v>
      </c>
      <c r="AN15" s="66" t="n">
        <f aca="false">SUM(AB15:AM15)</f>
        <v>58574.1353424657</v>
      </c>
      <c r="AO15" s="67" t="n">
        <f aca="false">Form_V_MPBF!F11*Assumptions!$C$13/12</f>
        <v>5353.90694589041</v>
      </c>
      <c r="AP15" s="67" t="n">
        <f aca="false">Form_V_MPBF!F11*Assumptions!$C$13/12</f>
        <v>5353.90694589041</v>
      </c>
      <c r="AQ15" s="67" t="n">
        <f aca="false">Form_V_MPBF!F11*Assumptions!$C$13/12</f>
        <v>5353.90694589041</v>
      </c>
      <c r="AR15" s="67" t="n">
        <f aca="false">Form_V_MPBF!F11*Assumptions!$C$13/12</f>
        <v>5353.90694589041</v>
      </c>
      <c r="AS15" s="67" t="n">
        <f aca="false">Form_V_MPBF!F11*Assumptions!$C$13/12</f>
        <v>5353.90694589041</v>
      </c>
      <c r="AT15" s="67" t="n">
        <f aca="false">Form_V_MPBF!F11*Assumptions!$C$13/12</f>
        <v>5353.90694589041</v>
      </c>
      <c r="AU15" s="67" t="n">
        <f aca="false">Form_V_MPBF!F11*Assumptions!$C$13/12</f>
        <v>5353.90694589041</v>
      </c>
      <c r="AV15" s="67" t="n">
        <f aca="false">Form_V_MPBF!F11*Assumptions!$C$13/12</f>
        <v>5353.90694589041</v>
      </c>
      <c r="AW15" s="67" t="n">
        <f aca="false">Form_V_MPBF!F11*Assumptions!$C$13/12</f>
        <v>5353.90694589041</v>
      </c>
      <c r="AX15" s="67" t="n">
        <f aca="false">Form_V_MPBF!F11*Assumptions!$C$13/12</f>
        <v>5353.90694589041</v>
      </c>
      <c r="AY15" s="67" t="n">
        <f aca="false">Form_V_MPBF!F11*Assumptions!$C$13/12</f>
        <v>5353.90694589041</v>
      </c>
      <c r="AZ15" s="67" t="n">
        <f aca="false">Form_V_MPBF!F11*Assumptions!$C$13/12</f>
        <v>5353.90694589041</v>
      </c>
      <c r="BA15" s="66" t="n">
        <f aca="false">SUM(AO15:AZ15)</f>
        <v>64246.8833506849</v>
      </c>
      <c r="BB15" s="67" t="n">
        <f aca="false">Form_V_MPBF!G11*Assumptions!$C$13/12</f>
        <v>5859.70487712329</v>
      </c>
      <c r="BC15" s="67" t="n">
        <f aca="false">Form_V_MPBF!G11*Assumptions!$C$13/12</f>
        <v>5859.70487712329</v>
      </c>
      <c r="BD15" s="67" t="n">
        <f aca="false">Form_V_MPBF!G11*Assumptions!$C$13/12</f>
        <v>5859.70487712329</v>
      </c>
      <c r="BE15" s="67" t="n">
        <f aca="false">Form_V_MPBF!G11*Assumptions!$C$13/12</f>
        <v>5859.70487712329</v>
      </c>
      <c r="BF15" s="67" t="n">
        <f aca="false">Form_V_MPBF!G11*Assumptions!$C$13/12</f>
        <v>5859.70487712329</v>
      </c>
      <c r="BG15" s="67" t="n">
        <f aca="false">Form_V_MPBF!G11*Assumptions!$C$13/12</f>
        <v>5859.70487712329</v>
      </c>
      <c r="BH15" s="67" t="n">
        <f aca="false">Form_V_MPBF!G11*Assumptions!$C$13/12</f>
        <v>5859.70487712329</v>
      </c>
      <c r="BI15" s="67" t="n">
        <f aca="false">Form_V_MPBF!G11*Assumptions!$C$13/12</f>
        <v>5859.70487712329</v>
      </c>
      <c r="BJ15" s="67" t="n">
        <f aca="false">Form_V_MPBF!G11*Assumptions!$C$13/12</f>
        <v>5859.70487712329</v>
      </c>
      <c r="BK15" s="67" t="n">
        <f aca="false">Form_V_MPBF!G11*Assumptions!$C$13/12</f>
        <v>5859.70487712329</v>
      </c>
      <c r="BL15" s="67" t="n">
        <f aca="false">Form_V_MPBF!G11*Assumptions!$C$13/12</f>
        <v>5859.70487712329</v>
      </c>
      <c r="BM15" s="67" t="n">
        <f aca="false">Form_V_MPBF!G11*Assumptions!$C$13/12</f>
        <v>5859.70487712329</v>
      </c>
      <c r="BN15" s="66" t="n">
        <f aca="false">SUM(BB15:BM15)</f>
        <v>70316.4585254794</v>
      </c>
    </row>
    <row r="16" customFormat="false" ht="15" hidden="false" customHeight="true" outlineLevel="0" collapsed="false">
      <c r="A16" s="64" t="s">
        <v>349</v>
      </c>
      <c r="B16" s="66" t="n">
        <f aca="false">SUM(B5:B15)</f>
        <v>659397.397260274</v>
      </c>
      <c r="C16" s="66" t="n">
        <f aca="false">SUM(C5:C15)</f>
        <v>659397.397260274</v>
      </c>
      <c r="D16" s="66" t="n">
        <f aca="false">SUM(D5:D15)</f>
        <v>733557.397260274</v>
      </c>
      <c r="E16" s="66" t="n">
        <f aca="false">SUM(E5:E15)</f>
        <v>733557.397260274</v>
      </c>
      <c r="F16" s="66" t="n">
        <f aca="false">SUM(F5:F15)</f>
        <v>807717.397260274</v>
      </c>
      <c r="G16" s="66" t="n">
        <f aca="false">SUM(G5:G15)</f>
        <v>807717.397260274</v>
      </c>
      <c r="H16" s="66" t="n">
        <f aca="false">SUM(H5:H15)</f>
        <v>807717.397260274</v>
      </c>
      <c r="I16" s="66" t="n">
        <f aca="false">SUM(I5:I15)</f>
        <v>807717.397260274</v>
      </c>
      <c r="J16" s="66" t="n">
        <f aca="false">SUM(J5:J15)</f>
        <v>733557.397260274</v>
      </c>
      <c r="K16" s="66" t="n">
        <f aca="false">SUM(K5:K15)</f>
        <v>733557.397260274</v>
      </c>
      <c r="L16" s="66" t="n">
        <f aca="false">SUM(L5:L15)</f>
        <v>807717.397260274</v>
      </c>
      <c r="M16" s="66" t="n">
        <f aca="false">SUM(M5:M15)</f>
        <v>807717.397260274</v>
      </c>
      <c r="N16" s="66" t="n">
        <f aca="false">SUM(B16:M16)</f>
        <v>9099328.76712329</v>
      </c>
      <c r="O16" s="66" t="n">
        <f aca="false">SUM(O5:O15)</f>
        <v>727289.720700152</v>
      </c>
      <c r="P16" s="66" t="n">
        <f aca="false">SUM(P5:P15)</f>
        <v>727289.720700152</v>
      </c>
      <c r="Q16" s="66" t="n">
        <f aca="false">SUM(Q5:Q15)</f>
        <v>810866.720700152</v>
      </c>
      <c r="R16" s="66" t="n">
        <f aca="false">SUM(R5:R15)</f>
        <v>810866.720700152</v>
      </c>
      <c r="S16" s="66" t="n">
        <f aca="false">SUM(S5:S15)</f>
        <v>894443.720700152</v>
      </c>
      <c r="T16" s="66" t="n">
        <f aca="false">SUM(T5:T15)</f>
        <v>894443.720700152</v>
      </c>
      <c r="U16" s="66" t="n">
        <f aca="false">SUM(U5:U15)</f>
        <v>894443.720700152</v>
      </c>
      <c r="V16" s="66" t="n">
        <f aca="false">SUM(V5:V15)</f>
        <v>894443.720700152</v>
      </c>
      <c r="W16" s="66" t="n">
        <f aca="false">SUM(W5:W15)</f>
        <v>810866.720700152</v>
      </c>
      <c r="X16" s="66" t="n">
        <f aca="false">SUM(X5:X15)</f>
        <v>810866.720700152</v>
      </c>
      <c r="Y16" s="66" t="n">
        <f aca="false">SUM(Y5:Y15)</f>
        <v>894443.720700152</v>
      </c>
      <c r="Z16" s="66" t="n">
        <f aca="false">SUM(Z5:Z15)</f>
        <v>894443.720700152</v>
      </c>
      <c r="AA16" s="66" t="n">
        <f aca="false">SUM(O16:Z16)</f>
        <v>10064708.6484018</v>
      </c>
      <c r="AB16" s="66" t="n">
        <f aca="false">SUM(AB5:AB15)</f>
        <v>799952.800167428</v>
      </c>
      <c r="AC16" s="66" t="n">
        <f aca="false">SUM(AC5:AC15)</f>
        <v>799952.800167428</v>
      </c>
      <c r="AD16" s="66" t="n">
        <f aca="false">SUM(AD5:AD15)</f>
        <v>893585.500167428</v>
      </c>
      <c r="AE16" s="66" t="n">
        <f aca="false">SUM(AE5:AE15)</f>
        <v>893585.500167428</v>
      </c>
      <c r="AF16" s="66" t="n">
        <f aca="false">SUM(AF5:AF15)</f>
        <v>987218.200167428</v>
      </c>
      <c r="AG16" s="66" t="n">
        <f aca="false">SUM(AG5:AG15)</f>
        <v>987218.200167428</v>
      </c>
      <c r="AH16" s="66" t="n">
        <f aca="false">SUM(AH5:AH15)</f>
        <v>987218.200167428</v>
      </c>
      <c r="AI16" s="66" t="n">
        <f aca="false">SUM(AI5:AI15)</f>
        <v>987218.200167428</v>
      </c>
      <c r="AJ16" s="66" t="n">
        <f aca="false">SUM(AJ5:AJ15)</f>
        <v>893585.500167428</v>
      </c>
      <c r="AK16" s="66" t="n">
        <f aca="false">SUM(AK5:AK15)</f>
        <v>893585.500167428</v>
      </c>
      <c r="AL16" s="66" t="n">
        <f aca="false">SUM(AL5:AL15)</f>
        <v>987218.200167428</v>
      </c>
      <c r="AM16" s="66" t="n">
        <f aca="false">SUM(AM5:AM15)</f>
        <v>987218.200167428</v>
      </c>
      <c r="AN16" s="66" t="n">
        <f aca="false">SUM(AB16:AM16)</f>
        <v>11097556.8020091</v>
      </c>
      <c r="AO16" s="66" t="n">
        <f aca="false">SUM(AO5:AO15)</f>
        <v>877655.617779224</v>
      </c>
      <c r="AP16" s="66" t="n">
        <f aca="false">SUM(AP5:AP15)</f>
        <v>877655.617779224</v>
      </c>
      <c r="AQ16" s="66" t="n">
        <f aca="false">SUM(AQ5:AQ15)</f>
        <v>982018.965279224</v>
      </c>
      <c r="AR16" s="66" t="n">
        <f aca="false">SUM(AR5:AR15)</f>
        <v>982018.965279224</v>
      </c>
      <c r="AS16" s="66" t="n">
        <f aca="false">SUM(AS5:AS15)</f>
        <v>1086382.31277922</v>
      </c>
      <c r="AT16" s="66" t="n">
        <f aca="false">SUM(AT5:AT15)</f>
        <v>1086382.31277922</v>
      </c>
      <c r="AU16" s="66" t="n">
        <f aca="false">SUM(AU5:AU15)</f>
        <v>1086382.31277922</v>
      </c>
      <c r="AV16" s="66" t="n">
        <f aca="false">SUM(AV5:AV15)</f>
        <v>1086382.31277922</v>
      </c>
      <c r="AW16" s="66" t="n">
        <f aca="false">SUM(AW5:AW15)</f>
        <v>982018.965279224</v>
      </c>
      <c r="AX16" s="66" t="n">
        <f aca="false">SUM(AX5:AX15)</f>
        <v>982018.965279224</v>
      </c>
      <c r="AY16" s="66" t="n">
        <f aca="false">SUM(AY5:AY15)</f>
        <v>1086382.31277922</v>
      </c>
      <c r="AZ16" s="66" t="n">
        <f aca="false">SUM(AZ5:AZ15)</f>
        <v>1086382.31277922</v>
      </c>
      <c r="BA16" s="66" t="n">
        <f aca="false">SUM(AO16:AZ16)</f>
        <v>12201680.9733507</v>
      </c>
      <c r="BB16" s="66" t="n">
        <f aca="false">SUM(BB5:BB15)</f>
        <v>960681.156691568</v>
      </c>
      <c r="BC16" s="66" t="n">
        <f aca="false">SUM(BC5:BC15)</f>
        <v>960681.156691568</v>
      </c>
      <c r="BD16" s="66" t="n">
        <f aca="false">SUM(BD5:BD15)</f>
        <v>1076488.23645157</v>
      </c>
      <c r="BE16" s="66" t="n">
        <f aca="false">SUM(BE5:BE15)</f>
        <v>1076488.23645157</v>
      </c>
      <c r="BF16" s="66" t="n">
        <f aca="false">SUM(BF5:BF15)</f>
        <v>1192295.31621157</v>
      </c>
      <c r="BG16" s="66" t="n">
        <f aca="false">SUM(BG5:BG15)</f>
        <v>1192295.31621157</v>
      </c>
      <c r="BH16" s="66" t="n">
        <f aca="false">SUM(BH5:BH15)</f>
        <v>1192295.31621157</v>
      </c>
      <c r="BI16" s="66" t="n">
        <f aca="false">SUM(BI5:BI15)</f>
        <v>1192295.31621157</v>
      </c>
      <c r="BJ16" s="66" t="n">
        <f aca="false">SUM(BJ5:BJ15)</f>
        <v>1076488.23645157</v>
      </c>
      <c r="BK16" s="66" t="n">
        <f aca="false">SUM(BK5:BK15)</f>
        <v>1076488.23645157</v>
      </c>
      <c r="BL16" s="66" t="n">
        <f aca="false">SUM(BL5:BL15)</f>
        <v>1192295.31621157</v>
      </c>
      <c r="BM16" s="66" t="n">
        <f aca="false">SUM(BM5:BM15)</f>
        <v>1192295.31621157</v>
      </c>
      <c r="BN16" s="66" t="n">
        <f aca="false">SUM(BB16:BM16)</f>
        <v>13381087.1564588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275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277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278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279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280</v>
      </c>
      <c r="B4" s="59" t="s">
        <v>209</v>
      </c>
      <c r="C4" s="59" t="s">
        <v>210</v>
      </c>
      <c r="D4" s="59" t="s">
        <v>211</v>
      </c>
      <c r="E4" s="59" t="s">
        <v>212</v>
      </c>
      <c r="F4" s="59" t="s">
        <v>213</v>
      </c>
      <c r="G4" s="59" t="s">
        <v>214</v>
      </c>
      <c r="H4" s="59" t="s">
        <v>215</v>
      </c>
      <c r="I4" s="59" t="s">
        <v>216</v>
      </c>
      <c r="J4" s="59" t="s">
        <v>217</v>
      </c>
      <c r="K4" s="59" t="s">
        <v>218</v>
      </c>
      <c r="L4" s="59" t="s">
        <v>219</v>
      </c>
      <c r="M4" s="59" t="s">
        <v>220</v>
      </c>
      <c r="N4" s="61" t="s">
        <v>281</v>
      </c>
      <c r="O4" s="59" t="s">
        <v>282</v>
      </c>
      <c r="P4" s="59" t="s">
        <v>283</v>
      </c>
      <c r="Q4" s="59" t="s">
        <v>284</v>
      </c>
      <c r="R4" s="59" t="s">
        <v>285</v>
      </c>
      <c r="S4" s="59" t="s">
        <v>286</v>
      </c>
      <c r="T4" s="59" t="s">
        <v>287</v>
      </c>
      <c r="U4" s="59" t="s">
        <v>288</v>
      </c>
      <c r="V4" s="59" t="s">
        <v>289</v>
      </c>
      <c r="W4" s="59" t="s">
        <v>290</v>
      </c>
      <c r="X4" s="59" t="s">
        <v>291</v>
      </c>
      <c r="Y4" s="59" t="s">
        <v>292</v>
      </c>
      <c r="Z4" s="59" t="s">
        <v>293</v>
      </c>
      <c r="AA4" s="61" t="s">
        <v>294</v>
      </c>
      <c r="AB4" s="59" t="s">
        <v>295</v>
      </c>
      <c r="AC4" s="59" t="s">
        <v>296</v>
      </c>
      <c r="AD4" s="59" t="s">
        <v>297</v>
      </c>
      <c r="AE4" s="59" t="s">
        <v>298</v>
      </c>
      <c r="AF4" s="59" t="s">
        <v>299</v>
      </c>
      <c r="AG4" s="59" t="s">
        <v>300</v>
      </c>
      <c r="AH4" s="59" t="s">
        <v>301</v>
      </c>
      <c r="AI4" s="59" t="s">
        <v>302</v>
      </c>
      <c r="AJ4" s="59" t="s">
        <v>303</v>
      </c>
      <c r="AK4" s="59" t="s">
        <v>304</v>
      </c>
      <c r="AL4" s="59" t="s">
        <v>305</v>
      </c>
      <c r="AM4" s="59" t="s">
        <v>306</v>
      </c>
      <c r="AN4" s="61" t="s">
        <v>307</v>
      </c>
      <c r="AO4" s="59" t="s">
        <v>308</v>
      </c>
      <c r="AP4" s="59" t="s">
        <v>309</v>
      </c>
      <c r="AQ4" s="59" t="s">
        <v>310</v>
      </c>
      <c r="AR4" s="59" t="s">
        <v>311</v>
      </c>
      <c r="AS4" s="59" t="s">
        <v>312</v>
      </c>
      <c r="AT4" s="59" t="s">
        <v>313</v>
      </c>
      <c r="AU4" s="59" t="s">
        <v>314</v>
      </c>
      <c r="AV4" s="59" t="s">
        <v>315</v>
      </c>
      <c r="AW4" s="59" t="s">
        <v>316</v>
      </c>
      <c r="AX4" s="59" t="s">
        <v>317</v>
      </c>
      <c r="AY4" s="59" t="s">
        <v>318</v>
      </c>
      <c r="AZ4" s="59" t="s">
        <v>319</v>
      </c>
      <c r="BA4" s="61" t="s">
        <v>320</v>
      </c>
      <c r="BB4" s="59" t="s">
        <v>321</v>
      </c>
      <c r="BC4" s="59" t="s">
        <v>322</v>
      </c>
      <c r="BD4" s="59" t="s">
        <v>323</v>
      </c>
      <c r="BE4" s="59" t="s">
        <v>324</v>
      </c>
      <c r="BF4" s="59" t="s">
        <v>325</v>
      </c>
      <c r="BG4" s="59" t="s">
        <v>326</v>
      </c>
      <c r="BH4" s="59" t="s">
        <v>327</v>
      </c>
      <c r="BI4" s="59" t="s">
        <v>328</v>
      </c>
      <c r="BJ4" s="59" t="s">
        <v>329</v>
      </c>
      <c r="BK4" s="59" t="s">
        <v>330</v>
      </c>
      <c r="BL4" s="59" t="s">
        <v>331</v>
      </c>
      <c r="BM4" s="59" t="s">
        <v>332</v>
      </c>
      <c r="BN4" s="61" t="s">
        <v>333</v>
      </c>
    </row>
    <row r="5" customFormat="false" ht="15" hidden="false" customHeight="true" outlineLevel="0" collapsed="false">
      <c r="A5" s="64" t="s">
        <v>352</v>
      </c>
      <c r="B5" s="67" t="n">
        <f aca="false">Sales!B7</f>
        <v>756000</v>
      </c>
      <c r="C5" s="67" t="n">
        <f aca="false">Sales!C7</f>
        <v>756000</v>
      </c>
      <c r="D5" s="67" t="n">
        <f aca="false">Sales!D7</f>
        <v>864000</v>
      </c>
      <c r="E5" s="67" t="n">
        <f aca="false">Sales!E7</f>
        <v>864000</v>
      </c>
      <c r="F5" s="67" t="n">
        <f aca="false">Sales!F7</f>
        <v>972000</v>
      </c>
      <c r="G5" s="67" t="n">
        <f aca="false">Sales!G7</f>
        <v>972000</v>
      </c>
      <c r="H5" s="67" t="n">
        <f aca="false">Sales!H7</f>
        <v>972000</v>
      </c>
      <c r="I5" s="67" t="n">
        <f aca="false">Sales!I7</f>
        <v>972000</v>
      </c>
      <c r="J5" s="67" t="n">
        <f aca="false">Sales!J7</f>
        <v>864000</v>
      </c>
      <c r="K5" s="67" t="n">
        <f aca="false">Sales!K7</f>
        <v>864000</v>
      </c>
      <c r="L5" s="67" t="n">
        <f aca="false">Sales!L7</f>
        <v>972000</v>
      </c>
      <c r="M5" s="67" t="n">
        <f aca="false">Sales!M7</f>
        <v>972000</v>
      </c>
      <c r="N5" s="66" t="n">
        <f aca="false">SUM(B5:M5)</f>
        <v>10800000</v>
      </c>
      <c r="O5" s="67" t="n">
        <f aca="false">Sales!O7</f>
        <v>859950</v>
      </c>
      <c r="P5" s="67" t="n">
        <f aca="false">Sales!P7</f>
        <v>859950</v>
      </c>
      <c r="Q5" s="67" t="n">
        <f aca="false">Sales!Q7</f>
        <v>982800</v>
      </c>
      <c r="R5" s="67" t="n">
        <f aca="false">Sales!R7</f>
        <v>982800</v>
      </c>
      <c r="S5" s="67" t="n">
        <f aca="false">Sales!S7</f>
        <v>1105650</v>
      </c>
      <c r="T5" s="67" t="n">
        <f aca="false">Sales!T7</f>
        <v>1105650</v>
      </c>
      <c r="U5" s="67" t="n">
        <f aca="false">Sales!U7</f>
        <v>1105650</v>
      </c>
      <c r="V5" s="67" t="n">
        <f aca="false">Sales!V7</f>
        <v>1105650</v>
      </c>
      <c r="W5" s="67" t="n">
        <f aca="false">Sales!W7</f>
        <v>982800</v>
      </c>
      <c r="X5" s="67" t="n">
        <f aca="false">Sales!X7</f>
        <v>982800</v>
      </c>
      <c r="Y5" s="67" t="n">
        <f aca="false">Sales!Y7</f>
        <v>1105650</v>
      </c>
      <c r="Z5" s="67" t="n">
        <f aca="false">Sales!Z7</f>
        <v>1105650</v>
      </c>
      <c r="AA5" s="66" t="n">
        <f aca="false">SUM(O5:Z5)</f>
        <v>12285000</v>
      </c>
      <c r="AB5" s="67" t="n">
        <f aca="false">Sales!AB7</f>
        <v>972405</v>
      </c>
      <c r="AC5" s="67" t="n">
        <f aca="false">Sales!AC7</f>
        <v>972405</v>
      </c>
      <c r="AD5" s="67" t="n">
        <f aca="false">Sales!AD7</f>
        <v>1111320</v>
      </c>
      <c r="AE5" s="67" t="n">
        <f aca="false">Sales!AE7</f>
        <v>1111320</v>
      </c>
      <c r="AF5" s="67" t="n">
        <f aca="false">Sales!AF7</f>
        <v>1250235</v>
      </c>
      <c r="AG5" s="67" t="n">
        <f aca="false">Sales!AG7</f>
        <v>1250235</v>
      </c>
      <c r="AH5" s="67" t="n">
        <f aca="false">Sales!AH7</f>
        <v>1250235</v>
      </c>
      <c r="AI5" s="67" t="n">
        <f aca="false">Sales!AI7</f>
        <v>1250235</v>
      </c>
      <c r="AJ5" s="67" t="n">
        <f aca="false">Sales!AJ7</f>
        <v>1111320</v>
      </c>
      <c r="AK5" s="67" t="n">
        <f aca="false">Sales!AK7</f>
        <v>1111320</v>
      </c>
      <c r="AL5" s="67" t="n">
        <f aca="false">Sales!AL7</f>
        <v>1250235</v>
      </c>
      <c r="AM5" s="67" t="n">
        <f aca="false">Sales!AM7</f>
        <v>1250235</v>
      </c>
      <c r="AN5" s="66" t="n">
        <f aca="false">SUM(AB5:AM5)</f>
        <v>13891500</v>
      </c>
      <c r="AO5" s="67" t="n">
        <f aca="false">Sales!AO7</f>
        <v>1093955.625</v>
      </c>
      <c r="AP5" s="67" t="n">
        <f aca="false">Sales!AP7</f>
        <v>1093955.625</v>
      </c>
      <c r="AQ5" s="67" t="n">
        <f aca="false">Sales!AQ7</f>
        <v>1250235</v>
      </c>
      <c r="AR5" s="67" t="n">
        <f aca="false">Sales!AR7</f>
        <v>1250235</v>
      </c>
      <c r="AS5" s="67" t="n">
        <f aca="false">Sales!AS7</f>
        <v>1406514.375</v>
      </c>
      <c r="AT5" s="67" t="n">
        <f aca="false">Sales!AT7</f>
        <v>1406514.375</v>
      </c>
      <c r="AU5" s="67" t="n">
        <f aca="false">Sales!AU7</f>
        <v>1406514.375</v>
      </c>
      <c r="AV5" s="67" t="n">
        <f aca="false">Sales!AV7</f>
        <v>1406514.375</v>
      </c>
      <c r="AW5" s="67" t="n">
        <f aca="false">Sales!AW7</f>
        <v>1250235</v>
      </c>
      <c r="AX5" s="67" t="n">
        <f aca="false">Sales!AX7</f>
        <v>1250235</v>
      </c>
      <c r="AY5" s="67" t="n">
        <f aca="false">Sales!AY7</f>
        <v>1406514.375</v>
      </c>
      <c r="AZ5" s="67" t="n">
        <f aca="false">Sales!AZ7</f>
        <v>1406514.375</v>
      </c>
      <c r="BA5" s="66" t="n">
        <f aca="false">SUM(AO5:AZ5)</f>
        <v>15627937.5</v>
      </c>
      <c r="BB5" s="67" t="n">
        <f aca="false">Sales!BB7</f>
        <v>1225230.3</v>
      </c>
      <c r="BC5" s="67" t="n">
        <f aca="false">Sales!BC7</f>
        <v>1225230.3</v>
      </c>
      <c r="BD5" s="67" t="n">
        <f aca="false">Sales!BD7</f>
        <v>1400263.2</v>
      </c>
      <c r="BE5" s="67" t="n">
        <f aca="false">Sales!BE7</f>
        <v>1400263.2</v>
      </c>
      <c r="BF5" s="67" t="n">
        <f aca="false">Sales!BF7</f>
        <v>1575296.1</v>
      </c>
      <c r="BG5" s="67" t="n">
        <f aca="false">Sales!BG7</f>
        <v>1575296.1</v>
      </c>
      <c r="BH5" s="67" t="n">
        <f aca="false">Sales!BH7</f>
        <v>1575296.1</v>
      </c>
      <c r="BI5" s="67" t="n">
        <f aca="false">Sales!BI7</f>
        <v>1575296.1</v>
      </c>
      <c r="BJ5" s="67" t="n">
        <f aca="false">Sales!BJ7</f>
        <v>1400263.2</v>
      </c>
      <c r="BK5" s="67" t="n">
        <f aca="false">Sales!BK7</f>
        <v>1400263.2</v>
      </c>
      <c r="BL5" s="67" t="n">
        <f aca="false">Sales!BL7</f>
        <v>1575296.1</v>
      </c>
      <c r="BM5" s="67" t="n">
        <f aca="false">Sales!BM7</f>
        <v>1575296.1</v>
      </c>
      <c r="BN5" s="66" t="n">
        <f aca="false">SUM(BB5:BM5)</f>
        <v>17503290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Raw materials</v>
      </c>
      <c r="B6" s="67" t="n">
        <f aca="false">Expenses!B5</f>
        <v>453600</v>
      </c>
      <c r="C6" s="67" t="n">
        <f aca="false">Expenses!C5</f>
        <v>453600</v>
      </c>
      <c r="D6" s="67" t="n">
        <f aca="false">Expenses!D5</f>
        <v>518400</v>
      </c>
      <c r="E6" s="67" t="n">
        <f aca="false">Expenses!E5</f>
        <v>518400</v>
      </c>
      <c r="F6" s="67" t="n">
        <f aca="false">Expenses!F5</f>
        <v>583200</v>
      </c>
      <c r="G6" s="67" t="n">
        <f aca="false">Expenses!G5</f>
        <v>583200</v>
      </c>
      <c r="H6" s="67" t="n">
        <f aca="false">Expenses!H5</f>
        <v>583200</v>
      </c>
      <c r="I6" s="67" t="n">
        <f aca="false">Expenses!I5</f>
        <v>583200</v>
      </c>
      <c r="J6" s="67" t="n">
        <f aca="false">Expenses!J5</f>
        <v>518400</v>
      </c>
      <c r="K6" s="67" t="n">
        <f aca="false">Expenses!K5</f>
        <v>518400</v>
      </c>
      <c r="L6" s="67" t="n">
        <f aca="false">Expenses!L5</f>
        <v>583200</v>
      </c>
      <c r="M6" s="67" t="n">
        <f aca="false">Expenses!M5</f>
        <v>583200</v>
      </c>
      <c r="N6" s="66" t="n">
        <f aca="false">SUM(B6:M6)</f>
        <v>6480000</v>
      </c>
      <c r="O6" s="67" t="n">
        <f aca="false">Expenses!O5</f>
        <v>511056</v>
      </c>
      <c r="P6" s="67" t="n">
        <f aca="false">Expenses!P5</f>
        <v>511056</v>
      </c>
      <c r="Q6" s="67" t="n">
        <f aca="false">Expenses!Q5</f>
        <v>584064</v>
      </c>
      <c r="R6" s="67" t="n">
        <f aca="false">Expenses!R5</f>
        <v>584064</v>
      </c>
      <c r="S6" s="67" t="n">
        <f aca="false">Expenses!S5</f>
        <v>657072</v>
      </c>
      <c r="T6" s="67" t="n">
        <f aca="false">Expenses!T5</f>
        <v>657072</v>
      </c>
      <c r="U6" s="67" t="n">
        <f aca="false">Expenses!U5</f>
        <v>657072</v>
      </c>
      <c r="V6" s="67" t="n">
        <f aca="false">Expenses!V5</f>
        <v>657072</v>
      </c>
      <c r="W6" s="67" t="n">
        <f aca="false">Expenses!W5</f>
        <v>584064</v>
      </c>
      <c r="X6" s="67" t="n">
        <f aca="false">Expenses!X5</f>
        <v>584064</v>
      </c>
      <c r="Y6" s="67" t="n">
        <f aca="false">Expenses!Y5</f>
        <v>657072</v>
      </c>
      <c r="Z6" s="67" t="n">
        <f aca="false">Expenses!Z5</f>
        <v>657072</v>
      </c>
      <c r="AA6" s="66" t="n">
        <f aca="false">SUM(O6:Z6)</f>
        <v>7300800</v>
      </c>
      <c r="AB6" s="67" t="n">
        <f aca="false">Expenses!AB5</f>
        <v>572382.72</v>
      </c>
      <c r="AC6" s="67" t="n">
        <f aca="false">Expenses!AC5</f>
        <v>572382.72</v>
      </c>
      <c r="AD6" s="67" t="n">
        <f aca="false">Expenses!AD5</f>
        <v>654151.68</v>
      </c>
      <c r="AE6" s="67" t="n">
        <f aca="false">Expenses!AE5</f>
        <v>654151.68</v>
      </c>
      <c r="AF6" s="67" t="n">
        <f aca="false">Expenses!AF5</f>
        <v>735920.64</v>
      </c>
      <c r="AG6" s="67" t="n">
        <f aca="false">Expenses!AG5</f>
        <v>735920.64</v>
      </c>
      <c r="AH6" s="67" t="n">
        <f aca="false">Expenses!AH5</f>
        <v>735920.64</v>
      </c>
      <c r="AI6" s="67" t="n">
        <f aca="false">Expenses!AI5</f>
        <v>735920.64</v>
      </c>
      <c r="AJ6" s="67" t="n">
        <f aca="false">Expenses!AJ5</f>
        <v>654151.68</v>
      </c>
      <c r="AK6" s="67" t="n">
        <f aca="false">Expenses!AK5</f>
        <v>654151.68</v>
      </c>
      <c r="AL6" s="67" t="n">
        <f aca="false">Expenses!AL5</f>
        <v>735920.64</v>
      </c>
      <c r="AM6" s="67" t="n">
        <f aca="false">Expenses!AM5</f>
        <v>735920.64</v>
      </c>
      <c r="AN6" s="66" t="n">
        <f aca="false">SUM(AB6:AM6)</f>
        <v>8176896</v>
      </c>
      <c r="AO6" s="67" t="n">
        <f aca="false">Expenses!AO5</f>
        <v>637797.888</v>
      </c>
      <c r="AP6" s="67" t="n">
        <f aca="false">Expenses!AP5</f>
        <v>637797.888</v>
      </c>
      <c r="AQ6" s="67" t="n">
        <f aca="false">Expenses!AQ5</f>
        <v>728911.872</v>
      </c>
      <c r="AR6" s="67" t="n">
        <f aca="false">Expenses!AR5</f>
        <v>728911.872</v>
      </c>
      <c r="AS6" s="67" t="n">
        <f aca="false">Expenses!AS5</f>
        <v>820025.856</v>
      </c>
      <c r="AT6" s="67" t="n">
        <f aca="false">Expenses!AT5</f>
        <v>820025.856</v>
      </c>
      <c r="AU6" s="67" t="n">
        <f aca="false">Expenses!AU5</f>
        <v>820025.856</v>
      </c>
      <c r="AV6" s="67" t="n">
        <f aca="false">Expenses!AV5</f>
        <v>820025.856</v>
      </c>
      <c r="AW6" s="67" t="n">
        <f aca="false">Expenses!AW5</f>
        <v>728911.872</v>
      </c>
      <c r="AX6" s="67" t="n">
        <f aca="false">Expenses!AX5</f>
        <v>728911.872</v>
      </c>
      <c r="AY6" s="67" t="n">
        <f aca="false">Expenses!AY5</f>
        <v>820025.856</v>
      </c>
      <c r="AZ6" s="67" t="n">
        <f aca="false">Expenses!AZ5</f>
        <v>820025.856</v>
      </c>
      <c r="BA6" s="66" t="n">
        <f aca="false">SUM(AO6:AZ6)</f>
        <v>9111398.4</v>
      </c>
      <c r="BB6" s="67" t="n">
        <f aca="false">Expenses!BB5</f>
        <v>707530.457088</v>
      </c>
      <c r="BC6" s="67" t="n">
        <f aca="false">Expenses!BC5</f>
        <v>707530.457088</v>
      </c>
      <c r="BD6" s="67" t="n">
        <f aca="false">Expenses!BD5</f>
        <v>808606.236672</v>
      </c>
      <c r="BE6" s="67" t="n">
        <f aca="false">Expenses!BE5</f>
        <v>808606.236672</v>
      </c>
      <c r="BF6" s="67" t="n">
        <f aca="false">Expenses!BF5</f>
        <v>909682.016256</v>
      </c>
      <c r="BG6" s="67" t="n">
        <f aca="false">Expenses!BG5</f>
        <v>909682.016256</v>
      </c>
      <c r="BH6" s="67" t="n">
        <f aca="false">Expenses!BH5</f>
        <v>909682.016256</v>
      </c>
      <c r="BI6" s="67" t="n">
        <f aca="false">Expenses!BI5</f>
        <v>909682.016256</v>
      </c>
      <c r="BJ6" s="67" t="n">
        <f aca="false">Expenses!BJ5</f>
        <v>808606.236672</v>
      </c>
      <c r="BK6" s="67" t="n">
        <f aca="false">Expenses!BK5</f>
        <v>808606.236672</v>
      </c>
      <c r="BL6" s="67" t="n">
        <f aca="false">Expenses!BL5</f>
        <v>909682.016256</v>
      </c>
      <c r="BM6" s="67" t="n">
        <f aca="false">Expenses!BM5</f>
        <v>909682.016256</v>
      </c>
      <c r="BN6" s="66" t="n">
        <f aca="false">SUM(BB6:BM6)</f>
        <v>10107577.9584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25200</v>
      </c>
      <c r="C7" s="67" t="n">
        <f aca="false">Expenses!C6</f>
        <v>25200</v>
      </c>
      <c r="D7" s="67" t="n">
        <f aca="false">Expenses!D6</f>
        <v>28800</v>
      </c>
      <c r="E7" s="67" t="n">
        <f aca="false">Expenses!E6</f>
        <v>28800</v>
      </c>
      <c r="F7" s="67" t="n">
        <f aca="false">Expenses!F6</f>
        <v>32400</v>
      </c>
      <c r="G7" s="67" t="n">
        <f aca="false">Expenses!G6</f>
        <v>32400</v>
      </c>
      <c r="H7" s="67" t="n">
        <f aca="false">Expenses!H6</f>
        <v>32400</v>
      </c>
      <c r="I7" s="67" t="n">
        <f aca="false">Expenses!I6</f>
        <v>32400</v>
      </c>
      <c r="J7" s="67" t="n">
        <f aca="false">Expenses!J6</f>
        <v>28800</v>
      </c>
      <c r="K7" s="67" t="n">
        <f aca="false">Expenses!K6</f>
        <v>28800</v>
      </c>
      <c r="L7" s="67" t="n">
        <f aca="false">Expenses!L6</f>
        <v>32400</v>
      </c>
      <c r="M7" s="67" t="n">
        <f aca="false">Expenses!M6</f>
        <v>32400</v>
      </c>
      <c r="N7" s="66" t="n">
        <f aca="false">SUM(B7:M7)</f>
        <v>360000</v>
      </c>
      <c r="O7" s="67" t="n">
        <f aca="false">Expenses!O6</f>
        <v>28392</v>
      </c>
      <c r="P7" s="67" t="n">
        <f aca="false">Expenses!P6</f>
        <v>28392</v>
      </c>
      <c r="Q7" s="67" t="n">
        <f aca="false">Expenses!Q6</f>
        <v>32448</v>
      </c>
      <c r="R7" s="67" t="n">
        <f aca="false">Expenses!R6</f>
        <v>32448</v>
      </c>
      <c r="S7" s="67" t="n">
        <f aca="false">Expenses!S6</f>
        <v>36504</v>
      </c>
      <c r="T7" s="67" t="n">
        <f aca="false">Expenses!T6</f>
        <v>36504</v>
      </c>
      <c r="U7" s="67" t="n">
        <f aca="false">Expenses!U6</f>
        <v>36504</v>
      </c>
      <c r="V7" s="67" t="n">
        <f aca="false">Expenses!V6</f>
        <v>36504</v>
      </c>
      <c r="W7" s="67" t="n">
        <f aca="false">Expenses!W6</f>
        <v>32448</v>
      </c>
      <c r="X7" s="67" t="n">
        <f aca="false">Expenses!X6</f>
        <v>32448</v>
      </c>
      <c r="Y7" s="67" t="n">
        <f aca="false">Expenses!Y6</f>
        <v>36504</v>
      </c>
      <c r="Z7" s="67" t="n">
        <f aca="false">Expenses!Z6</f>
        <v>36504</v>
      </c>
      <c r="AA7" s="66" t="n">
        <f aca="false">SUM(O7:Z7)</f>
        <v>405600</v>
      </c>
      <c r="AB7" s="67" t="n">
        <f aca="false">Expenses!AB6</f>
        <v>31799.04</v>
      </c>
      <c r="AC7" s="67" t="n">
        <f aca="false">Expenses!AC6</f>
        <v>31799.04</v>
      </c>
      <c r="AD7" s="67" t="n">
        <f aca="false">Expenses!AD6</f>
        <v>36341.76</v>
      </c>
      <c r="AE7" s="67" t="n">
        <f aca="false">Expenses!AE6</f>
        <v>36341.76</v>
      </c>
      <c r="AF7" s="67" t="n">
        <f aca="false">Expenses!AF6</f>
        <v>40884.48</v>
      </c>
      <c r="AG7" s="67" t="n">
        <f aca="false">Expenses!AG6</f>
        <v>40884.48</v>
      </c>
      <c r="AH7" s="67" t="n">
        <f aca="false">Expenses!AH6</f>
        <v>40884.48</v>
      </c>
      <c r="AI7" s="67" t="n">
        <f aca="false">Expenses!AI6</f>
        <v>40884.48</v>
      </c>
      <c r="AJ7" s="67" t="n">
        <f aca="false">Expenses!AJ6</f>
        <v>36341.76</v>
      </c>
      <c r="AK7" s="67" t="n">
        <f aca="false">Expenses!AK6</f>
        <v>36341.76</v>
      </c>
      <c r="AL7" s="67" t="n">
        <f aca="false">Expenses!AL6</f>
        <v>40884.48</v>
      </c>
      <c r="AM7" s="67" t="n">
        <f aca="false">Expenses!AM6</f>
        <v>40884.48</v>
      </c>
      <c r="AN7" s="66" t="n">
        <f aca="false">SUM(AB7:AM7)</f>
        <v>454272</v>
      </c>
      <c r="AO7" s="67" t="n">
        <f aca="false">Expenses!AO6</f>
        <v>35433.216</v>
      </c>
      <c r="AP7" s="67" t="n">
        <f aca="false">Expenses!AP6</f>
        <v>35433.216</v>
      </c>
      <c r="AQ7" s="67" t="n">
        <f aca="false">Expenses!AQ6</f>
        <v>40495.104</v>
      </c>
      <c r="AR7" s="67" t="n">
        <f aca="false">Expenses!AR6</f>
        <v>40495.104</v>
      </c>
      <c r="AS7" s="67" t="n">
        <f aca="false">Expenses!AS6</f>
        <v>45556.992</v>
      </c>
      <c r="AT7" s="67" t="n">
        <f aca="false">Expenses!AT6</f>
        <v>45556.992</v>
      </c>
      <c r="AU7" s="67" t="n">
        <f aca="false">Expenses!AU6</f>
        <v>45556.992</v>
      </c>
      <c r="AV7" s="67" t="n">
        <f aca="false">Expenses!AV6</f>
        <v>45556.992</v>
      </c>
      <c r="AW7" s="67" t="n">
        <f aca="false">Expenses!AW6</f>
        <v>40495.104</v>
      </c>
      <c r="AX7" s="67" t="n">
        <f aca="false">Expenses!AX6</f>
        <v>40495.104</v>
      </c>
      <c r="AY7" s="67" t="n">
        <f aca="false">Expenses!AY6</f>
        <v>45556.992</v>
      </c>
      <c r="AZ7" s="67" t="n">
        <f aca="false">Expenses!AZ6</f>
        <v>45556.992</v>
      </c>
      <c r="BA7" s="66" t="n">
        <f aca="false">SUM(AO7:AZ7)</f>
        <v>506188.8</v>
      </c>
      <c r="BB7" s="67" t="n">
        <f aca="false">Expenses!BB6</f>
        <v>39307.247616</v>
      </c>
      <c r="BC7" s="67" t="n">
        <f aca="false">Expenses!BC6</f>
        <v>39307.247616</v>
      </c>
      <c r="BD7" s="67" t="n">
        <f aca="false">Expenses!BD6</f>
        <v>44922.568704</v>
      </c>
      <c r="BE7" s="67" t="n">
        <f aca="false">Expenses!BE6</f>
        <v>44922.568704</v>
      </c>
      <c r="BF7" s="67" t="n">
        <f aca="false">Expenses!BF6</f>
        <v>50537.889792</v>
      </c>
      <c r="BG7" s="67" t="n">
        <f aca="false">Expenses!BG6</f>
        <v>50537.889792</v>
      </c>
      <c r="BH7" s="67" t="n">
        <f aca="false">Expenses!BH6</f>
        <v>50537.889792</v>
      </c>
      <c r="BI7" s="67" t="n">
        <f aca="false">Expenses!BI6</f>
        <v>50537.889792</v>
      </c>
      <c r="BJ7" s="67" t="n">
        <f aca="false">Expenses!BJ6</f>
        <v>44922.568704</v>
      </c>
      <c r="BK7" s="67" t="n">
        <f aca="false">Expenses!BK6</f>
        <v>44922.568704</v>
      </c>
      <c r="BL7" s="67" t="n">
        <f aca="false">Expenses!BL6</f>
        <v>50537.889792</v>
      </c>
      <c r="BM7" s="67" t="n">
        <f aca="false">Expenses!BM6</f>
        <v>50537.889792</v>
      </c>
      <c r="BN7" s="66" t="n">
        <f aca="false">SUM(BB7:BM7)</f>
        <v>561532.1088</v>
      </c>
    </row>
    <row r="8" customFormat="false" ht="15" hidden="false" customHeight="true" outlineLevel="0" collapsed="false">
      <c r="A8" s="71" t="s">
        <v>353</v>
      </c>
      <c r="B8" s="67" t="n">
        <f aca="false">Expenses!B7</f>
        <v>60000</v>
      </c>
      <c r="C8" s="67" t="n">
        <f aca="false">Expenses!C7</f>
        <v>60000</v>
      </c>
      <c r="D8" s="67" t="n">
        <f aca="false">Expenses!D7</f>
        <v>60000</v>
      </c>
      <c r="E8" s="67" t="n">
        <f aca="false">Expenses!E7</f>
        <v>60000</v>
      </c>
      <c r="F8" s="67" t="n">
        <f aca="false">Expenses!F7</f>
        <v>60000</v>
      </c>
      <c r="G8" s="67" t="n">
        <f aca="false">Expenses!G7</f>
        <v>60000</v>
      </c>
      <c r="H8" s="67" t="n">
        <f aca="false">Expenses!H7</f>
        <v>60000</v>
      </c>
      <c r="I8" s="67" t="n">
        <f aca="false">Expenses!I7</f>
        <v>60000</v>
      </c>
      <c r="J8" s="67" t="n">
        <f aca="false">Expenses!J7</f>
        <v>60000</v>
      </c>
      <c r="K8" s="67" t="n">
        <f aca="false">Expenses!K7</f>
        <v>60000</v>
      </c>
      <c r="L8" s="67" t="n">
        <f aca="false">Expenses!L7</f>
        <v>60000</v>
      </c>
      <c r="M8" s="67" t="n">
        <f aca="false">Expenses!M7</f>
        <v>60000</v>
      </c>
      <c r="N8" s="66" t="n">
        <f aca="false">SUM(B8:M8)</f>
        <v>720000</v>
      </c>
      <c r="O8" s="67" t="n">
        <f aca="false">Expenses!O7</f>
        <v>63000</v>
      </c>
      <c r="P8" s="67" t="n">
        <f aca="false">Expenses!P7</f>
        <v>63000</v>
      </c>
      <c r="Q8" s="67" t="n">
        <f aca="false">Expenses!Q7</f>
        <v>63000</v>
      </c>
      <c r="R8" s="67" t="n">
        <f aca="false">Expenses!R7</f>
        <v>63000</v>
      </c>
      <c r="S8" s="67" t="n">
        <f aca="false">Expenses!S7</f>
        <v>63000</v>
      </c>
      <c r="T8" s="67" t="n">
        <f aca="false">Expenses!T7</f>
        <v>63000</v>
      </c>
      <c r="U8" s="67" t="n">
        <f aca="false">Expenses!U7</f>
        <v>63000</v>
      </c>
      <c r="V8" s="67" t="n">
        <f aca="false">Expenses!V7</f>
        <v>63000</v>
      </c>
      <c r="W8" s="67" t="n">
        <f aca="false">Expenses!W7</f>
        <v>63000</v>
      </c>
      <c r="X8" s="67" t="n">
        <f aca="false">Expenses!X7</f>
        <v>63000</v>
      </c>
      <c r="Y8" s="67" t="n">
        <f aca="false">Expenses!Y7</f>
        <v>63000</v>
      </c>
      <c r="Z8" s="67" t="n">
        <f aca="false">Expenses!Z7</f>
        <v>63000</v>
      </c>
      <c r="AA8" s="66" t="n">
        <f aca="false">SUM(O8:Z8)</f>
        <v>756000</v>
      </c>
      <c r="AB8" s="67" t="n">
        <f aca="false">Expenses!AB7</f>
        <v>66150</v>
      </c>
      <c r="AC8" s="67" t="n">
        <f aca="false">Expenses!AC7</f>
        <v>66150</v>
      </c>
      <c r="AD8" s="67" t="n">
        <f aca="false">Expenses!AD7</f>
        <v>66150</v>
      </c>
      <c r="AE8" s="67" t="n">
        <f aca="false">Expenses!AE7</f>
        <v>66150</v>
      </c>
      <c r="AF8" s="67" t="n">
        <f aca="false">Expenses!AF7</f>
        <v>66150</v>
      </c>
      <c r="AG8" s="67" t="n">
        <f aca="false">Expenses!AG7</f>
        <v>66150</v>
      </c>
      <c r="AH8" s="67" t="n">
        <f aca="false">Expenses!AH7</f>
        <v>66150</v>
      </c>
      <c r="AI8" s="67" t="n">
        <f aca="false">Expenses!AI7</f>
        <v>66150</v>
      </c>
      <c r="AJ8" s="67" t="n">
        <f aca="false">Expenses!AJ7</f>
        <v>66150</v>
      </c>
      <c r="AK8" s="67" t="n">
        <f aca="false">Expenses!AK7</f>
        <v>66150</v>
      </c>
      <c r="AL8" s="67" t="n">
        <f aca="false">Expenses!AL7</f>
        <v>66150</v>
      </c>
      <c r="AM8" s="67" t="n">
        <f aca="false">Expenses!AM7</f>
        <v>66150</v>
      </c>
      <c r="AN8" s="66" t="n">
        <f aca="false">SUM(AB8:AM8)</f>
        <v>793800</v>
      </c>
      <c r="AO8" s="67" t="n">
        <f aca="false">Expenses!AO7</f>
        <v>69457.5</v>
      </c>
      <c r="AP8" s="67" t="n">
        <f aca="false">Expenses!AP7</f>
        <v>69457.5</v>
      </c>
      <c r="AQ8" s="67" t="n">
        <f aca="false">Expenses!AQ7</f>
        <v>69457.5</v>
      </c>
      <c r="AR8" s="67" t="n">
        <f aca="false">Expenses!AR7</f>
        <v>69457.5</v>
      </c>
      <c r="AS8" s="67" t="n">
        <f aca="false">Expenses!AS7</f>
        <v>69457.5</v>
      </c>
      <c r="AT8" s="67" t="n">
        <f aca="false">Expenses!AT7</f>
        <v>69457.5</v>
      </c>
      <c r="AU8" s="67" t="n">
        <f aca="false">Expenses!AU7</f>
        <v>69457.5</v>
      </c>
      <c r="AV8" s="67" t="n">
        <f aca="false">Expenses!AV7</f>
        <v>69457.5</v>
      </c>
      <c r="AW8" s="67" t="n">
        <f aca="false">Expenses!AW7</f>
        <v>69457.5</v>
      </c>
      <c r="AX8" s="67" t="n">
        <f aca="false">Expenses!AX7</f>
        <v>69457.5</v>
      </c>
      <c r="AY8" s="67" t="n">
        <f aca="false">Expenses!AY7</f>
        <v>69457.5</v>
      </c>
      <c r="AZ8" s="67" t="n">
        <f aca="false">Expenses!AZ7</f>
        <v>69457.5</v>
      </c>
      <c r="BA8" s="66" t="n">
        <f aca="false">SUM(AO8:AZ8)</f>
        <v>833490</v>
      </c>
      <c r="BB8" s="67" t="n">
        <f aca="false">Expenses!BB7</f>
        <v>72930.375</v>
      </c>
      <c r="BC8" s="67" t="n">
        <f aca="false">Expenses!BC7</f>
        <v>72930.375</v>
      </c>
      <c r="BD8" s="67" t="n">
        <f aca="false">Expenses!BD7</f>
        <v>72930.375</v>
      </c>
      <c r="BE8" s="67" t="n">
        <f aca="false">Expenses!BE7</f>
        <v>72930.375</v>
      </c>
      <c r="BF8" s="67" t="n">
        <f aca="false">Expenses!BF7</f>
        <v>72930.375</v>
      </c>
      <c r="BG8" s="67" t="n">
        <f aca="false">Expenses!BG7</f>
        <v>72930.375</v>
      </c>
      <c r="BH8" s="67" t="n">
        <f aca="false">Expenses!BH7</f>
        <v>72930.375</v>
      </c>
      <c r="BI8" s="67" t="n">
        <f aca="false">Expenses!BI7</f>
        <v>72930.375</v>
      </c>
      <c r="BJ8" s="67" t="n">
        <f aca="false">Expenses!BJ7</f>
        <v>72930.375</v>
      </c>
      <c r="BK8" s="67" t="n">
        <f aca="false">Expenses!BK7</f>
        <v>72930.375</v>
      </c>
      <c r="BL8" s="67" t="n">
        <f aca="false">Expenses!BL7</f>
        <v>72930.375</v>
      </c>
      <c r="BM8" s="67" t="n">
        <f aca="false">Expenses!BM7</f>
        <v>72930.375</v>
      </c>
      <c r="BN8" s="66" t="n">
        <f aca="false">SUM(BB8:BM8)</f>
        <v>875164.5</v>
      </c>
    </row>
    <row r="9" customFormat="false" ht="15" hidden="false" customHeight="true" outlineLevel="0" collapsed="false">
      <c r="A9" s="71" t="s">
        <v>354</v>
      </c>
      <c r="B9" s="67" t="n">
        <f aca="false">Expenses!B8</f>
        <v>25200</v>
      </c>
      <c r="C9" s="67" t="n">
        <f aca="false">Expenses!C8</f>
        <v>25200</v>
      </c>
      <c r="D9" s="67" t="n">
        <f aca="false">Expenses!D8</f>
        <v>28800</v>
      </c>
      <c r="E9" s="67" t="n">
        <f aca="false">Expenses!E8</f>
        <v>28800</v>
      </c>
      <c r="F9" s="67" t="n">
        <f aca="false">Expenses!F8</f>
        <v>32400</v>
      </c>
      <c r="G9" s="67" t="n">
        <f aca="false">Expenses!G8</f>
        <v>32400</v>
      </c>
      <c r="H9" s="67" t="n">
        <f aca="false">Expenses!H8</f>
        <v>32400</v>
      </c>
      <c r="I9" s="67" t="n">
        <f aca="false">Expenses!I8</f>
        <v>32400</v>
      </c>
      <c r="J9" s="67" t="n">
        <f aca="false">Expenses!J8</f>
        <v>28800</v>
      </c>
      <c r="K9" s="67" t="n">
        <f aca="false">Expenses!K8</f>
        <v>28800</v>
      </c>
      <c r="L9" s="67" t="n">
        <f aca="false">Expenses!L8</f>
        <v>32400</v>
      </c>
      <c r="M9" s="67" t="n">
        <f aca="false">Expenses!M8</f>
        <v>32400</v>
      </c>
      <c r="N9" s="66" t="n">
        <f aca="false">SUM(B9:M9)</f>
        <v>360000</v>
      </c>
      <c r="O9" s="67" t="n">
        <f aca="false">Expenses!O8</f>
        <v>28392</v>
      </c>
      <c r="P9" s="67" t="n">
        <f aca="false">Expenses!P8</f>
        <v>28392</v>
      </c>
      <c r="Q9" s="67" t="n">
        <f aca="false">Expenses!Q8</f>
        <v>32448</v>
      </c>
      <c r="R9" s="67" t="n">
        <f aca="false">Expenses!R8</f>
        <v>32448</v>
      </c>
      <c r="S9" s="67" t="n">
        <f aca="false">Expenses!S8</f>
        <v>36504</v>
      </c>
      <c r="T9" s="67" t="n">
        <f aca="false">Expenses!T8</f>
        <v>36504</v>
      </c>
      <c r="U9" s="67" t="n">
        <f aca="false">Expenses!U8</f>
        <v>36504</v>
      </c>
      <c r="V9" s="67" t="n">
        <f aca="false">Expenses!V8</f>
        <v>36504</v>
      </c>
      <c r="W9" s="67" t="n">
        <f aca="false">Expenses!W8</f>
        <v>32448</v>
      </c>
      <c r="X9" s="67" t="n">
        <f aca="false">Expenses!X8</f>
        <v>32448</v>
      </c>
      <c r="Y9" s="67" t="n">
        <f aca="false">Expenses!Y8</f>
        <v>36504</v>
      </c>
      <c r="Z9" s="67" t="n">
        <f aca="false">Expenses!Z8</f>
        <v>36504</v>
      </c>
      <c r="AA9" s="66" t="n">
        <f aca="false">SUM(O9:Z9)</f>
        <v>405600</v>
      </c>
      <c r="AB9" s="67" t="n">
        <f aca="false">Expenses!AB8</f>
        <v>31799.04</v>
      </c>
      <c r="AC9" s="67" t="n">
        <f aca="false">Expenses!AC8</f>
        <v>31799.04</v>
      </c>
      <c r="AD9" s="67" t="n">
        <f aca="false">Expenses!AD8</f>
        <v>36341.76</v>
      </c>
      <c r="AE9" s="67" t="n">
        <f aca="false">Expenses!AE8</f>
        <v>36341.76</v>
      </c>
      <c r="AF9" s="67" t="n">
        <f aca="false">Expenses!AF8</f>
        <v>40884.48</v>
      </c>
      <c r="AG9" s="67" t="n">
        <f aca="false">Expenses!AG8</f>
        <v>40884.48</v>
      </c>
      <c r="AH9" s="67" t="n">
        <f aca="false">Expenses!AH8</f>
        <v>40884.48</v>
      </c>
      <c r="AI9" s="67" t="n">
        <f aca="false">Expenses!AI8</f>
        <v>40884.48</v>
      </c>
      <c r="AJ9" s="67" t="n">
        <f aca="false">Expenses!AJ8</f>
        <v>36341.76</v>
      </c>
      <c r="AK9" s="67" t="n">
        <f aca="false">Expenses!AK8</f>
        <v>36341.76</v>
      </c>
      <c r="AL9" s="67" t="n">
        <f aca="false">Expenses!AL8</f>
        <v>40884.48</v>
      </c>
      <c r="AM9" s="67" t="n">
        <f aca="false">Expenses!AM8</f>
        <v>40884.48</v>
      </c>
      <c r="AN9" s="66" t="n">
        <f aca="false">SUM(AB9:AM9)</f>
        <v>454272</v>
      </c>
      <c r="AO9" s="67" t="n">
        <f aca="false">Expenses!AO8</f>
        <v>35433.216</v>
      </c>
      <c r="AP9" s="67" t="n">
        <f aca="false">Expenses!AP8</f>
        <v>35433.216</v>
      </c>
      <c r="AQ9" s="67" t="n">
        <f aca="false">Expenses!AQ8</f>
        <v>40495.104</v>
      </c>
      <c r="AR9" s="67" t="n">
        <f aca="false">Expenses!AR8</f>
        <v>40495.104</v>
      </c>
      <c r="AS9" s="67" t="n">
        <f aca="false">Expenses!AS8</f>
        <v>45556.992</v>
      </c>
      <c r="AT9" s="67" t="n">
        <f aca="false">Expenses!AT8</f>
        <v>45556.992</v>
      </c>
      <c r="AU9" s="67" t="n">
        <f aca="false">Expenses!AU8</f>
        <v>45556.992</v>
      </c>
      <c r="AV9" s="67" t="n">
        <f aca="false">Expenses!AV8</f>
        <v>45556.992</v>
      </c>
      <c r="AW9" s="67" t="n">
        <f aca="false">Expenses!AW8</f>
        <v>40495.104</v>
      </c>
      <c r="AX9" s="67" t="n">
        <f aca="false">Expenses!AX8</f>
        <v>40495.104</v>
      </c>
      <c r="AY9" s="67" t="n">
        <f aca="false">Expenses!AY8</f>
        <v>45556.992</v>
      </c>
      <c r="AZ9" s="67" t="n">
        <f aca="false">Expenses!AZ8</f>
        <v>45556.992</v>
      </c>
      <c r="BA9" s="66" t="n">
        <f aca="false">SUM(AO9:AZ9)</f>
        <v>506188.8</v>
      </c>
      <c r="BB9" s="67" t="n">
        <f aca="false">Expenses!BB8</f>
        <v>39307.247616</v>
      </c>
      <c r="BC9" s="67" t="n">
        <f aca="false">Expenses!BC8</f>
        <v>39307.247616</v>
      </c>
      <c r="BD9" s="67" t="n">
        <f aca="false">Expenses!BD8</f>
        <v>44922.568704</v>
      </c>
      <c r="BE9" s="67" t="n">
        <f aca="false">Expenses!BE8</f>
        <v>44922.568704</v>
      </c>
      <c r="BF9" s="67" t="n">
        <f aca="false">Expenses!BF8</f>
        <v>50537.889792</v>
      </c>
      <c r="BG9" s="67" t="n">
        <f aca="false">Expenses!BG8</f>
        <v>50537.889792</v>
      </c>
      <c r="BH9" s="67" t="n">
        <f aca="false">Expenses!BH8</f>
        <v>50537.889792</v>
      </c>
      <c r="BI9" s="67" t="n">
        <f aca="false">Expenses!BI8</f>
        <v>50537.889792</v>
      </c>
      <c r="BJ9" s="67" t="n">
        <f aca="false">Expenses!BJ8</f>
        <v>44922.568704</v>
      </c>
      <c r="BK9" s="67" t="n">
        <f aca="false">Expenses!BK8</f>
        <v>44922.568704</v>
      </c>
      <c r="BL9" s="67" t="n">
        <f aca="false">Expenses!BL8</f>
        <v>50537.889792</v>
      </c>
      <c r="BM9" s="67" t="n">
        <f aca="false">Expenses!BM8</f>
        <v>50537.889792</v>
      </c>
      <c r="BN9" s="66" t="n">
        <f aca="false">SUM(BB9:BM9)</f>
        <v>561532.1088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Factory overheads</v>
      </c>
      <c r="B10" s="67" t="n">
        <f aca="false">Expenses!B9</f>
        <v>30000</v>
      </c>
      <c r="C10" s="67" t="n">
        <f aca="false">Expenses!C9</f>
        <v>30000</v>
      </c>
      <c r="D10" s="67" t="n">
        <f aca="false">Expenses!D9</f>
        <v>30000</v>
      </c>
      <c r="E10" s="67" t="n">
        <f aca="false">Expenses!E9</f>
        <v>30000</v>
      </c>
      <c r="F10" s="67" t="n">
        <f aca="false">Expenses!F9</f>
        <v>30000</v>
      </c>
      <c r="G10" s="67" t="n">
        <f aca="false">Expenses!G9</f>
        <v>30000</v>
      </c>
      <c r="H10" s="67" t="n">
        <f aca="false">Expenses!H9</f>
        <v>30000</v>
      </c>
      <c r="I10" s="67" t="n">
        <f aca="false">Expenses!I9</f>
        <v>30000</v>
      </c>
      <c r="J10" s="67" t="n">
        <f aca="false">Expenses!J9</f>
        <v>30000</v>
      </c>
      <c r="K10" s="67" t="n">
        <f aca="false">Expenses!K9</f>
        <v>30000</v>
      </c>
      <c r="L10" s="67" t="n">
        <f aca="false">Expenses!L9</f>
        <v>30000</v>
      </c>
      <c r="M10" s="67" t="n">
        <f aca="false">Expenses!M9</f>
        <v>30000</v>
      </c>
      <c r="N10" s="66" t="n">
        <f aca="false">SUM(B10:M10)</f>
        <v>360000</v>
      </c>
      <c r="O10" s="67" t="n">
        <f aca="false">Expenses!O9</f>
        <v>31500</v>
      </c>
      <c r="P10" s="67" t="n">
        <f aca="false">Expenses!P9</f>
        <v>31500</v>
      </c>
      <c r="Q10" s="67" t="n">
        <f aca="false">Expenses!Q9</f>
        <v>31500</v>
      </c>
      <c r="R10" s="67" t="n">
        <f aca="false">Expenses!R9</f>
        <v>31500</v>
      </c>
      <c r="S10" s="67" t="n">
        <f aca="false">Expenses!S9</f>
        <v>31500</v>
      </c>
      <c r="T10" s="67" t="n">
        <f aca="false">Expenses!T9</f>
        <v>31500</v>
      </c>
      <c r="U10" s="67" t="n">
        <f aca="false">Expenses!U9</f>
        <v>31500</v>
      </c>
      <c r="V10" s="67" t="n">
        <f aca="false">Expenses!V9</f>
        <v>31500</v>
      </c>
      <c r="W10" s="67" t="n">
        <f aca="false">Expenses!W9</f>
        <v>31500</v>
      </c>
      <c r="X10" s="67" t="n">
        <f aca="false">Expenses!X9</f>
        <v>31500</v>
      </c>
      <c r="Y10" s="67" t="n">
        <f aca="false">Expenses!Y9</f>
        <v>31500</v>
      </c>
      <c r="Z10" s="67" t="n">
        <f aca="false">Expenses!Z9</f>
        <v>31500</v>
      </c>
      <c r="AA10" s="66" t="n">
        <f aca="false">SUM(O10:Z10)</f>
        <v>378000</v>
      </c>
      <c r="AB10" s="67" t="n">
        <f aca="false">Expenses!AB9</f>
        <v>33075</v>
      </c>
      <c r="AC10" s="67" t="n">
        <f aca="false">Expenses!AC9</f>
        <v>33075</v>
      </c>
      <c r="AD10" s="67" t="n">
        <f aca="false">Expenses!AD9</f>
        <v>33075</v>
      </c>
      <c r="AE10" s="67" t="n">
        <f aca="false">Expenses!AE9</f>
        <v>33075</v>
      </c>
      <c r="AF10" s="67" t="n">
        <f aca="false">Expenses!AF9</f>
        <v>33075</v>
      </c>
      <c r="AG10" s="67" t="n">
        <f aca="false">Expenses!AG9</f>
        <v>33075</v>
      </c>
      <c r="AH10" s="67" t="n">
        <f aca="false">Expenses!AH9</f>
        <v>33075</v>
      </c>
      <c r="AI10" s="67" t="n">
        <f aca="false">Expenses!AI9</f>
        <v>33075</v>
      </c>
      <c r="AJ10" s="67" t="n">
        <f aca="false">Expenses!AJ9</f>
        <v>33075</v>
      </c>
      <c r="AK10" s="67" t="n">
        <f aca="false">Expenses!AK9</f>
        <v>33075</v>
      </c>
      <c r="AL10" s="67" t="n">
        <f aca="false">Expenses!AL9</f>
        <v>33075</v>
      </c>
      <c r="AM10" s="67" t="n">
        <f aca="false">Expenses!AM9</f>
        <v>33075</v>
      </c>
      <c r="AN10" s="66" t="n">
        <f aca="false">SUM(AB10:AM10)</f>
        <v>396900</v>
      </c>
      <c r="AO10" s="67" t="n">
        <f aca="false">Expenses!AO9</f>
        <v>34728.75</v>
      </c>
      <c r="AP10" s="67" t="n">
        <f aca="false">Expenses!AP9</f>
        <v>34728.75</v>
      </c>
      <c r="AQ10" s="67" t="n">
        <f aca="false">Expenses!AQ9</f>
        <v>34728.75</v>
      </c>
      <c r="AR10" s="67" t="n">
        <f aca="false">Expenses!AR9</f>
        <v>34728.75</v>
      </c>
      <c r="AS10" s="67" t="n">
        <f aca="false">Expenses!AS9</f>
        <v>34728.75</v>
      </c>
      <c r="AT10" s="67" t="n">
        <f aca="false">Expenses!AT9</f>
        <v>34728.75</v>
      </c>
      <c r="AU10" s="67" t="n">
        <f aca="false">Expenses!AU9</f>
        <v>34728.75</v>
      </c>
      <c r="AV10" s="67" t="n">
        <f aca="false">Expenses!AV9</f>
        <v>34728.75</v>
      </c>
      <c r="AW10" s="67" t="n">
        <f aca="false">Expenses!AW9</f>
        <v>34728.75</v>
      </c>
      <c r="AX10" s="67" t="n">
        <f aca="false">Expenses!AX9</f>
        <v>34728.75</v>
      </c>
      <c r="AY10" s="67" t="n">
        <f aca="false">Expenses!AY9</f>
        <v>34728.75</v>
      </c>
      <c r="AZ10" s="67" t="n">
        <f aca="false">Expenses!AZ9</f>
        <v>34728.75</v>
      </c>
      <c r="BA10" s="66" t="n">
        <f aca="false">SUM(AO10:AZ10)</f>
        <v>416745</v>
      </c>
      <c r="BB10" s="67" t="n">
        <f aca="false">Expenses!BB9</f>
        <v>36465.1875</v>
      </c>
      <c r="BC10" s="67" t="n">
        <f aca="false">Expenses!BC9</f>
        <v>36465.1875</v>
      </c>
      <c r="BD10" s="67" t="n">
        <f aca="false">Expenses!BD9</f>
        <v>36465.1875</v>
      </c>
      <c r="BE10" s="67" t="n">
        <f aca="false">Expenses!BE9</f>
        <v>36465.1875</v>
      </c>
      <c r="BF10" s="67" t="n">
        <f aca="false">Expenses!BF9</f>
        <v>36465.1875</v>
      </c>
      <c r="BG10" s="67" t="n">
        <f aca="false">Expenses!BG9</f>
        <v>36465.1875</v>
      </c>
      <c r="BH10" s="67" t="n">
        <f aca="false">Expenses!BH9</f>
        <v>36465.1875</v>
      </c>
      <c r="BI10" s="67" t="n">
        <f aca="false">Expenses!BI9</f>
        <v>36465.1875</v>
      </c>
      <c r="BJ10" s="67" t="n">
        <f aca="false">Expenses!BJ9</f>
        <v>36465.1875</v>
      </c>
      <c r="BK10" s="67" t="n">
        <f aca="false">Expenses!BK9</f>
        <v>36465.1875</v>
      </c>
      <c r="BL10" s="67" t="n">
        <f aca="false">Expenses!BL9</f>
        <v>36465.1875</v>
      </c>
      <c r="BM10" s="67" t="n">
        <f aca="false">Expenses!BM9</f>
        <v>36465.1875</v>
      </c>
      <c r="BN10" s="66" t="n">
        <f aca="false">SUM(BB10:BM10)</f>
        <v>437582.25</v>
      </c>
    </row>
    <row r="11" customFormat="false" ht="15" hidden="false" customHeight="true" outlineLevel="0" collapsed="false">
      <c r="A11" s="71" t="s">
        <v>355</v>
      </c>
      <c r="B11" s="67" t="n">
        <f aca="false">Expenses!B10</f>
        <v>5000</v>
      </c>
      <c r="C11" s="67" t="n">
        <f aca="false">Expenses!C10</f>
        <v>5000</v>
      </c>
      <c r="D11" s="67" t="n">
        <f aca="false">Expenses!D10</f>
        <v>5000</v>
      </c>
      <c r="E11" s="67" t="n">
        <f aca="false">Expenses!E10</f>
        <v>5000</v>
      </c>
      <c r="F11" s="67" t="n">
        <f aca="false">Expenses!F10</f>
        <v>5000</v>
      </c>
      <c r="G11" s="67" t="n">
        <f aca="false">Expenses!G10</f>
        <v>5000</v>
      </c>
      <c r="H11" s="67" t="n">
        <f aca="false">Expenses!H10</f>
        <v>5000</v>
      </c>
      <c r="I11" s="67" t="n">
        <f aca="false">Expenses!I10</f>
        <v>5000</v>
      </c>
      <c r="J11" s="67" t="n">
        <f aca="false">Expenses!J10</f>
        <v>5000</v>
      </c>
      <c r="K11" s="67" t="n">
        <f aca="false">Expenses!K10</f>
        <v>5000</v>
      </c>
      <c r="L11" s="67" t="n">
        <f aca="false">Expenses!L10</f>
        <v>5000</v>
      </c>
      <c r="M11" s="67" t="n">
        <f aca="false">Expenses!M10</f>
        <v>5000</v>
      </c>
      <c r="N11" s="66" t="n">
        <f aca="false">SUM(B11:M11)</f>
        <v>60000</v>
      </c>
      <c r="O11" s="67" t="n">
        <f aca="false">Expenses!O10</f>
        <v>5200</v>
      </c>
      <c r="P11" s="67" t="n">
        <f aca="false">Expenses!P10</f>
        <v>5200</v>
      </c>
      <c r="Q11" s="67" t="n">
        <f aca="false">Expenses!Q10</f>
        <v>5200</v>
      </c>
      <c r="R11" s="67" t="n">
        <f aca="false">Expenses!R10</f>
        <v>5200</v>
      </c>
      <c r="S11" s="67" t="n">
        <f aca="false">Expenses!S10</f>
        <v>5200</v>
      </c>
      <c r="T11" s="67" t="n">
        <f aca="false">Expenses!T10</f>
        <v>5200</v>
      </c>
      <c r="U11" s="67" t="n">
        <f aca="false">Expenses!U10</f>
        <v>5200</v>
      </c>
      <c r="V11" s="67" t="n">
        <f aca="false">Expenses!V10</f>
        <v>5200</v>
      </c>
      <c r="W11" s="67" t="n">
        <f aca="false">Expenses!W10</f>
        <v>5200</v>
      </c>
      <c r="X11" s="67" t="n">
        <f aca="false">Expenses!X10</f>
        <v>5200</v>
      </c>
      <c r="Y11" s="67" t="n">
        <f aca="false">Expenses!Y10</f>
        <v>5200</v>
      </c>
      <c r="Z11" s="67" t="n">
        <f aca="false">Expenses!Z10</f>
        <v>5200</v>
      </c>
      <c r="AA11" s="66" t="n">
        <f aca="false">SUM(O11:Z11)</f>
        <v>62400</v>
      </c>
      <c r="AB11" s="67" t="n">
        <f aca="false">Expenses!AB10</f>
        <v>5408</v>
      </c>
      <c r="AC11" s="67" t="n">
        <f aca="false">Expenses!AC10</f>
        <v>5408</v>
      </c>
      <c r="AD11" s="67" t="n">
        <f aca="false">Expenses!AD10</f>
        <v>5408</v>
      </c>
      <c r="AE11" s="67" t="n">
        <f aca="false">Expenses!AE10</f>
        <v>5408</v>
      </c>
      <c r="AF11" s="67" t="n">
        <f aca="false">Expenses!AF10</f>
        <v>5408</v>
      </c>
      <c r="AG11" s="67" t="n">
        <f aca="false">Expenses!AG10</f>
        <v>5408</v>
      </c>
      <c r="AH11" s="67" t="n">
        <f aca="false">Expenses!AH10</f>
        <v>5408</v>
      </c>
      <c r="AI11" s="67" t="n">
        <f aca="false">Expenses!AI10</f>
        <v>5408</v>
      </c>
      <c r="AJ11" s="67" t="n">
        <f aca="false">Expenses!AJ10</f>
        <v>5408</v>
      </c>
      <c r="AK11" s="67" t="n">
        <f aca="false">Expenses!AK10</f>
        <v>5408</v>
      </c>
      <c r="AL11" s="67" t="n">
        <f aca="false">Expenses!AL10</f>
        <v>5408</v>
      </c>
      <c r="AM11" s="67" t="n">
        <f aca="false">Expenses!AM10</f>
        <v>5408</v>
      </c>
      <c r="AN11" s="66" t="n">
        <f aca="false">SUM(AB11:AM11)</f>
        <v>64896</v>
      </c>
      <c r="AO11" s="67" t="n">
        <f aca="false">Expenses!AO10</f>
        <v>5624.32</v>
      </c>
      <c r="AP11" s="67" t="n">
        <f aca="false">Expenses!AP10</f>
        <v>5624.32</v>
      </c>
      <c r="AQ11" s="67" t="n">
        <f aca="false">Expenses!AQ10</f>
        <v>5624.32</v>
      </c>
      <c r="AR11" s="67" t="n">
        <f aca="false">Expenses!AR10</f>
        <v>5624.32</v>
      </c>
      <c r="AS11" s="67" t="n">
        <f aca="false">Expenses!AS10</f>
        <v>5624.32</v>
      </c>
      <c r="AT11" s="67" t="n">
        <f aca="false">Expenses!AT10</f>
        <v>5624.32</v>
      </c>
      <c r="AU11" s="67" t="n">
        <f aca="false">Expenses!AU10</f>
        <v>5624.32</v>
      </c>
      <c r="AV11" s="67" t="n">
        <f aca="false">Expenses!AV10</f>
        <v>5624.32</v>
      </c>
      <c r="AW11" s="67" t="n">
        <f aca="false">Expenses!AW10</f>
        <v>5624.32</v>
      </c>
      <c r="AX11" s="67" t="n">
        <f aca="false">Expenses!AX10</f>
        <v>5624.32</v>
      </c>
      <c r="AY11" s="67" t="n">
        <f aca="false">Expenses!AY10</f>
        <v>5624.32</v>
      </c>
      <c r="AZ11" s="67" t="n">
        <f aca="false">Expenses!AZ10</f>
        <v>5624.32</v>
      </c>
      <c r="BA11" s="66" t="n">
        <f aca="false">SUM(AO11:AZ11)</f>
        <v>67491.84</v>
      </c>
      <c r="BB11" s="67" t="n">
        <f aca="false">Expenses!BB10</f>
        <v>5849.2928</v>
      </c>
      <c r="BC11" s="67" t="n">
        <f aca="false">Expenses!BC10</f>
        <v>5849.2928</v>
      </c>
      <c r="BD11" s="67" t="n">
        <f aca="false">Expenses!BD10</f>
        <v>5849.2928</v>
      </c>
      <c r="BE11" s="67" t="n">
        <f aca="false">Expenses!BE10</f>
        <v>5849.2928</v>
      </c>
      <c r="BF11" s="67" t="n">
        <f aca="false">Expenses!BF10</f>
        <v>5849.2928</v>
      </c>
      <c r="BG11" s="67" t="n">
        <f aca="false">Expenses!BG10</f>
        <v>5849.2928</v>
      </c>
      <c r="BH11" s="67" t="n">
        <f aca="false">Expenses!BH10</f>
        <v>5849.2928</v>
      </c>
      <c r="BI11" s="67" t="n">
        <f aca="false">Expenses!BI10</f>
        <v>5849.2928</v>
      </c>
      <c r="BJ11" s="67" t="n">
        <f aca="false">Expenses!BJ10</f>
        <v>5849.2928</v>
      </c>
      <c r="BK11" s="67" t="n">
        <f aca="false">Expenses!BK10</f>
        <v>5849.2928</v>
      </c>
      <c r="BL11" s="67" t="n">
        <f aca="false">Expenses!BL10</f>
        <v>5849.2928</v>
      </c>
      <c r="BM11" s="67" t="n">
        <f aca="false">Expenses!BM10</f>
        <v>5849.2928</v>
      </c>
      <c r="BN11" s="66" t="n">
        <f aca="false">SUM(BB11:BM11)</f>
        <v>70191.5136</v>
      </c>
    </row>
    <row r="12" customFormat="false" ht="15" hidden="false" customHeight="true" outlineLevel="0" collapsed="false">
      <c r="A12" s="71" t="s">
        <v>356</v>
      </c>
      <c r="B12" s="67" t="n">
        <f aca="false">Expenses!B11</f>
        <v>15000</v>
      </c>
      <c r="C12" s="67" t="n">
        <f aca="false">Expenses!C11</f>
        <v>15000</v>
      </c>
      <c r="D12" s="67" t="n">
        <f aca="false">Expenses!D11</f>
        <v>15000</v>
      </c>
      <c r="E12" s="67" t="n">
        <f aca="false">Expenses!E11</f>
        <v>15000</v>
      </c>
      <c r="F12" s="67" t="n">
        <f aca="false">Expenses!F11</f>
        <v>15000</v>
      </c>
      <c r="G12" s="67" t="n">
        <f aca="false">Expenses!G11</f>
        <v>15000</v>
      </c>
      <c r="H12" s="67" t="n">
        <f aca="false">Expenses!H11</f>
        <v>15000</v>
      </c>
      <c r="I12" s="67" t="n">
        <f aca="false">Expenses!I11</f>
        <v>15000</v>
      </c>
      <c r="J12" s="67" t="n">
        <f aca="false">Expenses!J11</f>
        <v>15000</v>
      </c>
      <c r="K12" s="67" t="n">
        <f aca="false">Expenses!K11</f>
        <v>15000</v>
      </c>
      <c r="L12" s="67" t="n">
        <f aca="false">Expenses!L11</f>
        <v>15000</v>
      </c>
      <c r="M12" s="67" t="n">
        <f aca="false">Expenses!M11</f>
        <v>15000</v>
      </c>
      <c r="N12" s="66" t="n">
        <f aca="false">SUM(B12:M12)</f>
        <v>180000</v>
      </c>
      <c r="O12" s="67" t="n">
        <f aca="false">Expenses!O11</f>
        <v>15750</v>
      </c>
      <c r="P12" s="67" t="n">
        <f aca="false">Expenses!P11</f>
        <v>15750</v>
      </c>
      <c r="Q12" s="67" t="n">
        <f aca="false">Expenses!Q11</f>
        <v>15750</v>
      </c>
      <c r="R12" s="67" t="n">
        <f aca="false">Expenses!R11</f>
        <v>15750</v>
      </c>
      <c r="S12" s="67" t="n">
        <f aca="false">Expenses!S11</f>
        <v>15750</v>
      </c>
      <c r="T12" s="67" t="n">
        <f aca="false">Expenses!T11</f>
        <v>15750</v>
      </c>
      <c r="U12" s="67" t="n">
        <f aca="false">Expenses!U11</f>
        <v>15750</v>
      </c>
      <c r="V12" s="67" t="n">
        <f aca="false">Expenses!V11</f>
        <v>15750</v>
      </c>
      <c r="W12" s="67" t="n">
        <f aca="false">Expenses!W11</f>
        <v>15750</v>
      </c>
      <c r="X12" s="67" t="n">
        <f aca="false">Expenses!X11</f>
        <v>15750</v>
      </c>
      <c r="Y12" s="67" t="n">
        <f aca="false">Expenses!Y11</f>
        <v>15750</v>
      </c>
      <c r="Z12" s="67" t="n">
        <f aca="false">Expenses!Z11</f>
        <v>15750</v>
      </c>
      <c r="AA12" s="66" t="n">
        <f aca="false">SUM(O12:Z12)</f>
        <v>189000</v>
      </c>
      <c r="AB12" s="67" t="n">
        <f aca="false">Expenses!AB11</f>
        <v>16537.5</v>
      </c>
      <c r="AC12" s="67" t="n">
        <f aca="false">Expenses!AC11</f>
        <v>16537.5</v>
      </c>
      <c r="AD12" s="67" t="n">
        <f aca="false">Expenses!AD11</f>
        <v>16537.5</v>
      </c>
      <c r="AE12" s="67" t="n">
        <f aca="false">Expenses!AE11</f>
        <v>16537.5</v>
      </c>
      <c r="AF12" s="67" t="n">
        <f aca="false">Expenses!AF11</f>
        <v>16537.5</v>
      </c>
      <c r="AG12" s="67" t="n">
        <f aca="false">Expenses!AG11</f>
        <v>16537.5</v>
      </c>
      <c r="AH12" s="67" t="n">
        <f aca="false">Expenses!AH11</f>
        <v>16537.5</v>
      </c>
      <c r="AI12" s="67" t="n">
        <f aca="false">Expenses!AI11</f>
        <v>16537.5</v>
      </c>
      <c r="AJ12" s="67" t="n">
        <f aca="false">Expenses!AJ11</f>
        <v>16537.5</v>
      </c>
      <c r="AK12" s="67" t="n">
        <f aca="false">Expenses!AK11</f>
        <v>16537.5</v>
      </c>
      <c r="AL12" s="67" t="n">
        <f aca="false">Expenses!AL11</f>
        <v>16537.5</v>
      </c>
      <c r="AM12" s="67" t="n">
        <f aca="false">Expenses!AM11</f>
        <v>16537.5</v>
      </c>
      <c r="AN12" s="66" t="n">
        <f aca="false">SUM(AB12:AM12)</f>
        <v>198450</v>
      </c>
      <c r="AO12" s="67" t="n">
        <f aca="false">Expenses!AO11</f>
        <v>17364.375</v>
      </c>
      <c r="AP12" s="67" t="n">
        <f aca="false">Expenses!AP11</f>
        <v>17364.375</v>
      </c>
      <c r="AQ12" s="67" t="n">
        <f aca="false">Expenses!AQ11</f>
        <v>17364.375</v>
      </c>
      <c r="AR12" s="67" t="n">
        <f aca="false">Expenses!AR11</f>
        <v>17364.375</v>
      </c>
      <c r="AS12" s="67" t="n">
        <f aca="false">Expenses!AS11</f>
        <v>17364.375</v>
      </c>
      <c r="AT12" s="67" t="n">
        <f aca="false">Expenses!AT11</f>
        <v>17364.375</v>
      </c>
      <c r="AU12" s="67" t="n">
        <f aca="false">Expenses!AU11</f>
        <v>17364.375</v>
      </c>
      <c r="AV12" s="67" t="n">
        <f aca="false">Expenses!AV11</f>
        <v>17364.375</v>
      </c>
      <c r="AW12" s="67" t="n">
        <f aca="false">Expenses!AW11</f>
        <v>17364.375</v>
      </c>
      <c r="AX12" s="67" t="n">
        <f aca="false">Expenses!AX11</f>
        <v>17364.375</v>
      </c>
      <c r="AY12" s="67" t="n">
        <f aca="false">Expenses!AY11</f>
        <v>17364.375</v>
      </c>
      <c r="AZ12" s="67" t="n">
        <f aca="false">Expenses!AZ11</f>
        <v>17364.375</v>
      </c>
      <c r="BA12" s="66" t="n">
        <f aca="false">SUM(AO12:AZ12)</f>
        <v>208372.5</v>
      </c>
      <c r="BB12" s="67" t="n">
        <f aca="false">Expenses!BB11</f>
        <v>18232.59375</v>
      </c>
      <c r="BC12" s="67" t="n">
        <f aca="false">Expenses!BC11</f>
        <v>18232.59375</v>
      </c>
      <c r="BD12" s="67" t="n">
        <f aca="false">Expenses!BD11</f>
        <v>18232.59375</v>
      </c>
      <c r="BE12" s="67" t="n">
        <f aca="false">Expenses!BE11</f>
        <v>18232.59375</v>
      </c>
      <c r="BF12" s="67" t="n">
        <f aca="false">Expenses!BF11</f>
        <v>18232.59375</v>
      </c>
      <c r="BG12" s="67" t="n">
        <f aca="false">Expenses!BG11</f>
        <v>18232.59375</v>
      </c>
      <c r="BH12" s="67" t="n">
        <f aca="false">Expenses!BH11</f>
        <v>18232.59375</v>
      </c>
      <c r="BI12" s="67" t="n">
        <f aca="false">Expenses!BI11</f>
        <v>18232.59375</v>
      </c>
      <c r="BJ12" s="67" t="n">
        <f aca="false">Expenses!BJ11</f>
        <v>18232.59375</v>
      </c>
      <c r="BK12" s="67" t="n">
        <f aca="false">Expenses!BK11</f>
        <v>18232.59375</v>
      </c>
      <c r="BL12" s="67" t="n">
        <f aca="false">Expenses!BL11</f>
        <v>18232.59375</v>
      </c>
      <c r="BM12" s="67" t="n">
        <f aca="false">Expenses!BM11</f>
        <v>18232.59375</v>
      </c>
      <c r="BN12" s="66" t="n">
        <f aca="false">SUM(BB12:BM12)</f>
        <v>218791.125</v>
      </c>
    </row>
    <row r="13" customFormat="false" ht="15" hidden="false" customHeight="true" outlineLevel="0" collapsed="false">
      <c r="A13" s="71" t="s">
        <v>357</v>
      </c>
      <c r="B13" s="67" t="n">
        <f aca="false">Expenses!B12</f>
        <v>15120</v>
      </c>
      <c r="C13" s="67" t="n">
        <f aca="false">Expenses!C12</f>
        <v>15120</v>
      </c>
      <c r="D13" s="67" t="n">
        <f aca="false">Expenses!D12</f>
        <v>17280</v>
      </c>
      <c r="E13" s="67" t="n">
        <f aca="false">Expenses!E12</f>
        <v>17280</v>
      </c>
      <c r="F13" s="67" t="n">
        <f aca="false">Expenses!F12</f>
        <v>19440</v>
      </c>
      <c r="G13" s="67" t="n">
        <f aca="false">Expenses!G12</f>
        <v>19440</v>
      </c>
      <c r="H13" s="67" t="n">
        <f aca="false">Expenses!H12</f>
        <v>19440</v>
      </c>
      <c r="I13" s="67" t="n">
        <f aca="false">Expenses!I12</f>
        <v>19440</v>
      </c>
      <c r="J13" s="67" t="n">
        <f aca="false">Expenses!J12</f>
        <v>17280</v>
      </c>
      <c r="K13" s="67" t="n">
        <f aca="false">Expenses!K12</f>
        <v>17280</v>
      </c>
      <c r="L13" s="67" t="n">
        <f aca="false">Expenses!L12</f>
        <v>19440</v>
      </c>
      <c r="M13" s="67" t="n">
        <f aca="false">Expenses!M12</f>
        <v>19440</v>
      </c>
      <c r="N13" s="66" t="n">
        <f aca="false">SUM(B13:M13)</f>
        <v>216000</v>
      </c>
      <c r="O13" s="67" t="n">
        <f aca="false">Expenses!O12</f>
        <v>17199</v>
      </c>
      <c r="P13" s="67" t="n">
        <f aca="false">Expenses!P12</f>
        <v>17199</v>
      </c>
      <c r="Q13" s="67" t="n">
        <f aca="false">Expenses!Q12</f>
        <v>19656</v>
      </c>
      <c r="R13" s="67" t="n">
        <f aca="false">Expenses!R12</f>
        <v>19656</v>
      </c>
      <c r="S13" s="67" t="n">
        <f aca="false">Expenses!S12</f>
        <v>22113</v>
      </c>
      <c r="T13" s="67" t="n">
        <f aca="false">Expenses!T12</f>
        <v>22113</v>
      </c>
      <c r="U13" s="67" t="n">
        <f aca="false">Expenses!U12</f>
        <v>22113</v>
      </c>
      <c r="V13" s="67" t="n">
        <f aca="false">Expenses!V12</f>
        <v>22113</v>
      </c>
      <c r="W13" s="67" t="n">
        <f aca="false">Expenses!W12</f>
        <v>19656</v>
      </c>
      <c r="X13" s="67" t="n">
        <f aca="false">Expenses!X12</f>
        <v>19656</v>
      </c>
      <c r="Y13" s="67" t="n">
        <f aca="false">Expenses!Y12</f>
        <v>22113</v>
      </c>
      <c r="Z13" s="67" t="n">
        <f aca="false">Expenses!Z12</f>
        <v>22113</v>
      </c>
      <c r="AA13" s="66" t="n">
        <f aca="false">SUM(O13:Z13)</f>
        <v>245700</v>
      </c>
      <c r="AB13" s="67" t="n">
        <f aca="false">Expenses!AB12</f>
        <v>19448.1</v>
      </c>
      <c r="AC13" s="67" t="n">
        <f aca="false">Expenses!AC12</f>
        <v>19448.1</v>
      </c>
      <c r="AD13" s="67" t="n">
        <f aca="false">Expenses!AD12</f>
        <v>22226.4</v>
      </c>
      <c r="AE13" s="67" t="n">
        <f aca="false">Expenses!AE12</f>
        <v>22226.4</v>
      </c>
      <c r="AF13" s="67" t="n">
        <f aca="false">Expenses!AF12</f>
        <v>25004.7</v>
      </c>
      <c r="AG13" s="67" t="n">
        <f aca="false">Expenses!AG12</f>
        <v>25004.7</v>
      </c>
      <c r="AH13" s="67" t="n">
        <f aca="false">Expenses!AH12</f>
        <v>25004.7</v>
      </c>
      <c r="AI13" s="67" t="n">
        <f aca="false">Expenses!AI12</f>
        <v>25004.7</v>
      </c>
      <c r="AJ13" s="67" t="n">
        <f aca="false">Expenses!AJ12</f>
        <v>22226.4</v>
      </c>
      <c r="AK13" s="67" t="n">
        <f aca="false">Expenses!AK12</f>
        <v>22226.4</v>
      </c>
      <c r="AL13" s="67" t="n">
        <f aca="false">Expenses!AL12</f>
        <v>25004.7</v>
      </c>
      <c r="AM13" s="67" t="n">
        <f aca="false">Expenses!AM12</f>
        <v>25004.7</v>
      </c>
      <c r="AN13" s="66" t="n">
        <f aca="false">SUM(AB13:AM13)</f>
        <v>277830</v>
      </c>
      <c r="AO13" s="67" t="n">
        <f aca="false">Expenses!AO12</f>
        <v>21879.1125</v>
      </c>
      <c r="AP13" s="67" t="n">
        <f aca="false">Expenses!AP12</f>
        <v>21879.1125</v>
      </c>
      <c r="AQ13" s="67" t="n">
        <f aca="false">Expenses!AQ12</f>
        <v>25004.7</v>
      </c>
      <c r="AR13" s="67" t="n">
        <f aca="false">Expenses!AR12</f>
        <v>25004.7</v>
      </c>
      <c r="AS13" s="67" t="n">
        <f aca="false">Expenses!AS12</f>
        <v>28130.2875</v>
      </c>
      <c r="AT13" s="67" t="n">
        <f aca="false">Expenses!AT12</f>
        <v>28130.2875</v>
      </c>
      <c r="AU13" s="67" t="n">
        <f aca="false">Expenses!AU12</f>
        <v>28130.2875</v>
      </c>
      <c r="AV13" s="67" t="n">
        <f aca="false">Expenses!AV12</f>
        <v>28130.2875</v>
      </c>
      <c r="AW13" s="67" t="n">
        <f aca="false">Expenses!AW12</f>
        <v>25004.7</v>
      </c>
      <c r="AX13" s="67" t="n">
        <f aca="false">Expenses!AX12</f>
        <v>25004.7</v>
      </c>
      <c r="AY13" s="67" t="n">
        <f aca="false">Expenses!AY12</f>
        <v>28130.2875</v>
      </c>
      <c r="AZ13" s="67" t="n">
        <f aca="false">Expenses!AZ12</f>
        <v>28130.2875</v>
      </c>
      <c r="BA13" s="66" t="n">
        <f aca="false">SUM(AO13:AZ13)</f>
        <v>312558.75</v>
      </c>
      <c r="BB13" s="67" t="n">
        <f aca="false">Expenses!BB12</f>
        <v>24504.606</v>
      </c>
      <c r="BC13" s="67" t="n">
        <f aca="false">Expenses!BC12</f>
        <v>24504.606</v>
      </c>
      <c r="BD13" s="67" t="n">
        <f aca="false">Expenses!BD12</f>
        <v>28005.264</v>
      </c>
      <c r="BE13" s="67" t="n">
        <f aca="false">Expenses!BE12</f>
        <v>28005.264</v>
      </c>
      <c r="BF13" s="67" t="n">
        <f aca="false">Expenses!BF12</f>
        <v>31505.922</v>
      </c>
      <c r="BG13" s="67" t="n">
        <f aca="false">Expenses!BG12</f>
        <v>31505.922</v>
      </c>
      <c r="BH13" s="67" t="n">
        <f aca="false">Expenses!BH12</f>
        <v>31505.922</v>
      </c>
      <c r="BI13" s="67" t="n">
        <f aca="false">Expenses!BI12</f>
        <v>31505.922</v>
      </c>
      <c r="BJ13" s="67" t="n">
        <f aca="false">Expenses!BJ12</f>
        <v>28005.264</v>
      </c>
      <c r="BK13" s="67" t="n">
        <f aca="false">Expenses!BK12</f>
        <v>28005.264</v>
      </c>
      <c r="BL13" s="67" t="n">
        <f aca="false">Expenses!BL12</f>
        <v>31505.922</v>
      </c>
      <c r="BM13" s="67" t="n">
        <f aca="false">Expenses!BM12</f>
        <v>31505.922</v>
      </c>
      <c r="BN13" s="66" t="n">
        <f aca="false">SUM(BB13:BM13)</f>
        <v>350065.8</v>
      </c>
    </row>
    <row r="14" customFormat="false" ht="15" hidden="false" customHeight="true" outlineLevel="0" collapsed="false">
      <c r="A14" s="64" t="s">
        <v>358</v>
      </c>
      <c r="B14" s="66" t="n">
        <f aca="false">B5-SUM(B6:B13)</f>
        <v>126880</v>
      </c>
      <c r="C14" s="66" t="n">
        <f aca="false">C5-SUM(C6:C13)</f>
        <v>126880</v>
      </c>
      <c r="D14" s="66" t="n">
        <f aca="false">D5-SUM(D6:D13)</f>
        <v>160720</v>
      </c>
      <c r="E14" s="66" t="n">
        <f aca="false">E5-SUM(E6:E13)</f>
        <v>160720</v>
      </c>
      <c r="F14" s="66" t="n">
        <f aca="false">F5-SUM(F6:F13)</f>
        <v>194560</v>
      </c>
      <c r="G14" s="66" t="n">
        <f aca="false">G5-SUM(G6:G13)</f>
        <v>194560</v>
      </c>
      <c r="H14" s="66" t="n">
        <f aca="false">H5-SUM(H6:H13)</f>
        <v>194560</v>
      </c>
      <c r="I14" s="66" t="n">
        <f aca="false">I5-SUM(I6:I13)</f>
        <v>194560</v>
      </c>
      <c r="J14" s="66" t="n">
        <f aca="false">J5-SUM(J6:J13)</f>
        <v>160720</v>
      </c>
      <c r="K14" s="66" t="n">
        <f aca="false">K5-SUM(K6:K13)</f>
        <v>160720</v>
      </c>
      <c r="L14" s="66" t="n">
        <f aca="false">L5-SUM(L6:L13)</f>
        <v>194560</v>
      </c>
      <c r="M14" s="66" t="n">
        <f aca="false">M5-SUM(M6:M13)</f>
        <v>194560</v>
      </c>
      <c r="N14" s="66" t="n">
        <f aca="false">SUM(B14:M14)</f>
        <v>2064000</v>
      </c>
      <c r="O14" s="66" t="n">
        <f aca="false">O5-SUM(O6:O13)</f>
        <v>159461</v>
      </c>
      <c r="P14" s="66" t="n">
        <f aca="false">P5-SUM(P6:P13)</f>
        <v>159461</v>
      </c>
      <c r="Q14" s="66" t="n">
        <f aca="false">Q5-SUM(Q6:Q13)</f>
        <v>198734</v>
      </c>
      <c r="R14" s="66" t="n">
        <f aca="false">R5-SUM(R6:R13)</f>
        <v>198734</v>
      </c>
      <c r="S14" s="66" t="n">
        <f aca="false">S5-SUM(S6:S13)</f>
        <v>238007</v>
      </c>
      <c r="T14" s="66" t="n">
        <f aca="false">T5-SUM(T6:T13)</f>
        <v>238007</v>
      </c>
      <c r="U14" s="66" t="n">
        <f aca="false">U5-SUM(U6:U13)</f>
        <v>238007</v>
      </c>
      <c r="V14" s="66" t="n">
        <f aca="false">V5-SUM(V6:V13)</f>
        <v>238007</v>
      </c>
      <c r="W14" s="66" t="n">
        <f aca="false">W5-SUM(W6:W13)</f>
        <v>198734</v>
      </c>
      <c r="X14" s="66" t="n">
        <f aca="false">X5-SUM(X6:X13)</f>
        <v>198734</v>
      </c>
      <c r="Y14" s="66" t="n">
        <f aca="false">Y5-SUM(Y6:Y13)</f>
        <v>238007</v>
      </c>
      <c r="Z14" s="66" t="n">
        <f aca="false">Z5-SUM(Z6:Z13)</f>
        <v>238007</v>
      </c>
      <c r="AA14" s="66" t="n">
        <f aca="false">SUM(O14:Z14)</f>
        <v>2541900</v>
      </c>
      <c r="AB14" s="66" t="n">
        <f aca="false">AB5-SUM(AB6:AB13)</f>
        <v>195805.6</v>
      </c>
      <c r="AC14" s="66" t="n">
        <f aca="false">AC5-SUM(AC6:AC13)</f>
        <v>195805.6</v>
      </c>
      <c r="AD14" s="66" t="n">
        <f aca="false">AD5-SUM(AD6:AD13)</f>
        <v>241087.9</v>
      </c>
      <c r="AE14" s="66" t="n">
        <f aca="false">AE5-SUM(AE6:AE13)</f>
        <v>241087.9</v>
      </c>
      <c r="AF14" s="66" t="n">
        <f aca="false">AF5-SUM(AF6:AF13)</f>
        <v>286370.2</v>
      </c>
      <c r="AG14" s="66" t="n">
        <f aca="false">AG5-SUM(AG6:AG13)</f>
        <v>286370.2</v>
      </c>
      <c r="AH14" s="66" t="n">
        <f aca="false">AH5-SUM(AH6:AH13)</f>
        <v>286370.2</v>
      </c>
      <c r="AI14" s="66" t="n">
        <f aca="false">AI5-SUM(AI6:AI13)</f>
        <v>286370.2</v>
      </c>
      <c r="AJ14" s="66" t="n">
        <f aca="false">AJ5-SUM(AJ6:AJ13)</f>
        <v>241087.9</v>
      </c>
      <c r="AK14" s="66" t="n">
        <f aca="false">AK5-SUM(AK6:AK13)</f>
        <v>241087.9</v>
      </c>
      <c r="AL14" s="66" t="n">
        <f aca="false">AL5-SUM(AL6:AL13)</f>
        <v>286370.2</v>
      </c>
      <c r="AM14" s="66" t="n">
        <f aca="false">AM5-SUM(AM6:AM13)</f>
        <v>286370.2</v>
      </c>
      <c r="AN14" s="66" t="n">
        <f aca="false">SUM(AB14:AM14)</f>
        <v>3074184</v>
      </c>
      <c r="AO14" s="66" t="n">
        <f aca="false">AO5-SUM(AO6:AO13)</f>
        <v>236237.2475</v>
      </c>
      <c r="AP14" s="66" t="n">
        <f aca="false">AP5-SUM(AP6:AP13)</f>
        <v>236237.2475</v>
      </c>
      <c r="AQ14" s="66" t="n">
        <f aca="false">AQ5-SUM(AQ6:AQ13)</f>
        <v>288153.275</v>
      </c>
      <c r="AR14" s="66" t="n">
        <f aca="false">AR5-SUM(AR6:AR13)</f>
        <v>288153.275</v>
      </c>
      <c r="AS14" s="66" t="n">
        <f aca="false">AS5-SUM(AS6:AS13)</f>
        <v>340069.3025</v>
      </c>
      <c r="AT14" s="66" t="n">
        <f aca="false">AT5-SUM(AT6:AT13)</f>
        <v>340069.3025</v>
      </c>
      <c r="AU14" s="66" t="n">
        <f aca="false">AU5-SUM(AU6:AU13)</f>
        <v>340069.3025</v>
      </c>
      <c r="AV14" s="66" t="n">
        <f aca="false">AV5-SUM(AV6:AV13)</f>
        <v>340069.3025</v>
      </c>
      <c r="AW14" s="66" t="n">
        <f aca="false">AW5-SUM(AW6:AW13)</f>
        <v>288153.275</v>
      </c>
      <c r="AX14" s="66" t="n">
        <f aca="false">AX5-SUM(AX6:AX13)</f>
        <v>288153.275</v>
      </c>
      <c r="AY14" s="66" t="n">
        <f aca="false">AY5-SUM(AY6:AY13)</f>
        <v>340069.3025</v>
      </c>
      <c r="AZ14" s="66" t="n">
        <f aca="false">AZ5-SUM(AZ6:AZ13)</f>
        <v>340069.3025</v>
      </c>
      <c r="BA14" s="66" t="n">
        <f aca="false">SUM(AO14:AZ14)</f>
        <v>3665503.41</v>
      </c>
      <c r="BB14" s="66" t="n">
        <f aca="false">BB5-SUM(BB6:BB13)</f>
        <v>281103.29263</v>
      </c>
      <c r="BC14" s="66" t="n">
        <f aca="false">BC5-SUM(BC6:BC13)</f>
        <v>281103.29263</v>
      </c>
      <c r="BD14" s="66" t="n">
        <f aca="false">BD5-SUM(BD6:BD13)</f>
        <v>340329.11287</v>
      </c>
      <c r="BE14" s="66" t="n">
        <f aca="false">BE5-SUM(BE6:BE13)</f>
        <v>340329.11287</v>
      </c>
      <c r="BF14" s="66" t="n">
        <f aca="false">BF5-SUM(BF6:BF13)</f>
        <v>399554.93311</v>
      </c>
      <c r="BG14" s="66" t="n">
        <f aca="false">BG5-SUM(BG6:BG13)</f>
        <v>399554.93311</v>
      </c>
      <c r="BH14" s="66" t="n">
        <f aca="false">BH5-SUM(BH6:BH13)</f>
        <v>399554.93311</v>
      </c>
      <c r="BI14" s="66" t="n">
        <f aca="false">BI5-SUM(BI6:BI13)</f>
        <v>399554.93311</v>
      </c>
      <c r="BJ14" s="66" t="n">
        <f aca="false">BJ5-SUM(BJ6:BJ13)</f>
        <v>340329.11287</v>
      </c>
      <c r="BK14" s="66" t="n">
        <f aca="false">BK5-SUM(BK6:BK13)</f>
        <v>340329.11287</v>
      </c>
      <c r="BL14" s="66" t="n">
        <f aca="false">BL5-SUM(BL6:BL13)</f>
        <v>399554.93311</v>
      </c>
      <c r="BM14" s="66" t="n">
        <f aca="false">BM5-SUM(BM6:BM13)</f>
        <v>399554.93311</v>
      </c>
      <c r="BN14" s="66" t="n">
        <f aca="false">SUM(BB14:BM14)</f>
        <v>4320852.6354</v>
      </c>
    </row>
    <row r="15" customFormat="false" ht="15" hidden="false" customHeight="true" outlineLevel="0" collapsed="false">
      <c r="A15" s="71" t="s">
        <v>359</v>
      </c>
      <c r="B15" s="67" t="n">
        <f aca="false">Expenses!B13</f>
        <v>8750</v>
      </c>
      <c r="C15" s="67" t="n">
        <f aca="false">Expenses!C13</f>
        <v>8750</v>
      </c>
      <c r="D15" s="67" t="n">
        <f aca="false">Expenses!D13</f>
        <v>8750</v>
      </c>
      <c r="E15" s="67" t="n">
        <f aca="false">Expenses!E13</f>
        <v>8750</v>
      </c>
      <c r="F15" s="67" t="n">
        <f aca="false">Expenses!F13</f>
        <v>8750</v>
      </c>
      <c r="G15" s="67" t="n">
        <f aca="false">Expenses!G13</f>
        <v>8750</v>
      </c>
      <c r="H15" s="67" t="n">
        <f aca="false">Expenses!H13</f>
        <v>8750</v>
      </c>
      <c r="I15" s="67" t="n">
        <f aca="false">Expenses!I13</f>
        <v>8750</v>
      </c>
      <c r="J15" s="67" t="n">
        <f aca="false">Expenses!J13</f>
        <v>8750</v>
      </c>
      <c r="K15" s="67" t="n">
        <f aca="false">Expenses!K13</f>
        <v>8750</v>
      </c>
      <c r="L15" s="67" t="n">
        <f aca="false">Expenses!L13</f>
        <v>8750</v>
      </c>
      <c r="M15" s="67" t="n">
        <f aca="false">Expenses!M13</f>
        <v>8750</v>
      </c>
      <c r="N15" s="66" t="n">
        <f aca="false">SUM(B15:M15)</f>
        <v>105000</v>
      </c>
      <c r="O15" s="67" t="n">
        <f aca="false">Expenses!O13</f>
        <v>8750</v>
      </c>
      <c r="P15" s="67" t="n">
        <f aca="false">Expenses!P13</f>
        <v>8750</v>
      </c>
      <c r="Q15" s="67" t="n">
        <f aca="false">Expenses!Q13</f>
        <v>8750</v>
      </c>
      <c r="R15" s="67" t="n">
        <f aca="false">Expenses!R13</f>
        <v>8750</v>
      </c>
      <c r="S15" s="67" t="n">
        <f aca="false">Expenses!S13</f>
        <v>8750</v>
      </c>
      <c r="T15" s="67" t="n">
        <f aca="false">Expenses!T13</f>
        <v>8750</v>
      </c>
      <c r="U15" s="67" t="n">
        <f aca="false">Expenses!U13</f>
        <v>8750</v>
      </c>
      <c r="V15" s="67" t="n">
        <f aca="false">Expenses!V13</f>
        <v>8750</v>
      </c>
      <c r="W15" s="67" t="n">
        <f aca="false">Expenses!W13</f>
        <v>8750</v>
      </c>
      <c r="X15" s="67" t="n">
        <f aca="false">Expenses!X13</f>
        <v>8750</v>
      </c>
      <c r="Y15" s="67" t="n">
        <f aca="false">Expenses!Y13</f>
        <v>8750</v>
      </c>
      <c r="Z15" s="67" t="n">
        <f aca="false">Expenses!Z13</f>
        <v>8750</v>
      </c>
      <c r="AA15" s="66" t="n">
        <f aca="false">SUM(O15:Z15)</f>
        <v>105000</v>
      </c>
      <c r="AB15" s="67" t="n">
        <f aca="false">Expenses!AB13</f>
        <v>8750</v>
      </c>
      <c r="AC15" s="67" t="n">
        <f aca="false">Expenses!AC13</f>
        <v>8750</v>
      </c>
      <c r="AD15" s="67" t="n">
        <f aca="false">Expenses!AD13</f>
        <v>8750</v>
      </c>
      <c r="AE15" s="67" t="n">
        <f aca="false">Expenses!AE13</f>
        <v>8750</v>
      </c>
      <c r="AF15" s="67" t="n">
        <f aca="false">Expenses!AF13</f>
        <v>8750</v>
      </c>
      <c r="AG15" s="67" t="n">
        <f aca="false">Expenses!AG13</f>
        <v>8750</v>
      </c>
      <c r="AH15" s="67" t="n">
        <f aca="false">Expenses!AH13</f>
        <v>8750</v>
      </c>
      <c r="AI15" s="67" t="n">
        <f aca="false">Expenses!AI13</f>
        <v>8750</v>
      </c>
      <c r="AJ15" s="67" t="n">
        <f aca="false">Expenses!AJ13</f>
        <v>8750</v>
      </c>
      <c r="AK15" s="67" t="n">
        <f aca="false">Expenses!AK13</f>
        <v>8750</v>
      </c>
      <c r="AL15" s="67" t="n">
        <f aca="false">Expenses!AL13</f>
        <v>8750</v>
      </c>
      <c r="AM15" s="67" t="n">
        <f aca="false">Expenses!AM13</f>
        <v>8750</v>
      </c>
      <c r="AN15" s="66" t="n">
        <f aca="false">SUM(AB15:AM15)</f>
        <v>105000</v>
      </c>
      <c r="AO15" s="67" t="n">
        <f aca="false">Expenses!AO13</f>
        <v>8750</v>
      </c>
      <c r="AP15" s="67" t="n">
        <f aca="false">Expenses!AP13</f>
        <v>8750</v>
      </c>
      <c r="AQ15" s="67" t="n">
        <f aca="false">Expenses!AQ13</f>
        <v>8750</v>
      </c>
      <c r="AR15" s="67" t="n">
        <f aca="false">Expenses!AR13</f>
        <v>8750</v>
      </c>
      <c r="AS15" s="67" t="n">
        <f aca="false">Expenses!AS13</f>
        <v>8750</v>
      </c>
      <c r="AT15" s="67" t="n">
        <f aca="false">Expenses!AT13</f>
        <v>8750</v>
      </c>
      <c r="AU15" s="67" t="n">
        <f aca="false">Expenses!AU13</f>
        <v>8750</v>
      </c>
      <c r="AV15" s="67" t="n">
        <f aca="false">Expenses!AV13</f>
        <v>8750</v>
      </c>
      <c r="AW15" s="67" t="n">
        <f aca="false">Expenses!AW13</f>
        <v>8750</v>
      </c>
      <c r="AX15" s="67" t="n">
        <f aca="false">Expenses!AX13</f>
        <v>8750</v>
      </c>
      <c r="AY15" s="67" t="n">
        <f aca="false">Expenses!AY13</f>
        <v>8750</v>
      </c>
      <c r="AZ15" s="67" t="n">
        <f aca="false">Expenses!AZ13</f>
        <v>8750</v>
      </c>
      <c r="BA15" s="66" t="n">
        <f aca="false">SUM(AO15:AZ15)</f>
        <v>105000</v>
      </c>
      <c r="BB15" s="67" t="n">
        <f aca="false">Expenses!BB13</f>
        <v>8750</v>
      </c>
      <c r="BC15" s="67" t="n">
        <f aca="false">Expenses!BC13</f>
        <v>8750</v>
      </c>
      <c r="BD15" s="67" t="n">
        <f aca="false">Expenses!BD13</f>
        <v>8750</v>
      </c>
      <c r="BE15" s="67" t="n">
        <f aca="false">Expenses!BE13</f>
        <v>8750</v>
      </c>
      <c r="BF15" s="67" t="n">
        <f aca="false">Expenses!BF13</f>
        <v>8750</v>
      </c>
      <c r="BG15" s="67" t="n">
        <f aca="false">Expenses!BG13</f>
        <v>8750</v>
      </c>
      <c r="BH15" s="67" t="n">
        <f aca="false">Expenses!BH13</f>
        <v>8750</v>
      </c>
      <c r="BI15" s="67" t="n">
        <f aca="false">Expenses!BI13</f>
        <v>8750</v>
      </c>
      <c r="BJ15" s="67" t="n">
        <f aca="false">Expenses!BJ13</f>
        <v>8750</v>
      </c>
      <c r="BK15" s="67" t="n">
        <f aca="false">Expenses!BK13</f>
        <v>8750</v>
      </c>
      <c r="BL15" s="67" t="n">
        <f aca="false">Expenses!BL13</f>
        <v>8750</v>
      </c>
      <c r="BM15" s="67" t="n">
        <f aca="false">Expenses!BM13</f>
        <v>8750</v>
      </c>
      <c r="BN15" s="66" t="n">
        <f aca="false">SUM(BB15:BM15)</f>
        <v>105000</v>
      </c>
    </row>
    <row r="16" customFormat="false" ht="15" hidden="false" customHeight="true" outlineLevel="0" collapsed="false">
      <c r="A16" s="64" t="s">
        <v>360</v>
      </c>
      <c r="B16" s="65" t="n">
        <f aca="false">B14-B15</f>
        <v>118130</v>
      </c>
      <c r="C16" s="65" t="n">
        <f aca="false">C14-C15</f>
        <v>118130</v>
      </c>
      <c r="D16" s="65" t="n">
        <f aca="false">D14-D15</f>
        <v>151970</v>
      </c>
      <c r="E16" s="65" t="n">
        <f aca="false">E14-E15</f>
        <v>151970</v>
      </c>
      <c r="F16" s="65" t="n">
        <f aca="false">F14-F15</f>
        <v>185810</v>
      </c>
      <c r="G16" s="65" t="n">
        <f aca="false">G14-G15</f>
        <v>185810</v>
      </c>
      <c r="H16" s="65" t="n">
        <f aca="false">H14-H15</f>
        <v>185810</v>
      </c>
      <c r="I16" s="65" t="n">
        <f aca="false">I14-I15</f>
        <v>185810</v>
      </c>
      <c r="J16" s="65" t="n">
        <f aca="false">J14-J15</f>
        <v>151970</v>
      </c>
      <c r="K16" s="65" t="n">
        <f aca="false">K14-K15</f>
        <v>151970</v>
      </c>
      <c r="L16" s="65" t="n">
        <f aca="false">L14-L15</f>
        <v>185810</v>
      </c>
      <c r="M16" s="65" t="n">
        <f aca="false">M14-M15</f>
        <v>185810</v>
      </c>
      <c r="N16" s="66" t="n">
        <f aca="false">SUM(B16:M16)</f>
        <v>1959000</v>
      </c>
      <c r="O16" s="65" t="n">
        <f aca="false">O14-O15</f>
        <v>150711</v>
      </c>
      <c r="P16" s="65" t="n">
        <f aca="false">P14-P15</f>
        <v>150711</v>
      </c>
      <c r="Q16" s="65" t="n">
        <f aca="false">Q14-Q15</f>
        <v>189984</v>
      </c>
      <c r="R16" s="65" t="n">
        <f aca="false">R14-R15</f>
        <v>189984</v>
      </c>
      <c r="S16" s="65" t="n">
        <f aca="false">S14-S15</f>
        <v>229257</v>
      </c>
      <c r="T16" s="65" t="n">
        <f aca="false">T14-T15</f>
        <v>229257</v>
      </c>
      <c r="U16" s="65" t="n">
        <f aca="false">U14-U15</f>
        <v>229257</v>
      </c>
      <c r="V16" s="65" t="n">
        <f aca="false">V14-V15</f>
        <v>229257</v>
      </c>
      <c r="W16" s="65" t="n">
        <f aca="false">W14-W15</f>
        <v>189984</v>
      </c>
      <c r="X16" s="65" t="n">
        <f aca="false">X14-X15</f>
        <v>189984</v>
      </c>
      <c r="Y16" s="65" t="n">
        <f aca="false">Y14-Y15</f>
        <v>229257</v>
      </c>
      <c r="Z16" s="65" t="n">
        <f aca="false">Z14-Z15</f>
        <v>229257</v>
      </c>
      <c r="AA16" s="66" t="n">
        <f aca="false">SUM(O16:Z16)</f>
        <v>2436900</v>
      </c>
      <c r="AB16" s="65" t="n">
        <f aca="false">AB14-AB15</f>
        <v>187055.6</v>
      </c>
      <c r="AC16" s="65" t="n">
        <f aca="false">AC14-AC15</f>
        <v>187055.6</v>
      </c>
      <c r="AD16" s="65" t="n">
        <f aca="false">AD14-AD15</f>
        <v>232337.9</v>
      </c>
      <c r="AE16" s="65" t="n">
        <f aca="false">AE14-AE15</f>
        <v>232337.9</v>
      </c>
      <c r="AF16" s="65" t="n">
        <f aca="false">AF14-AF15</f>
        <v>277620.2</v>
      </c>
      <c r="AG16" s="65" t="n">
        <f aca="false">AG14-AG15</f>
        <v>277620.2</v>
      </c>
      <c r="AH16" s="65" t="n">
        <f aca="false">AH14-AH15</f>
        <v>277620.2</v>
      </c>
      <c r="AI16" s="65" t="n">
        <f aca="false">AI14-AI15</f>
        <v>277620.2</v>
      </c>
      <c r="AJ16" s="65" t="n">
        <f aca="false">AJ14-AJ15</f>
        <v>232337.9</v>
      </c>
      <c r="AK16" s="65" t="n">
        <f aca="false">AK14-AK15</f>
        <v>232337.9</v>
      </c>
      <c r="AL16" s="65" t="n">
        <f aca="false">AL14-AL15</f>
        <v>277620.2</v>
      </c>
      <c r="AM16" s="65" t="n">
        <f aca="false">AM14-AM15</f>
        <v>277620.2</v>
      </c>
      <c r="AN16" s="66" t="n">
        <f aca="false">SUM(AB16:AM16)</f>
        <v>2969184</v>
      </c>
      <c r="AO16" s="65" t="n">
        <f aca="false">AO14-AO15</f>
        <v>227487.2475</v>
      </c>
      <c r="AP16" s="65" t="n">
        <f aca="false">AP14-AP15</f>
        <v>227487.2475</v>
      </c>
      <c r="AQ16" s="65" t="n">
        <f aca="false">AQ14-AQ15</f>
        <v>279403.275</v>
      </c>
      <c r="AR16" s="65" t="n">
        <f aca="false">AR14-AR15</f>
        <v>279403.275</v>
      </c>
      <c r="AS16" s="65" t="n">
        <f aca="false">AS14-AS15</f>
        <v>331319.3025</v>
      </c>
      <c r="AT16" s="65" t="n">
        <f aca="false">AT14-AT15</f>
        <v>331319.3025</v>
      </c>
      <c r="AU16" s="65" t="n">
        <f aca="false">AU14-AU15</f>
        <v>331319.3025</v>
      </c>
      <c r="AV16" s="65" t="n">
        <f aca="false">AV14-AV15</f>
        <v>331319.3025</v>
      </c>
      <c r="AW16" s="65" t="n">
        <f aca="false">AW14-AW15</f>
        <v>279403.275</v>
      </c>
      <c r="AX16" s="65" t="n">
        <f aca="false">AX14-AX15</f>
        <v>279403.275</v>
      </c>
      <c r="AY16" s="65" t="n">
        <f aca="false">AY14-AY15</f>
        <v>331319.3025</v>
      </c>
      <c r="AZ16" s="65" t="n">
        <f aca="false">AZ14-AZ15</f>
        <v>331319.3025</v>
      </c>
      <c r="BA16" s="66" t="n">
        <f aca="false">SUM(AO16:AZ16)</f>
        <v>3560503.41</v>
      </c>
      <c r="BB16" s="65" t="n">
        <f aca="false">BB14-BB15</f>
        <v>272353.29263</v>
      </c>
      <c r="BC16" s="65" t="n">
        <f aca="false">BC14-BC15</f>
        <v>272353.29263</v>
      </c>
      <c r="BD16" s="65" t="n">
        <f aca="false">BD14-BD15</f>
        <v>331579.11287</v>
      </c>
      <c r="BE16" s="65" t="n">
        <f aca="false">BE14-BE15</f>
        <v>331579.11287</v>
      </c>
      <c r="BF16" s="65" t="n">
        <f aca="false">BF14-BF15</f>
        <v>390804.93311</v>
      </c>
      <c r="BG16" s="65" t="n">
        <f aca="false">BG14-BG15</f>
        <v>390804.93311</v>
      </c>
      <c r="BH16" s="65" t="n">
        <f aca="false">BH14-BH15</f>
        <v>390804.93311</v>
      </c>
      <c r="BI16" s="65" t="n">
        <f aca="false">BI14-BI15</f>
        <v>390804.93311</v>
      </c>
      <c r="BJ16" s="65" t="n">
        <f aca="false">BJ14-BJ15</f>
        <v>331579.11287</v>
      </c>
      <c r="BK16" s="65" t="n">
        <f aca="false">BK14-BK15</f>
        <v>331579.11287</v>
      </c>
      <c r="BL16" s="65" t="n">
        <f aca="false">BL14-BL15</f>
        <v>390804.93311</v>
      </c>
      <c r="BM16" s="65" t="n">
        <f aca="false">BM14-BM15</f>
        <v>390804.93311</v>
      </c>
      <c r="BN16" s="66" t="n">
        <f aca="false">SUM(BB16:BM16)</f>
        <v>4215852.6354</v>
      </c>
    </row>
    <row r="17" customFormat="false" ht="15" hidden="false" customHeight="true" outlineLevel="0" collapsed="false">
      <c r="A17" s="71" t="s">
        <v>361</v>
      </c>
      <c r="B17" s="67" t="n">
        <f aca="false">Expenses!B14</f>
        <v>17500</v>
      </c>
      <c r="C17" s="67" t="n">
        <f aca="false">Expenses!C14</f>
        <v>17500</v>
      </c>
      <c r="D17" s="67" t="n">
        <f aca="false">Expenses!D14</f>
        <v>17500</v>
      </c>
      <c r="E17" s="67" t="n">
        <f aca="false">Expenses!E14</f>
        <v>17500</v>
      </c>
      <c r="F17" s="67" t="n">
        <f aca="false">Expenses!F14</f>
        <v>17500</v>
      </c>
      <c r="G17" s="67" t="n">
        <f aca="false">Expenses!G14</f>
        <v>17500</v>
      </c>
      <c r="H17" s="67" t="n">
        <f aca="false">Expenses!H14</f>
        <v>17500</v>
      </c>
      <c r="I17" s="67" t="n">
        <f aca="false">Expenses!I14</f>
        <v>17500</v>
      </c>
      <c r="J17" s="67" t="n">
        <f aca="false">Expenses!J14</f>
        <v>17500</v>
      </c>
      <c r="K17" s="67" t="n">
        <f aca="false">Expenses!K14</f>
        <v>17500</v>
      </c>
      <c r="L17" s="67" t="n">
        <f aca="false">Expenses!L14</f>
        <v>17500</v>
      </c>
      <c r="M17" s="67" t="n">
        <f aca="false">Expenses!M14</f>
        <v>17500</v>
      </c>
      <c r="N17" s="66" t="n">
        <f aca="false">SUM(B17:M17)</f>
        <v>210000</v>
      </c>
      <c r="O17" s="67" t="n">
        <f aca="false">Expenses!O14</f>
        <v>13611.1111111111</v>
      </c>
      <c r="P17" s="67" t="n">
        <f aca="false">Expenses!P14</f>
        <v>13611.1111111111</v>
      </c>
      <c r="Q17" s="67" t="n">
        <f aca="false">Expenses!Q14</f>
        <v>13611.1111111111</v>
      </c>
      <c r="R17" s="67" t="n">
        <f aca="false">Expenses!R14</f>
        <v>13611.1111111111</v>
      </c>
      <c r="S17" s="67" t="n">
        <f aca="false">Expenses!S14</f>
        <v>13611.1111111111</v>
      </c>
      <c r="T17" s="67" t="n">
        <f aca="false">Expenses!T14</f>
        <v>13611.1111111111</v>
      </c>
      <c r="U17" s="67" t="n">
        <f aca="false">Expenses!U14</f>
        <v>13611.1111111111</v>
      </c>
      <c r="V17" s="67" t="n">
        <f aca="false">Expenses!V14</f>
        <v>13611.1111111111</v>
      </c>
      <c r="W17" s="67" t="n">
        <f aca="false">Expenses!W14</f>
        <v>13611.1111111111</v>
      </c>
      <c r="X17" s="67" t="n">
        <f aca="false">Expenses!X14</f>
        <v>13611.1111111111</v>
      </c>
      <c r="Y17" s="67" t="n">
        <f aca="false">Expenses!Y14</f>
        <v>13611.1111111111</v>
      </c>
      <c r="Z17" s="67" t="n">
        <f aca="false">Expenses!Z14</f>
        <v>13611.1111111111</v>
      </c>
      <c r="AA17" s="66" t="n">
        <f aca="false">SUM(O17:Z17)</f>
        <v>163333.333333333</v>
      </c>
      <c r="AB17" s="67" t="n">
        <f aca="false">Expenses!AB14</f>
        <v>9722.22222222222</v>
      </c>
      <c r="AC17" s="67" t="n">
        <f aca="false">Expenses!AC14</f>
        <v>9722.22222222222</v>
      </c>
      <c r="AD17" s="67" t="n">
        <f aca="false">Expenses!AD14</f>
        <v>9722.22222222222</v>
      </c>
      <c r="AE17" s="67" t="n">
        <f aca="false">Expenses!AE14</f>
        <v>9722.22222222222</v>
      </c>
      <c r="AF17" s="67" t="n">
        <f aca="false">Expenses!AF14</f>
        <v>9722.22222222222</v>
      </c>
      <c r="AG17" s="67" t="n">
        <f aca="false">Expenses!AG14</f>
        <v>9722.22222222222</v>
      </c>
      <c r="AH17" s="67" t="n">
        <f aca="false">Expenses!AH14</f>
        <v>9722.22222222222</v>
      </c>
      <c r="AI17" s="67" t="n">
        <f aca="false">Expenses!AI14</f>
        <v>9722.22222222222</v>
      </c>
      <c r="AJ17" s="67" t="n">
        <f aca="false">Expenses!AJ14</f>
        <v>9722.22222222222</v>
      </c>
      <c r="AK17" s="67" t="n">
        <f aca="false">Expenses!AK14</f>
        <v>9722.22222222222</v>
      </c>
      <c r="AL17" s="67" t="n">
        <f aca="false">Expenses!AL14</f>
        <v>9722.22222222222</v>
      </c>
      <c r="AM17" s="67" t="n">
        <f aca="false">Expenses!AM14</f>
        <v>9722.22222222222</v>
      </c>
      <c r="AN17" s="66" t="n">
        <f aca="false">SUM(AB17:AM17)</f>
        <v>116666.666666667</v>
      </c>
      <c r="AO17" s="67" t="n">
        <f aca="false">Expenses!AO14</f>
        <v>5833.33333333333</v>
      </c>
      <c r="AP17" s="67" t="n">
        <f aca="false">Expenses!AP14</f>
        <v>5833.33333333333</v>
      </c>
      <c r="AQ17" s="67" t="n">
        <f aca="false">Expenses!AQ14</f>
        <v>5833.33333333333</v>
      </c>
      <c r="AR17" s="67" t="n">
        <f aca="false">Expenses!AR14</f>
        <v>5833.33333333333</v>
      </c>
      <c r="AS17" s="67" t="n">
        <f aca="false">Expenses!AS14</f>
        <v>5833.33333333333</v>
      </c>
      <c r="AT17" s="67" t="n">
        <f aca="false">Expenses!AT14</f>
        <v>5833.33333333333</v>
      </c>
      <c r="AU17" s="67" t="n">
        <f aca="false">Expenses!AU14</f>
        <v>5833.33333333333</v>
      </c>
      <c r="AV17" s="67" t="n">
        <f aca="false">Expenses!AV14</f>
        <v>5833.33333333333</v>
      </c>
      <c r="AW17" s="67" t="n">
        <f aca="false">Expenses!AW14</f>
        <v>5833.33333333333</v>
      </c>
      <c r="AX17" s="67" t="n">
        <f aca="false">Expenses!AX14</f>
        <v>5833.33333333333</v>
      </c>
      <c r="AY17" s="67" t="n">
        <f aca="false">Expenses!AY14</f>
        <v>5833.33333333333</v>
      </c>
      <c r="AZ17" s="67" t="n">
        <f aca="false">Expenses!AZ14</f>
        <v>5833.33333333333</v>
      </c>
      <c r="BA17" s="66" t="n">
        <f aca="false">SUM(AO17:AZ17)</f>
        <v>70000</v>
      </c>
      <c r="BB17" s="67" t="n">
        <f aca="false">Expenses!BB14</f>
        <v>1944.44444444444</v>
      </c>
      <c r="BC17" s="67" t="n">
        <f aca="false">Expenses!BC14</f>
        <v>1944.44444444444</v>
      </c>
      <c r="BD17" s="67" t="n">
        <f aca="false">Expenses!BD14</f>
        <v>1944.44444444444</v>
      </c>
      <c r="BE17" s="67" t="n">
        <f aca="false">Expenses!BE14</f>
        <v>1944.44444444444</v>
      </c>
      <c r="BF17" s="67" t="n">
        <f aca="false">Expenses!BF14</f>
        <v>1944.44444444444</v>
      </c>
      <c r="BG17" s="67" t="n">
        <f aca="false">Expenses!BG14</f>
        <v>1944.44444444444</v>
      </c>
      <c r="BH17" s="67" t="n">
        <f aca="false">Expenses!BH14</f>
        <v>1944.44444444444</v>
      </c>
      <c r="BI17" s="67" t="n">
        <f aca="false">Expenses!BI14</f>
        <v>1944.44444444444</v>
      </c>
      <c r="BJ17" s="67" t="n">
        <f aca="false">Expenses!BJ14</f>
        <v>1944.44444444444</v>
      </c>
      <c r="BK17" s="67" t="n">
        <f aca="false">Expenses!BK14</f>
        <v>1944.44444444444</v>
      </c>
      <c r="BL17" s="67" t="n">
        <f aca="false">Expenses!BL14</f>
        <v>1944.44444444444</v>
      </c>
      <c r="BM17" s="67" t="n">
        <f aca="false">Expenses!BM14</f>
        <v>1944.44444444444</v>
      </c>
      <c r="BN17" s="66" t="n">
        <f aca="false">SUM(BB17:BM17)</f>
        <v>23333.3333333333</v>
      </c>
    </row>
    <row r="18" customFormat="false" ht="15" hidden="false" customHeight="true" outlineLevel="0" collapsed="false">
      <c r="A18" s="71" t="s">
        <v>362</v>
      </c>
      <c r="B18" s="67" t="n">
        <f aca="false">Expenses!B15</f>
        <v>4027.39726027397</v>
      </c>
      <c r="C18" s="67" t="n">
        <f aca="false">Expenses!C15</f>
        <v>4027.39726027397</v>
      </c>
      <c r="D18" s="67" t="n">
        <f aca="false">Expenses!D15</f>
        <v>4027.39726027397</v>
      </c>
      <c r="E18" s="67" t="n">
        <f aca="false">Expenses!E15</f>
        <v>4027.39726027397</v>
      </c>
      <c r="F18" s="67" t="n">
        <f aca="false">Expenses!F15</f>
        <v>4027.39726027397</v>
      </c>
      <c r="G18" s="67" t="n">
        <f aca="false">Expenses!G15</f>
        <v>4027.39726027397</v>
      </c>
      <c r="H18" s="67" t="n">
        <f aca="false">Expenses!H15</f>
        <v>4027.39726027397</v>
      </c>
      <c r="I18" s="67" t="n">
        <f aca="false">Expenses!I15</f>
        <v>4027.39726027397</v>
      </c>
      <c r="J18" s="67" t="n">
        <f aca="false">Expenses!J15</f>
        <v>4027.39726027397</v>
      </c>
      <c r="K18" s="67" t="n">
        <f aca="false">Expenses!K15</f>
        <v>4027.39726027397</v>
      </c>
      <c r="L18" s="67" t="n">
        <f aca="false">Expenses!L15</f>
        <v>4027.39726027397</v>
      </c>
      <c r="M18" s="67" t="n">
        <f aca="false">Expenses!M15</f>
        <v>4027.39726027397</v>
      </c>
      <c r="N18" s="66" t="n">
        <f aca="false">SUM(B18:M18)</f>
        <v>48328.7671232877</v>
      </c>
      <c r="O18" s="67" t="n">
        <f aca="false">Expenses!O15</f>
        <v>4439.6095890411</v>
      </c>
      <c r="P18" s="67" t="n">
        <f aca="false">Expenses!P15</f>
        <v>4439.6095890411</v>
      </c>
      <c r="Q18" s="67" t="n">
        <f aca="false">Expenses!Q15</f>
        <v>4439.6095890411</v>
      </c>
      <c r="R18" s="67" t="n">
        <f aca="false">Expenses!R15</f>
        <v>4439.6095890411</v>
      </c>
      <c r="S18" s="67" t="n">
        <f aca="false">Expenses!S15</f>
        <v>4439.6095890411</v>
      </c>
      <c r="T18" s="67" t="n">
        <f aca="false">Expenses!T15</f>
        <v>4439.6095890411</v>
      </c>
      <c r="U18" s="67" t="n">
        <f aca="false">Expenses!U15</f>
        <v>4439.6095890411</v>
      </c>
      <c r="V18" s="67" t="n">
        <f aca="false">Expenses!V15</f>
        <v>4439.6095890411</v>
      </c>
      <c r="W18" s="67" t="n">
        <f aca="false">Expenses!W15</f>
        <v>4439.6095890411</v>
      </c>
      <c r="X18" s="67" t="n">
        <f aca="false">Expenses!X15</f>
        <v>4439.6095890411</v>
      </c>
      <c r="Y18" s="67" t="n">
        <f aca="false">Expenses!Y15</f>
        <v>4439.6095890411</v>
      </c>
      <c r="Z18" s="67" t="n">
        <f aca="false">Expenses!Z15</f>
        <v>4439.6095890411</v>
      </c>
      <c r="AA18" s="66" t="n">
        <f aca="false">SUM(O18:Z18)</f>
        <v>53275.3150684932</v>
      </c>
      <c r="AB18" s="67" t="n">
        <f aca="false">Expenses!AB15</f>
        <v>4881.17794520548</v>
      </c>
      <c r="AC18" s="67" t="n">
        <f aca="false">Expenses!AC15</f>
        <v>4881.17794520548</v>
      </c>
      <c r="AD18" s="67" t="n">
        <f aca="false">Expenses!AD15</f>
        <v>4881.17794520548</v>
      </c>
      <c r="AE18" s="67" t="n">
        <f aca="false">Expenses!AE15</f>
        <v>4881.17794520548</v>
      </c>
      <c r="AF18" s="67" t="n">
        <f aca="false">Expenses!AF15</f>
        <v>4881.17794520548</v>
      </c>
      <c r="AG18" s="67" t="n">
        <f aca="false">Expenses!AG15</f>
        <v>4881.17794520548</v>
      </c>
      <c r="AH18" s="67" t="n">
        <f aca="false">Expenses!AH15</f>
        <v>4881.17794520548</v>
      </c>
      <c r="AI18" s="67" t="n">
        <f aca="false">Expenses!AI15</f>
        <v>4881.17794520548</v>
      </c>
      <c r="AJ18" s="67" t="n">
        <f aca="false">Expenses!AJ15</f>
        <v>4881.17794520548</v>
      </c>
      <c r="AK18" s="67" t="n">
        <f aca="false">Expenses!AK15</f>
        <v>4881.17794520548</v>
      </c>
      <c r="AL18" s="67" t="n">
        <f aca="false">Expenses!AL15</f>
        <v>4881.17794520548</v>
      </c>
      <c r="AM18" s="67" t="n">
        <f aca="false">Expenses!AM15</f>
        <v>4881.17794520548</v>
      </c>
      <c r="AN18" s="66" t="n">
        <f aca="false">SUM(AB18:AM18)</f>
        <v>58574.1353424657</v>
      </c>
      <c r="AO18" s="67" t="n">
        <f aca="false">Expenses!AO15</f>
        <v>5353.90694589041</v>
      </c>
      <c r="AP18" s="67" t="n">
        <f aca="false">Expenses!AP15</f>
        <v>5353.90694589041</v>
      </c>
      <c r="AQ18" s="67" t="n">
        <f aca="false">Expenses!AQ15</f>
        <v>5353.90694589041</v>
      </c>
      <c r="AR18" s="67" t="n">
        <f aca="false">Expenses!AR15</f>
        <v>5353.90694589041</v>
      </c>
      <c r="AS18" s="67" t="n">
        <f aca="false">Expenses!AS15</f>
        <v>5353.90694589041</v>
      </c>
      <c r="AT18" s="67" t="n">
        <f aca="false">Expenses!AT15</f>
        <v>5353.90694589041</v>
      </c>
      <c r="AU18" s="67" t="n">
        <f aca="false">Expenses!AU15</f>
        <v>5353.90694589041</v>
      </c>
      <c r="AV18" s="67" t="n">
        <f aca="false">Expenses!AV15</f>
        <v>5353.90694589041</v>
      </c>
      <c r="AW18" s="67" t="n">
        <f aca="false">Expenses!AW15</f>
        <v>5353.90694589041</v>
      </c>
      <c r="AX18" s="67" t="n">
        <f aca="false">Expenses!AX15</f>
        <v>5353.90694589041</v>
      </c>
      <c r="AY18" s="67" t="n">
        <f aca="false">Expenses!AY15</f>
        <v>5353.90694589041</v>
      </c>
      <c r="AZ18" s="67" t="n">
        <f aca="false">Expenses!AZ15</f>
        <v>5353.90694589041</v>
      </c>
      <c r="BA18" s="66" t="n">
        <f aca="false">SUM(AO18:AZ18)</f>
        <v>64246.8833506849</v>
      </c>
      <c r="BB18" s="67" t="n">
        <f aca="false">Expenses!BB15</f>
        <v>5859.70487712329</v>
      </c>
      <c r="BC18" s="67" t="n">
        <f aca="false">Expenses!BC15</f>
        <v>5859.70487712329</v>
      </c>
      <c r="BD18" s="67" t="n">
        <f aca="false">Expenses!BD15</f>
        <v>5859.70487712329</v>
      </c>
      <c r="BE18" s="67" t="n">
        <f aca="false">Expenses!BE15</f>
        <v>5859.70487712329</v>
      </c>
      <c r="BF18" s="67" t="n">
        <f aca="false">Expenses!BF15</f>
        <v>5859.70487712329</v>
      </c>
      <c r="BG18" s="67" t="n">
        <f aca="false">Expenses!BG15</f>
        <v>5859.70487712329</v>
      </c>
      <c r="BH18" s="67" t="n">
        <f aca="false">Expenses!BH15</f>
        <v>5859.70487712329</v>
      </c>
      <c r="BI18" s="67" t="n">
        <f aca="false">Expenses!BI15</f>
        <v>5859.70487712329</v>
      </c>
      <c r="BJ18" s="67" t="n">
        <f aca="false">Expenses!BJ15</f>
        <v>5859.70487712329</v>
      </c>
      <c r="BK18" s="67" t="n">
        <f aca="false">Expenses!BK15</f>
        <v>5859.70487712329</v>
      </c>
      <c r="BL18" s="67" t="n">
        <f aca="false">Expenses!BL15</f>
        <v>5859.70487712329</v>
      </c>
      <c r="BM18" s="67" t="n">
        <f aca="false">Expenses!BM15</f>
        <v>5859.70487712329</v>
      </c>
      <c r="BN18" s="66" t="n">
        <f aca="false">SUM(BB18:BM18)</f>
        <v>70316.4585254794</v>
      </c>
    </row>
    <row r="19" customFormat="false" ht="15" hidden="false" customHeight="true" outlineLevel="0" collapsed="false">
      <c r="A19" s="64" t="s">
        <v>363</v>
      </c>
      <c r="B19" s="65" t="n">
        <f aca="false">B16-B17-B18</f>
        <v>96602.602739726</v>
      </c>
      <c r="C19" s="65" t="n">
        <f aca="false">C16-C17-C18</f>
        <v>96602.602739726</v>
      </c>
      <c r="D19" s="65" t="n">
        <f aca="false">D16-D17-D18</f>
        <v>130442.602739726</v>
      </c>
      <c r="E19" s="65" t="n">
        <f aca="false">E16-E17-E18</f>
        <v>130442.602739726</v>
      </c>
      <c r="F19" s="65" t="n">
        <f aca="false">F16-F17-F18</f>
        <v>164282.602739726</v>
      </c>
      <c r="G19" s="65" t="n">
        <f aca="false">G16-G17-G18</f>
        <v>164282.602739726</v>
      </c>
      <c r="H19" s="65" t="n">
        <f aca="false">H16-H17-H18</f>
        <v>164282.602739726</v>
      </c>
      <c r="I19" s="65" t="n">
        <f aca="false">I16-I17-I18</f>
        <v>164282.602739726</v>
      </c>
      <c r="J19" s="65" t="n">
        <f aca="false">J16-J17-J18</f>
        <v>130442.602739726</v>
      </c>
      <c r="K19" s="65" t="n">
        <f aca="false">K16-K17-K18</f>
        <v>130442.602739726</v>
      </c>
      <c r="L19" s="65" t="n">
        <f aca="false">L16-L17-L18</f>
        <v>164282.602739726</v>
      </c>
      <c r="M19" s="65" t="n">
        <f aca="false">M16-M17-M18</f>
        <v>164282.602739726</v>
      </c>
      <c r="N19" s="66" t="n">
        <f aca="false">SUM(B19:M19)</f>
        <v>1700671.23287671</v>
      </c>
      <c r="O19" s="65" t="n">
        <f aca="false">O16-O17-O18</f>
        <v>132660.279299848</v>
      </c>
      <c r="P19" s="65" t="n">
        <f aca="false">P16-P17-P18</f>
        <v>132660.279299848</v>
      </c>
      <c r="Q19" s="65" t="n">
        <f aca="false">Q16-Q17-Q18</f>
        <v>171933.279299848</v>
      </c>
      <c r="R19" s="65" t="n">
        <f aca="false">R16-R17-R18</f>
        <v>171933.279299848</v>
      </c>
      <c r="S19" s="65" t="n">
        <f aca="false">S16-S17-S18</f>
        <v>211206.279299848</v>
      </c>
      <c r="T19" s="65" t="n">
        <f aca="false">T16-T17-T18</f>
        <v>211206.279299848</v>
      </c>
      <c r="U19" s="65" t="n">
        <f aca="false">U16-U17-U18</f>
        <v>211206.279299848</v>
      </c>
      <c r="V19" s="65" t="n">
        <f aca="false">V16-V17-V18</f>
        <v>211206.279299848</v>
      </c>
      <c r="W19" s="65" t="n">
        <f aca="false">W16-W17-W18</f>
        <v>171933.279299848</v>
      </c>
      <c r="X19" s="65" t="n">
        <f aca="false">X16-X17-X18</f>
        <v>171933.279299848</v>
      </c>
      <c r="Y19" s="65" t="n">
        <f aca="false">Y16-Y17-Y18</f>
        <v>211206.279299848</v>
      </c>
      <c r="Z19" s="65" t="n">
        <f aca="false">Z16-Z17-Z18</f>
        <v>211206.279299848</v>
      </c>
      <c r="AA19" s="66" t="n">
        <f aca="false">SUM(O19:Z19)</f>
        <v>2220291.35159817</v>
      </c>
      <c r="AB19" s="65" t="n">
        <f aca="false">AB16-AB17-AB18</f>
        <v>172452.199832572</v>
      </c>
      <c r="AC19" s="65" t="n">
        <f aca="false">AC16-AC17-AC18</f>
        <v>172452.199832572</v>
      </c>
      <c r="AD19" s="65" t="n">
        <f aca="false">AD16-AD17-AD18</f>
        <v>217734.499832572</v>
      </c>
      <c r="AE19" s="65" t="n">
        <f aca="false">AE16-AE17-AE18</f>
        <v>217734.499832572</v>
      </c>
      <c r="AF19" s="65" t="n">
        <f aca="false">AF16-AF17-AF18</f>
        <v>263016.799832572</v>
      </c>
      <c r="AG19" s="65" t="n">
        <f aca="false">AG16-AG17-AG18</f>
        <v>263016.799832572</v>
      </c>
      <c r="AH19" s="65" t="n">
        <f aca="false">AH16-AH17-AH18</f>
        <v>263016.799832572</v>
      </c>
      <c r="AI19" s="65" t="n">
        <f aca="false">AI16-AI17-AI18</f>
        <v>263016.799832572</v>
      </c>
      <c r="AJ19" s="65" t="n">
        <f aca="false">AJ16-AJ17-AJ18</f>
        <v>217734.499832572</v>
      </c>
      <c r="AK19" s="65" t="n">
        <f aca="false">AK16-AK17-AK18</f>
        <v>217734.499832572</v>
      </c>
      <c r="AL19" s="65" t="n">
        <f aca="false">AL16-AL17-AL18</f>
        <v>263016.799832572</v>
      </c>
      <c r="AM19" s="65" t="n">
        <f aca="false">AM16-AM17-AM18</f>
        <v>263016.799832572</v>
      </c>
      <c r="AN19" s="66" t="n">
        <f aca="false">SUM(AB19:AM19)</f>
        <v>2793943.19799087</v>
      </c>
      <c r="AO19" s="65" t="n">
        <f aca="false">AO16-AO17-AO18</f>
        <v>216300.007220776</v>
      </c>
      <c r="AP19" s="65" t="n">
        <f aca="false">AP16-AP17-AP18</f>
        <v>216300.007220776</v>
      </c>
      <c r="AQ19" s="65" t="n">
        <f aca="false">AQ16-AQ17-AQ18</f>
        <v>268216.034720777</v>
      </c>
      <c r="AR19" s="65" t="n">
        <f aca="false">AR16-AR17-AR18</f>
        <v>268216.034720777</v>
      </c>
      <c r="AS19" s="65" t="n">
        <f aca="false">AS16-AS17-AS18</f>
        <v>320132.062220777</v>
      </c>
      <c r="AT19" s="65" t="n">
        <f aca="false">AT16-AT17-AT18</f>
        <v>320132.062220777</v>
      </c>
      <c r="AU19" s="65" t="n">
        <f aca="false">AU16-AU17-AU18</f>
        <v>320132.062220777</v>
      </c>
      <c r="AV19" s="65" t="n">
        <f aca="false">AV16-AV17-AV18</f>
        <v>320132.062220777</v>
      </c>
      <c r="AW19" s="65" t="n">
        <f aca="false">AW16-AW17-AW18</f>
        <v>268216.034720777</v>
      </c>
      <c r="AX19" s="65" t="n">
        <f aca="false">AX16-AX17-AX18</f>
        <v>268216.034720777</v>
      </c>
      <c r="AY19" s="65" t="n">
        <f aca="false">AY16-AY17-AY18</f>
        <v>320132.062220777</v>
      </c>
      <c r="AZ19" s="65" t="n">
        <f aca="false">AZ16-AZ17-AZ18</f>
        <v>320132.062220777</v>
      </c>
      <c r="BA19" s="66" t="n">
        <f aca="false">SUM(AO19:AZ19)</f>
        <v>3426256.52664932</v>
      </c>
      <c r="BB19" s="65" t="n">
        <f aca="false">BB16-BB17-BB18</f>
        <v>264549.143308433</v>
      </c>
      <c r="BC19" s="65" t="n">
        <f aca="false">BC16-BC17-BC18</f>
        <v>264549.143308433</v>
      </c>
      <c r="BD19" s="65" t="n">
        <f aca="false">BD16-BD17-BD18</f>
        <v>323774.963548432</v>
      </c>
      <c r="BE19" s="65" t="n">
        <f aca="false">BE16-BE17-BE18</f>
        <v>323774.963548432</v>
      </c>
      <c r="BF19" s="65" t="n">
        <f aca="false">BF16-BF17-BF18</f>
        <v>383000.783788432</v>
      </c>
      <c r="BG19" s="65" t="n">
        <f aca="false">BG16-BG17-BG18</f>
        <v>383000.783788432</v>
      </c>
      <c r="BH19" s="65" t="n">
        <f aca="false">BH16-BH17-BH18</f>
        <v>383000.783788432</v>
      </c>
      <c r="BI19" s="65" t="n">
        <f aca="false">BI16-BI17-BI18</f>
        <v>383000.783788432</v>
      </c>
      <c r="BJ19" s="65" t="n">
        <f aca="false">BJ16-BJ17-BJ18</f>
        <v>323774.963548432</v>
      </c>
      <c r="BK19" s="65" t="n">
        <f aca="false">BK16-BK17-BK18</f>
        <v>323774.963548432</v>
      </c>
      <c r="BL19" s="65" t="n">
        <f aca="false">BL16-BL17-BL18</f>
        <v>383000.783788432</v>
      </c>
      <c r="BM19" s="65" t="n">
        <f aca="false">BM16-BM17-BM18</f>
        <v>383000.783788432</v>
      </c>
      <c r="BN19" s="66" t="n">
        <f aca="false">SUM(BB19:BM19)</f>
        <v>4122202.84354119</v>
      </c>
    </row>
    <row r="20" customFormat="false" ht="15" hidden="false" customHeight="true" outlineLevel="0" collapsed="false">
      <c r="A20" s="71" t="s">
        <v>364</v>
      </c>
      <c r="B20" s="70" t="n">
        <f aca="false">IF(B19&gt;0,B19*Assumptions!$C$14,0)</f>
        <v>24150.6506849315</v>
      </c>
      <c r="C20" s="70" t="n">
        <f aca="false">IF(C19&gt;0,C19*Assumptions!$C$14,0)</f>
        <v>24150.6506849315</v>
      </c>
      <c r="D20" s="70" t="n">
        <f aca="false">IF(D19&gt;0,D19*Assumptions!$C$14,0)</f>
        <v>32610.6506849315</v>
      </c>
      <c r="E20" s="70" t="n">
        <f aca="false">IF(E19&gt;0,E19*Assumptions!$C$14,0)</f>
        <v>32610.6506849315</v>
      </c>
      <c r="F20" s="70" t="n">
        <f aca="false">IF(F19&gt;0,F19*Assumptions!$C$14,0)</f>
        <v>41070.6506849315</v>
      </c>
      <c r="G20" s="70" t="n">
        <f aca="false">IF(G19&gt;0,G19*Assumptions!$C$14,0)</f>
        <v>41070.6506849315</v>
      </c>
      <c r="H20" s="70" t="n">
        <f aca="false">IF(H19&gt;0,H19*Assumptions!$C$14,0)</f>
        <v>41070.6506849315</v>
      </c>
      <c r="I20" s="70" t="n">
        <f aca="false">IF(I19&gt;0,I19*Assumptions!$C$14,0)</f>
        <v>41070.6506849315</v>
      </c>
      <c r="J20" s="70" t="n">
        <f aca="false">IF(J19&gt;0,J19*Assumptions!$C$14,0)</f>
        <v>32610.6506849315</v>
      </c>
      <c r="K20" s="70" t="n">
        <f aca="false">IF(K19&gt;0,K19*Assumptions!$C$14,0)</f>
        <v>32610.6506849315</v>
      </c>
      <c r="L20" s="70" t="n">
        <f aca="false">IF(L19&gt;0,L19*Assumptions!$C$14,0)</f>
        <v>41070.6506849315</v>
      </c>
      <c r="M20" s="70" t="n">
        <f aca="false">IF(M19&gt;0,M19*Assumptions!$C$14,0)</f>
        <v>41070.6506849315</v>
      </c>
      <c r="N20" s="66" t="n">
        <f aca="false">IF(N19&gt;0,N19*Assumptions!$C$14,0)</f>
        <v>425167.808219178</v>
      </c>
      <c r="O20" s="70" t="n">
        <f aca="false">IF(O19&gt;0,O19*Assumptions!$C$14,0)</f>
        <v>33165.0698249619</v>
      </c>
      <c r="P20" s="70" t="n">
        <f aca="false">IF(P19&gt;0,P19*Assumptions!$C$14,0)</f>
        <v>33165.0698249619</v>
      </c>
      <c r="Q20" s="70" t="n">
        <f aca="false">IF(Q19&gt;0,Q19*Assumptions!$C$14,0)</f>
        <v>42983.3198249619</v>
      </c>
      <c r="R20" s="70" t="n">
        <f aca="false">IF(R19&gt;0,R19*Assumptions!$C$14,0)</f>
        <v>42983.3198249619</v>
      </c>
      <c r="S20" s="70" t="n">
        <f aca="false">IF(S19&gt;0,S19*Assumptions!$C$14,0)</f>
        <v>52801.5698249619</v>
      </c>
      <c r="T20" s="70" t="n">
        <f aca="false">IF(T19&gt;0,T19*Assumptions!$C$14,0)</f>
        <v>52801.5698249619</v>
      </c>
      <c r="U20" s="70" t="n">
        <f aca="false">IF(U19&gt;0,U19*Assumptions!$C$14,0)</f>
        <v>52801.5698249619</v>
      </c>
      <c r="V20" s="70" t="n">
        <f aca="false">IF(V19&gt;0,V19*Assumptions!$C$14,0)</f>
        <v>52801.5698249619</v>
      </c>
      <c r="W20" s="70" t="n">
        <f aca="false">IF(W19&gt;0,W19*Assumptions!$C$14,0)</f>
        <v>42983.3198249619</v>
      </c>
      <c r="X20" s="70" t="n">
        <f aca="false">IF(X19&gt;0,X19*Assumptions!$C$14,0)</f>
        <v>42983.3198249619</v>
      </c>
      <c r="Y20" s="70" t="n">
        <f aca="false">IF(Y19&gt;0,Y19*Assumptions!$C$14,0)</f>
        <v>52801.5698249619</v>
      </c>
      <c r="Z20" s="70" t="n">
        <f aca="false">IF(Z19&gt;0,Z19*Assumptions!$C$14,0)</f>
        <v>52801.5698249619</v>
      </c>
      <c r="AA20" s="66" t="n">
        <f aca="false">IF(AA19&gt;0,AA19*Assumptions!$C$14,0)</f>
        <v>555072.837899543</v>
      </c>
      <c r="AB20" s="70" t="n">
        <f aca="false">IF(AB19&gt;0,AB19*Assumptions!$C$14,0)</f>
        <v>43113.0499581431</v>
      </c>
      <c r="AC20" s="70" t="n">
        <f aca="false">IF(AC19&gt;0,AC19*Assumptions!$C$14,0)</f>
        <v>43113.0499581431</v>
      </c>
      <c r="AD20" s="70" t="n">
        <f aca="false">IF(AD19&gt;0,AD19*Assumptions!$C$14,0)</f>
        <v>54433.6249581431</v>
      </c>
      <c r="AE20" s="70" t="n">
        <f aca="false">IF(AE19&gt;0,AE19*Assumptions!$C$14,0)</f>
        <v>54433.6249581431</v>
      </c>
      <c r="AF20" s="70" t="n">
        <f aca="false">IF(AF19&gt;0,AF19*Assumptions!$C$14,0)</f>
        <v>65754.1999581431</v>
      </c>
      <c r="AG20" s="70" t="n">
        <f aca="false">IF(AG19&gt;0,AG19*Assumptions!$C$14,0)</f>
        <v>65754.1999581431</v>
      </c>
      <c r="AH20" s="70" t="n">
        <f aca="false">IF(AH19&gt;0,AH19*Assumptions!$C$14,0)</f>
        <v>65754.1999581431</v>
      </c>
      <c r="AI20" s="70" t="n">
        <f aca="false">IF(AI19&gt;0,AI19*Assumptions!$C$14,0)</f>
        <v>65754.1999581431</v>
      </c>
      <c r="AJ20" s="70" t="n">
        <f aca="false">IF(AJ19&gt;0,AJ19*Assumptions!$C$14,0)</f>
        <v>54433.6249581431</v>
      </c>
      <c r="AK20" s="70" t="n">
        <f aca="false">IF(AK19&gt;0,AK19*Assumptions!$C$14,0)</f>
        <v>54433.6249581431</v>
      </c>
      <c r="AL20" s="70" t="n">
        <f aca="false">IF(AL19&gt;0,AL19*Assumptions!$C$14,0)</f>
        <v>65754.1999581431</v>
      </c>
      <c r="AM20" s="70" t="n">
        <f aca="false">IF(AM19&gt;0,AM19*Assumptions!$C$14,0)</f>
        <v>65754.1999581431</v>
      </c>
      <c r="AN20" s="66" t="n">
        <f aca="false">IF(AN19&gt;0,AN19*Assumptions!$C$14,0)</f>
        <v>698485.799497717</v>
      </c>
      <c r="AO20" s="70" t="n">
        <f aca="false">IF(AO19&gt;0,AO19*Assumptions!$C$14,0)</f>
        <v>54075.0018051941</v>
      </c>
      <c r="AP20" s="70" t="n">
        <f aca="false">IF(AP19&gt;0,AP19*Assumptions!$C$14,0)</f>
        <v>54075.0018051941</v>
      </c>
      <c r="AQ20" s="70" t="n">
        <f aca="false">IF(AQ19&gt;0,AQ19*Assumptions!$C$14,0)</f>
        <v>67054.0086801941</v>
      </c>
      <c r="AR20" s="70" t="n">
        <f aca="false">IF(AR19&gt;0,AR19*Assumptions!$C$14,0)</f>
        <v>67054.0086801941</v>
      </c>
      <c r="AS20" s="70" t="n">
        <f aca="false">IF(AS19&gt;0,AS19*Assumptions!$C$14,0)</f>
        <v>80033.0155551941</v>
      </c>
      <c r="AT20" s="70" t="n">
        <f aca="false">IF(AT19&gt;0,AT19*Assumptions!$C$14,0)</f>
        <v>80033.0155551941</v>
      </c>
      <c r="AU20" s="70" t="n">
        <f aca="false">IF(AU19&gt;0,AU19*Assumptions!$C$14,0)</f>
        <v>80033.0155551941</v>
      </c>
      <c r="AV20" s="70" t="n">
        <f aca="false">IF(AV19&gt;0,AV19*Assumptions!$C$14,0)</f>
        <v>80033.0155551941</v>
      </c>
      <c r="AW20" s="70" t="n">
        <f aca="false">IF(AW19&gt;0,AW19*Assumptions!$C$14,0)</f>
        <v>67054.0086801941</v>
      </c>
      <c r="AX20" s="70" t="n">
        <f aca="false">IF(AX19&gt;0,AX19*Assumptions!$C$14,0)</f>
        <v>67054.0086801941</v>
      </c>
      <c r="AY20" s="70" t="n">
        <f aca="false">IF(AY19&gt;0,AY19*Assumptions!$C$14,0)</f>
        <v>80033.0155551941</v>
      </c>
      <c r="AZ20" s="70" t="n">
        <f aca="false">IF(AZ19&gt;0,AZ19*Assumptions!$C$14,0)</f>
        <v>80033.0155551941</v>
      </c>
      <c r="BA20" s="66" t="n">
        <f aca="false">IF(BA19&gt;0,BA19*Assumptions!$C$14,0)</f>
        <v>856564.131662329</v>
      </c>
      <c r="BB20" s="70" t="n">
        <f aca="false">IF(BB19&gt;0,BB19*Assumptions!$C$14,0)</f>
        <v>66137.2858271081</v>
      </c>
      <c r="BC20" s="70" t="n">
        <f aca="false">IF(BC19&gt;0,BC19*Assumptions!$C$14,0)</f>
        <v>66137.2858271081</v>
      </c>
      <c r="BD20" s="70" t="n">
        <f aca="false">IF(BD19&gt;0,BD19*Assumptions!$C$14,0)</f>
        <v>80943.7408871081</v>
      </c>
      <c r="BE20" s="70" t="n">
        <f aca="false">IF(BE19&gt;0,BE19*Assumptions!$C$14,0)</f>
        <v>80943.7408871081</v>
      </c>
      <c r="BF20" s="70" t="n">
        <f aca="false">IF(BF19&gt;0,BF19*Assumptions!$C$14,0)</f>
        <v>95750.1959471081</v>
      </c>
      <c r="BG20" s="70" t="n">
        <f aca="false">IF(BG19&gt;0,BG19*Assumptions!$C$14,0)</f>
        <v>95750.1959471081</v>
      </c>
      <c r="BH20" s="70" t="n">
        <f aca="false">IF(BH19&gt;0,BH19*Assumptions!$C$14,0)</f>
        <v>95750.1959471081</v>
      </c>
      <c r="BI20" s="70" t="n">
        <f aca="false">IF(BI19&gt;0,BI19*Assumptions!$C$14,0)</f>
        <v>95750.1959471081</v>
      </c>
      <c r="BJ20" s="70" t="n">
        <f aca="false">IF(BJ19&gt;0,BJ19*Assumptions!$C$14,0)</f>
        <v>80943.7408871081</v>
      </c>
      <c r="BK20" s="70" t="n">
        <f aca="false">IF(BK19&gt;0,BK19*Assumptions!$C$14,0)</f>
        <v>80943.7408871081</v>
      </c>
      <c r="BL20" s="70" t="n">
        <f aca="false">IF(BL19&gt;0,BL19*Assumptions!$C$14,0)</f>
        <v>95750.1959471081</v>
      </c>
      <c r="BM20" s="70" t="n">
        <f aca="false">IF(BM19&gt;0,BM19*Assumptions!$C$14,0)</f>
        <v>95750.1959471081</v>
      </c>
      <c r="BN20" s="66" t="n">
        <f aca="false">IF(BN19&gt;0,BN19*Assumptions!$C$14,0)</f>
        <v>1030550.7108853</v>
      </c>
    </row>
    <row r="21" customFormat="false" ht="15" hidden="false" customHeight="true" outlineLevel="0" collapsed="false">
      <c r="A21" s="64" t="s">
        <v>365</v>
      </c>
      <c r="B21" s="66" t="n">
        <f aca="false">B19-B20</f>
        <v>72451.9520547945</v>
      </c>
      <c r="C21" s="66" t="n">
        <f aca="false">C19-C20</f>
        <v>72451.9520547945</v>
      </c>
      <c r="D21" s="66" t="n">
        <f aca="false">D19-D20</f>
        <v>97831.9520547945</v>
      </c>
      <c r="E21" s="66" t="n">
        <f aca="false">E19-E20</f>
        <v>97831.9520547945</v>
      </c>
      <c r="F21" s="66" t="n">
        <f aca="false">F19-F20</f>
        <v>123211.952054795</v>
      </c>
      <c r="G21" s="66" t="n">
        <f aca="false">G19-G20</f>
        <v>123211.952054795</v>
      </c>
      <c r="H21" s="66" t="n">
        <f aca="false">H19-H20</f>
        <v>123211.952054795</v>
      </c>
      <c r="I21" s="66" t="n">
        <f aca="false">I19-I20</f>
        <v>123211.952054795</v>
      </c>
      <c r="J21" s="66" t="n">
        <f aca="false">J19-J20</f>
        <v>97831.9520547945</v>
      </c>
      <c r="K21" s="66" t="n">
        <f aca="false">K19-K20</f>
        <v>97831.9520547945</v>
      </c>
      <c r="L21" s="66" t="n">
        <f aca="false">L19-L20</f>
        <v>123211.952054795</v>
      </c>
      <c r="M21" s="66" t="n">
        <f aca="false">M19-M20</f>
        <v>123211.952054795</v>
      </c>
      <c r="N21" s="66" t="n">
        <f aca="false">N19-N20</f>
        <v>1275503.42465753</v>
      </c>
      <c r="O21" s="66" t="n">
        <f aca="false">O19-O20</f>
        <v>99495.2094748858</v>
      </c>
      <c r="P21" s="66" t="n">
        <f aca="false">P19-P20</f>
        <v>99495.2094748858</v>
      </c>
      <c r="Q21" s="66" t="n">
        <f aca="false">Q19-Q20</f>
        <v>128949.959474886</v>
      </c>
      <c r="R21" s="66" t="n">
        <f aca="false">R19-R20</f>
        <v>128949.959474886</v>
      </c>
      <c r="S21" s="66" t="n">
        <f aca="false">S19-S20</f>
        <v>158404.709474886</v>
      </c>
      <c r="T21" s="66" t="n">
        <f aca="false">T19-T20</f>
        <v>158404.709474886</v>
      </c>
      <c r="U21" s="66" t="n">
        <f aca="false">U19-U20</f>
        <v>158404.709474886</v>
      </c>
      <c r="V21" s="66" t="n">
        <f aca="false">V19-V20</f>
        <v>158404.709474886</v>
      </c>
      <c r="W21" s="66" t="n">
        <f aca="false">W19-W20</f>
        <v>128949.959474886</v>
      </c>
      <c r="X21" s="66" t="n">
        <f aca="false">X19-X20</f>
        <v>128949.959474886</v>
      </c>
      <c r="Y21" s="66" t="n">
        <f aca="false">Y19-Y20</f>
        <v>158404.709474886</v>
      </c>
      <c r="Z21" s="66" t="n">
        <f aca="false">Z19-Z20</f>
        <v>158404.709474886</v>
      </c>
      <c r="AA21" s="66" t="n">
        <f aca="false">AA19-AA20</f>
        <v>1665218.51369863</v>
      </c>
      <c r="AB21" s="66" t="n">
        <f aca="false">AB19-AB20</f>
        <v>129339.149874429</v>
      </c>
      <c r="AC21" s="66" t="n">
        <f aca="false">AC19-AC20</f>
        <v>129339.149874429</v>
      </c>
      <c r="AD21" s="66" t="n">
        <f aca="false">AD19-AD20</f>
        <v>163300.874874429</v>
      </c>
      <c r="AE21" s="66" t="n">
        <f aca="false">AE19-AE20</f>
        <v>163300.874874429</v>
      </c>
      <c r="AF21" s="66" t="n">
        <f aca="false">AF19-AF20</f>
        <v>197262.599874429</v>
      </c>
      <c r="AG21" s="66" t="n">
        <f aca="false">AG19-AG20</f>
        <v>197262.599874429</v>
      </c>
      <c r="AH21" s="66" t="n">
        <f aca="false">AH19-AH20</f>
        <v>197262.599874429</v>
      </c>
      <c r="AI21" s="66" t="n">
        <f aca="false">AI19-AI20</f>
        <v>197262.599874429</v>
      </c>
      <c r="AJ21" s="66" t="n">
        <f aca="false">AJ19-AJ20</f>
        <v>163300.874874429</v>
      </c>
      <c r="AK21" s="66" t="n">
        <f aca="false">AK19-AK20</f>
        <v>163300.874874429</v>
      </c>
      <c r="AL21" s="66" t="n">
        <f aca="false">AL19-AL20</f>
        <v>197262.599874429</v>
      </c>
      <c r="AM21" s="66" t="n">
        <f aca="false">AM19-AM20</f>
        <v>197262.599874429</v>
      </c>
      <c r="AN21" s="66" t="n">
        <f aca="false">AN19-AN20</f>
        <v>2095457.39849315</v>
      </c>
      <c r="AO21" s="66" t="n">
        <f aca="false">AO19-AO20</f>
        <v>162225.005415582</v>
      </c>
      <c r="AP21" s="66" t="n">
        <f aca="false">AP19-AP20</f>
        <v>162225.005415582</v>
      </c>
      <c r="AQ21" s="66" t="n">
        <f aca="false">AQ19-AQ20</f>
        <v>201162.026040582</v>
      </c>
      <c r="AR21" s="66" t="n">
        <f aca="false">AR19-AR20</f>
        <v>201162.026040582</v>
      </c>
      <c r="AS21" s="66" t="n">
        <f aca="false">AS19-AS20</f>
        <v>240099.046665582</v>
      </c>
      <c r="AT21" s="66" t="n">
        <f aca="false">AT19-AT20</f>
        <v>240099.046665582</v>
      </c>
      <c r="AU21" s="66" t="n">
        <f aca="false">AU19-AU20</f>
        <v>240099.046665582</v>
      </c>
      <c r="AV21" s="66" t="n">
        <f aca="false">AV19-AV20</f>
        <v>240099.046665582</v>
      </c>
      <c r="AW21" s="66" t="n">
        <f aca="false">AW19-AW20</f>
        <v>201162.026040582</v>
      </c>
      <c r="AX21" s="66" t="n">
        <f aca="false">AX19-AX20</f>
        <v>201162.026040582</v>
      </c>
      <c r="AY21" s="66" t="n">
        <f aca="false">AY19-AY20</f>
        <v>240099.046665582</v>
      </c>
      <c r="AZ21" s="66" t="n">
        <f aca="false">AZ19-AZ20</f>
        <v>240099.046665582</v>
      </c>
      <c r="BA21" s="66" t="n">
        <f aca="false">BA19-BA20</f>
        <v>2569692.39498699</v>
      </c>
      <c r="BB21" s="66" t="n">
        <f aca="false">BB19-BB20</f>
        <v>198411.857481324</v>
      </c>
      <c r="BC21" s="66" t="n">
        <f aca="false">BC19-BC20</f>
        <v>198411.857481324</v>
      </c>
      <c r="BD21" s="66" t="n">
        <f aca="false">BD19-BD20</f>
        <v>242831.222661324</v>
      </c>
      <c r="BE21" s="66" t="n">
        <f aca="false">BE19-BE20</f>
        <v>242831.222661324</v>
      </c>
      <c r="BF21" s="66" t="n">
        <f aca="false">BF19-BF20</f>
        <v>287250.587841324</v>
      </c>
      <c r="BG21" s="66" t="n">
        <f aca="false">BG19-BG20</f>
        <v>287250.587841324</v>
      </c>
      <c r="BH21" s="66" t="n">
        <f aca="false">BH19-BH20</f>
        <v>287250.587841324</v>
      </c>
      <c r="BI21" s="66" t="n">
        <f aca="false">BI19-BI20</f>
        <v>287250.587841324</v>
      </c>
      <c r="BJ21" s="66" t="n">
        <f aca="false">BJ19-BJ20</f>
        <v>242831.222661324</v>
      </c>
      <c r="BK21" s="66" t="n">
        <f aca="false">BK19-BK20</f>
        <v>242831.222661324</v>
      </c>
      <c r="BL21" s="66" t="n">
        <f aca="false">BL19-BL20</f>
        <v>287250.587841324</v>
      </c>
      <c r="BM21" s="66" t="n">
        <f aca="false">BM19-BM20</f>
        <v>287250.587841324</v>
      </c>
      <c r="BN21" s="66" t="n">
        <f aca="false">BN19-BN20</f>
        <v>3091652.13265589</v>
      </c>
    </row>
    <row r="22" customFormat="false" ht="15" hidden="false" customHeight="true" outlineLevel="0" collapsed="false">
      <c r="A22" s="64" t="s">
        <v>366</v>
      </c>
      <c r="B22" s="65" t="n">
        <f aca="false">B21+B15</f>
        <v>81201.9520547945</v>
      </c>
      <c r="C22" s="65" t="n">
        <f aca="false">C21+C15</f>
        <v>81201.9520547945</v>
      </c>
      <c r="D22" s="65" t="n">
        <f aca="false">D21+D15</f>
        <v>106581.952054795</v>
      </c>
      <c r="E22" s="65" t="n">
        <f aca="false">E21+E15</f>
        <v>106581.952054795</v>
      </c>
      <c r="F22" s="65" t="n">
        <f aca="false">F21+F15</f>
        <v>131961.952054795</v>
      </c>
      <c r="G22" s="65" t="n">
        <f aca="false">G21+G15</f>
        <v>131961.952054795</v>
      </c>
      <c r="H22" s="65" t="n">
        <f aca="false">H21+H15</f>
        <v>131961.952054795</v>
      </c>
      <c r="I22" s="65" t="n">
        <f aca="false">I21+I15</f>
        <v>131961.952054795</v>
      </c>
      <c r="J22" s="65" t="n">
        <f aca="false">J21+J15</f>
        <v>106581.952054795</v>
      </c>
      <c r="K22" s="65" t="n">
        <f aca="false">K21+K15</f>
        <v>106581.952054795</v>
      </c>
      <c r="L22" s="65" t="n">
        <f aca="false">L21+L15</f>
        <v>131961.952054795</v>
      </c>
      <c r="M22" s="65" t="n">
        <f aca="false">M21+M15</f>
        <v>131961.952054795</v>
      </c>
      <c r="N22" s="66" t="n">
        <f aca="false">N21+N15</f>
        <v>1380503.42465753</v>
      </c>
      <c r="O22" s="65" t="n">
        <f aca="false">O21+O15</f>
        <v>108245.209474886</v>
      </c>
      <c r="P22" s="65" t="n">
        <f aca="false">P21+P15</f>
        <v>108245.209474886</v>
      </c>
      <c r="Q22" s="65" t="n">
        <f aca="false">Q21+Q15</f>
        <v>137699.959474886</v>
      </c>
      <c r="R22" s="65" t="n">
        <f aca="false">R21+R15</f>
        <v>137699.959474886</v>
      </c>
      <c r="S22" s="65" t="n">
        <f aca="false">S21+S15</f>
        <v>167154.709474886</v>
      </c>
      <c r="T22" s="65" t="n">
        <f aca="false">T21+T15</f>
        <v>167154.709474886</v>
      </c>
      <c r="U22" s="65" t="n">
        <f aca="false">U21+U15</f>
        <v>167154.709474886</v>
      </c>
      <c r="V22" s="65" t="n">
        <f aca="false">V21+V15</f>
        <v>167154.709474886</v>
      </c>
      <c r="W22" s="65" t="n">
        <f aca="false">W21+W15</f>
        <v>137699.959474886</v>
      </c>
      <c r="X22" s="65" t="n">
        <f aca="false">X21+X15</f>
        <v>137699.959474886</v>
      </c>
      <c r="Y22" s="65" t="n">
        <f aca="false">Y21+Y15</f>
        <v>167154.709474886</v>
      </c>
      <c r="Z22" s="65" t="n">
        <f aca="false">Z21+Z15</f>
        <v>167154.709474886</v>
      </c>
      <c r="AA22" s="66" t="n">
        <f aca="false">AA21+AA15</f>
        <v>1770218.51369863</v>
      </c>
      <c r="AB22" s="65" t="n">
        <f aca="false">AB21+AB15</f>
        <v>138089.149874429</v>
      </c>
      <c r="AC22" s="65" t="n">
        <f aca="false">AC21+AC15</f>
        <v>138089.149874429</v>
      </c>
      <c r="AD22" s="65" t="n">
        <f aca="false">AD21+AD15</f>
        <v>172050.874874429</v>
      </c>
      <c r="AE22" s="65" t="n">
        <f aca="false">AE21+AE15</f>
        <v>172050.874874429</v>
      </c>
      <c r="AF22" s="65" t="n">
        <f aca="false">AF21+AF15</f>
        <v>206012.599874429</v>
      </c>
      <c r="AG22" s="65" t="n">
        <f aca="false">AG21+AG15</f>
        <v>206012.599874429</v>
      </c>
      <c r="AH22" s="65" t="n">
        <f aca="false">AH21+AH15</f>
        <v>206012.599874429</v>
      </c>
      <c r="AI22" s="65" t="n">
        <f aca="false">AI21+AI15</f>
        <v>206012.599874429</v>
      </c>
      <c r="AJ22" s="65" t="n">
        <f aca="false">AJ21+AJ15</f>
        <v>172050.874874429</v>
      </c>
      <c r="AK22" s="65" t="n">
        <f aca="false">AK21+AK15</f>
        <v>172050.874874429</v>
      </c>
      <c r="AL22" s="65" t="n">
        <f aca="false">AL21+AL15</f>
        <v>206012.599874429</v>
      </c>
      <c r="AM22" s="65" t="n">
        <f aca="false">AM21+AM15</f>
        <v>206012.599874429</v>
      </c>
      <c r="AN22" s="66" t="n">
        <f aca="false">AN21+AN15</f>
        <v>2200457.39849315</v>
      </c>
      <c r="AO22" s="65" t="n">
        <f aca="false">AO21+AO15</f>
        <v>170975.005415582</v>
      </c>
      <c r="AP22" s="65" t="n">
        <f aca="false">AP21+AP15</f>
        <v>170975.005415582</v>
      </c>
      <c r="AQ22" s="65" t="n">
        <f aca="false">AQ21+AQ15</f>
        <v>209912.026040582</v>
      </c>
      <c r="AR22" s="65" t="n">
        <f aca="false">AR21+AR15</f>
        <v>209912.026040582</v>
      </c>
      <c r="AS22" s="65" t="n">
        <f aca="false">AS21+AS15</f>
        <v>248849.046665582</v>
      </c>
      <c r="AT22" s="65" t="n">
        <f aca="false">AT21+AT15</f>
        <v>248849.046665582</v>
      </c>
      <c r="AU22" s="65" t="n">
        <f aca="false">AU21+AU15</f>
        <v>248849.046665582</v>
      </c>
      <c r="AV22" s="65" t="n">
        <f aca="false">AV21+AV15</f>
        <v>248849.046665582</v>
      </c>
      <c r="AW22" s="65" t="n">
        <f aca="false">AW21+AW15</f>
        <v>209912.026040582</v>
      </c>
      <c r="AX22" s="65" t="n">
        <f aca="false">AX21+AX15</f>
        <v>209912.026040582</v>
      </c>
      <c r="AY22" s="65" t="n">
        <f aca="false">AY21+AY15</f>
        <v>248849.046665582</v>
      </c>
      <c r="AZ22" s="65" t="n">
        <f aca="false">AZ21+AZ15</f>
        <v>248849.046665582</v>
      </c>
      <c r="BA22" s="66" t="n">
        <f aca="false">BA21+BA15</f>
        <v>2674692.39498699</v>
      </c>
      <c r="BB22" s="65" t="n">
        <f aca="false">BB21+BB15</f>
        <v>207161.857481324</v>
      </c>
      <c r="BC22" s="65" t="n">
        <f aca="false">BC21+BC15</f>
        <v>207161.857481324</v>
      </c>
      <c r="BD22" s="65" t="n">
        <f aca="false">BD21+BD15</f>
        <v>251581.222661324</v>
      </c>
      <c r="BE22" s="65" t="n">
        <f aca="false">BE21+BE15</f>
        <v>251581.222661324</v>
      </c>
      <c r="BF22" s="65" t="n">
        <f aca="false">BF21+BF15</f>
        <v>296000.587841324</v>
      </c>
      <c r="BG22" s="65" t="n">
        <f aca="false">BG21+BG15</f>
        <v>296000.587841324</v>
      </c>
      <c r="BH22" s="65" t="n">
        <f aca="false">BH21+BH15</f>
        <v>296000.587841324</v>
      </c>
      <c r="BI22" s="65" t="n">
        <f aca="false">BI21+BI15</f>
        <v>296000.587841324</v>
      </c>
      <c r="BJ22" s="65" t="n">
        <f aca="false">BJ21+BJ15</f>
        <v>251581.222661324</v>
      </c>
      <c r="BK22" s="65" t="n">
        <f aca="false">BK21+BK15</f>
        <v>251581.222661324</v>
      </c>
      <c r="BL22" s="65" t="n">
        <f aca="false">BL21+BL15</f>
        <v>296000.587841324</v>
      </c>
      <c r="BM22" s="65" t="n">
        <f aca="false">BM21+BM15</f>
        <v>296000.587841324</v>
      </c>
      <c r="BN22" s="66" t="n">
        <f aca="false">BN21+BN15</f>
        <v>3196652.13265589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367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368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372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Production (units)</v>
      </c>
      <c r="C6" s="67" t="n">
        <f aca="false">Production!N6</f>
        <v>7200</v>
      </c>
      <c r="D6" s="67" t="n">
        <f aca="false">Production!AA6</f>
        <v>7800</v>
      </c>
      <c r="E6" s="67" t="n">
        <f aca="false">Production!AN6</f>
        <v>8400</v>
      </c>
      <c r="F6" s="67" t="n">
        <f aca="false">Production!BA6</f>
        <v>9000</v>
      </c>
      <c r="G6" s="67" t="n">
        <f aca="false">Production!BN6</f>
        <v>9600</v>
      </c>
    </row>
    <row r="7" customFormat="false" ht="15" hidden="false" customHeight="true" outlineLevel="0" collapsed="false">
      <c r="B7" s="7" t="s">
        <v>334</v>
      </c>
      <c r="C7" s="62" t="n">
        <f aca="false">Assumptions!$C$18</f>
        <v>0.6</v>
      </c>
      <c r="D7" s="62" t="n">
        <f aca="false">Assumptions!$D$18</f>
        <v>0.65</v>
      </c>
      <c r="E7" s="62" t="n">
        <f aca="false">Assumptions!$E$18</f>
        <v>0.7</v>
      </c>
      <c r="F7" s="62" t="n">
        <f aca="false">Assumptions!$F$18</f>
        <v>0.75</v>
      </c>
      <c r="G7" s="62" t="n">
        <f aca="false">Assumptions!$G$18</f>
        <v>0.8</v>
      </c>
    </row>
    <row r="8" customFormat="false" ht="15" hidden="false" customHeight="true" outlineLevel="0" collapsed="false">
      <c r="B8" s="64" t="s">
        <v>339</v>
      </c>
      <c r="C8" s="74" t="n">
        <f aca="false">Sales!N7</f>
        <v>10800000</v>
      </c>
      <c r="D8" s="74" t="n">
        <f aca="false">Sales!AA7</f>
        <v>12285000</v>
      </c>
      <c r="E8" s="74" t="n">
        <f aca="false">Sales!AN7</f>
        <v>13891500</v>
      </c>
      <c r="F8" s="74" t="n">
        <f aca="false">Sales!BA7</f>
        <v>15627937.5</v>
      </c>
      <c r="G8" s="74" t="n">
        <f aca="false">Sales!BN7</f>
        <v>17503290</v>
      </c>
    </row>
    <row r="9" customFormat="false" ht="16.5" hidden="false" customHeight="true" outlineLevel="0" collapsed="false">
      <c r="B9" s="73" t="s">
        <v>373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Raw materials</v>
      </c>
      <c r="C10" s="67" t="n">
        <f aca="false">Expenses!N5</f>
        <v>6480000</v>
      </c>
      <c r="D10" s="67" t="n">
        <f aca="false">Expenses!AA5</f>
        <v>7300800</v>
      </c>
      <c r="E10" s="67" t="n">
        <f aca="false">Expenses!AN5</f>
        <v>8176896</v>
      </c>
      <c r="F10" s="67" t="n">
        <f aca="false">Expenses!BA5</f>
        <v>9111398.4</v>
      </c>
      <c r="G10" s="67" t="n">
        <f aca="false">Expenses!BN5</f>
        <v>10107577.9584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360000</v>
      </c>
      <c r="D11" s="67" t="n">
        <f aca="false">Expenses!AA6</f>
        <v>405600</v>
      </c>
      <c r="E11" s="67" t="n">
        <f aca="false">Expenses!AN6</f>
        <v>454272</v>
      </c>
      <c r="F11" s="67" t="n">
        <f aca="false">Expenses!BA6</f>
        <v>506188.8</v>
      </c>
      <c r="G11" s="67" t="n">
        <f aca="false">Expenses!BN6</f>
        <v>561532.1088</v>
      </c>
    </row>
    <row r="12" customFormat="false" ht="15" hidden="false" customHeight="true" outlineLevel="0" collapsed="false">
      <c r="B12" s="7" t="s">
        <v>342</v>
      </c>
      <c r="C12" s="67" t="n">
        <f aca="false">Expenses!N7</f>
        <v>720000</v>
      </c>
      <c r="D12" s="67" t="n">
        <f aca="false">Expenses!AA7</f>
        <v>756000</v>
      </c>
      <c r="E12" s="67" t="n">
        <f aca="false">Expenses!AN7</f>
        <v>793800</v>
      </c>
      <c r="F12" s="67" t="n">
        <f aca="false">Expenses!BA7</f>
        <v>833490</v>
      </c>
      <c r="G12" s="67" t="n">
        <f aca="false">Expenses!BN7</f>
        <v>875164.5</v>
      </c>
    </row>
    <row r="13" customFormat="false" ht="15" hidden="false" customHeight="true" outlineLevel="0" collapsed="false">
      <c r="B13" s="7" t="s">
        <v>343</v>
      </c>
      <c r="C13" s="67" t="n">
        <f aca="false">Expenses!N8</f>
        <v>360000</v>
      </c>
      <c r="D13" s="67" t="n">
        <f aca="false">Expenses!AA8</f>
        <v>405600</v>
      </c>
      <c r="E13" s="67" t="n">
        <f aca="false">Expenses!AN8</f>
        <v>454272</v>
      </c>
      <c r="F13" s="67" t="n">
        <f aca="false">Expenses!BA8</f>
        <v>506188.8</v>
      </c>
      <c r="G13" s="67" t="n">
        <f aca="false">Expenses!BN8</f>
        <v>561532.1088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Factory overheads</v>
      </c>
      <c r="C14" s="67" t="n">
        <f aca="false">Expenses!N9</f>
        <v>360000</v>
      </c>
      <c r="D14" s="67" t="n">
        <f aca="false">Expenses!AA9</f>
        <v>378000</v>
      </c>
      <c r="E14" s="67" t="n">
        <f aca="false">Expenses!AN9</f>
        <v>396900</v>
      </c>
      <c r="F14" s="67" t="n">
        <f aca="false">Expenses!BA9</f>
        <v>416745</v>
      </c>
      <c r="G14" s="67" t="n">
        <f aca="false">Expenses!BN9</f>
        <v>437582.25</v>
      </c>
    </row>
    <row r="15" customFormat="false" ht="15" hidden="false" customHeight="true" outlineLevel="0" collapsed="false">
      <c r="B15" s="7" t="s">
        <v>344</v>
      </c>
      <c r="C15" s="67" t="n">
        <f aca="false">Expenses!N10</f>
        <v>60000</v>
      </c>
      <c r="D15" s="67" t="n">
        <f aca="false">Expenses!AA10</f>
        <v>62400</v>
      </c>
      <c r="E15" s="67" t="n">
        <f aca="false">Expenses!AN10</f>
        <v>64896</v>
      </c>
      <c r="F15" s="67" t="n">
        <f aca="false">Expenses!BA10</f>
        <v>67491.84</v>
      </c>
      <c r="G15" s="67" t="n">
        <f aca="false">Expenses!BN10</f>
        <v>70191.5136</v>
      </c>
    </row>
    <row r="16" customFormat="false" ht="15" hidden="false" customHeight="true" outlineLevel="0" collapsed="false">
      <c r="B16" s="7" t="s">
        <v>345</v>
      </c>
      <c r="C16" s="67" t="n">
        <f aca="false">Expenses!N11</f>
        <v>180000</v>
      </c>
      <c r="D16" s="67" t="n">
        <f aca="false">Expenses!AA11</f>
        <v>189000</v>
      </c>
      <c r="E16" s="67" t="n">
        <f aca="false">Expenses!AN11</f>
        <v>198450</v>
      </c>
      <c r="F16" s="67" t="n">
        <f aca="false">Expenses!BA11</f>
        <v>208372.5</v>
      </c>
      <c r="G16" s="67" t="n">
        <f aca="false">Expenses!BN11</f>
        <v>218791.125</v>
      </c>
    </row>
    <row r="17" customFormat="false" ht="15" hidden="false" customHeight="true" outlineLevel="0" collapsed="false">
      <c r="B17" s="7" t="s">
        <v>254</v>
      </c>
      <c r="C17" s="67" t="n">
        <f aca="false">Expenses!N12</f>
        <v>216000</v>
      </c>
      <c r="D17" s="67" t="n">
        <f aca="false">Expenses!AA12</f>
        <v>245700</v>
      </c>
      <c r="E17" s="67" t="n">
        <f aca="false">Expenses!AN12</f>
        <v>277830</v>
      </c>
      <c r="F17" s="67" t="n">
        <f aca="false">Expenses!BA12</f>
        <v>312558.75</v>
      </c>
      <c r="G17" s="67" t="n">
        <f aca="false">Expenses!BN12</f>
        <v>350065.8</v>
      </c>
    </row>
    <row r="18" customFormat="false" ht="15" hidden="false" customHeight="true" outlineLevel="0" collapsed="false">
      <c r="B18" s="7" t="s">
        <v>346</v>
      </c>
      <c r="C18" s="67" t="n">
        <f aca="false">Expenses!N13</f>
        <v>105000</v>
      </c>
      <c r="D18" s="67" t="n">
        <f aca="false">Expenses!AA13</f>
        <v>105000</v>
      </c>
      <c r="E18" s="67" t="n">
        <f aca="false">Expenses!AN13</f>
        <v>105000</v>
      </c>
      <c r="F18" s="67" t="n">
        <f aca="false">Expenses!BA13</f>
        <v>105000</v>
      </c>
      <c r="G18" s="67" t="n">
        <f aca="false">Expenses!BN13</f>
        <v>105000</v>
      </c>
    </row>
    <row r="19" customFormat="false" ht="15" hidden="false" customHeight="true" outlineLevel="0" collapsed="false">
      <c r="B19" s="7" t="s">
        <v>347</v>
      </c>
      <c r="C19" s="67" t="n">
        <f aca="false">Expenses!N14</f>
        <v>210000</v>
      </c>
      <c r="D19" s="67" t="n">
        <f aca="false">Expenses!AA14</f>
        <v>163333.333333333</v>
      </c>
      <c r="E19" s="67" t="n">
        <f aca="false">Expenses!AN14</f>
        <v>116666.666666667</v>
      </c>
      <c r="F19" s="67" t="n">
        <f aca="false">Expenses!BA14</f>
        <v>70000</v>
      </c>
      <c r="G19" s="67" t="n">
        <f aca="false">Expenses!BN14</f>
        <v>23333.3333333333</v>
      </c>
    </row>
    <row r="20" customFormat="false" ht="15" hidden="false" customHeight="true" outlineLevel="0" collapsed="false">
      <c r="B20" s="7" t="s">
        <v>348</v>
      </c>
      <c r="C20" s="67" t="n">
        <f aca="false">Expenses!N15</f>
        <v>48328.7671232877</v>
      </c>
      <c r="D20" s="67" t="n">
        <f aca="false">Expenses!AA15</f>
        <v>53275.3150684932</v>
      </c>
      <c r="E20" s="67" t="n">
        <f aca="false">Expenses!AN15</f>
        <v>58574.1353424657</v>
      </c>
      <c r="F20" s="67" t="n">
        <f aca="false">Expenses!BA15</f>
        <v>64246.8833506849</v>
      </c>
      <c r="G20" s="67" t="n">
        <f aca="false">Expenses!BN15</f>
        <v>70316.4585254794</v>
      </c>
    </row>
    <row r="21" customFormat="false" ht="16.5" hidden="false" customHeight="true" outlineLevel="0" collapsed="false">
      <c r="B21" s="73" t="s">
        <v>374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358</v>
      </c>
      <c r="C22" s="74" t="n">
        <f aca="false">Profit!N14</f>
        <v>2064000</v>
      </c>
      <c r="D22" s="74" t="n">
        <f aca="false">Profit!AA14</f>
        <v>2541900</v>
      </c>
      <c r="E22" s="74" t="n">
        <f aca="false">Profit!AN14</f>
        <v>3074184</v>
      </c>
      <c r="F22" s="74" t="n">
        <f aca="false">Profit!BA14</f>
        <v>3665503.41</v>
      </c>
      <c r="G22" s="74" t="n">
        <f aca="false">Profit!BN14</f>
        <v>4320852.6354</v>
      </c>
    </row>
    <row r="23" customFormat="false" ht="15" hidden="false" customHeight="true" outlineLevel="0" collapsed="false">
      <c r="B23" s="64" t="s">
        <v>360</v>
      </c>
      <c r="C23" s="74" t="n">
        <f aca="false">Profit!N16</f>
        <v>1959000</v>
      </c>
      <c r="D23" s="74" t="n">
        <f aca="false">Profit!AA16</f>
        <v>2436900</v>
      </c>
      <c r="E23" s="74" t="n">
        <f aca="false">Profit!AN16</f>
        <v>2969184</v>
      </c>
      <c r="F23" s="74" t="n">
        <f aca="false">Profit!BA16</f>
        <v>3560503.41</v>
      </c>
      <c r="G23" s="74" t="n">
        <f aca="false">Profit!BN16</f>
        <v>4215852.6354</v>
      </c>
    </row>
    <row r="24" customFormat="false" ht="15" hidden="false" customHeight="true" outlineLevel="0" collapsed="false">
      <c r="B24" s="64" t="s">
        <v>375</v>
      </c>
      <c r="C24" s="74" t="n">
        <f aca="false">Profit!N19</f>
        <v>1700671.23287671</v>
      </c>
      <c r="D24" s="74" t="n">
        <f aca="false">Profit!AA19</f>
        <v>2220291.35159817</v>
      </c>
      <c r="E24" s="74" t="n">
        <f aca="false">Profit!AN19</f>
        <v>2793943.19799087</v>
      </c>
      <c r="F24" s="74" t="n">
        <f aca="false">Profit!BA19</f>
        <v>3426256.52664932</v>
      </c>
      <c r="G24" s="74" t="n">
        <f aca="false">Profit!BN19</f>
        <v>4122202.84354119</v>
      </c>
    </row>
    <row r="25" customFormat="false" ht="15" hidden="false" customHeight="true" outlineLevel="0" collapsed="false">
      <c r="B25" s="7" t="s">
        <v>376</v>
      </c>
      <c r="C25" s="67" t="n">
        <f aca="false">Profit!N20</f>
        <v>425167.808219178</v>
      </c>
      <c r="D25" s="67" t="n">
        <f aca="false">Profit!AA20</f>
        <v>555072.837899543</v>
      </c>
      <c r="E25" s="67" t="n">
        <f aca="false">Profit!AN20</f>
        <v>698485.799497717</v>
      </c>
      <c r="F25" s="67" t="n">
        <f aca="false">Profit!BA20</f>
        <v>856564.131662329</v>
      </c>
      <c r="G25" s="67" t="n">
        <f aca="false">Profit!BN20</f>
        <v>1030550.7108853</v>
      </c>
    </row>
    <row r="26" customFormat="false" ht="15" hidden="false" customHeight="true" outlineLevel="0" collapsed="false">
      <c r="B26" s="64" t="s">
        <v>365</v>
      </c>
      <c r="C26" s="74" t="n">
        <f aca="false">Profit!N21</f>
        <v>1275503.42465753</v>
      </c>
      <c r="D26" s="74" t="n">
        <f aca="false">Profit!AA21</f>
        <v>1665218.51369863</v>
      </c>
      <c r="E26" s="74" t="n">
        <f aca="false">Profit!AN21</f>
        <v>2095457.39849315</v>
      </c>
      <c r="F26" s="74" t="n">
        <f aca="false">Profit!BA21</f>
        <v>2569692.39498699</v>
      </c>
      <c r="G26" s="74" t="n">
        <f aca="false">Profit!BN21</f>
        <v>3091652.13265589</v>
      </c>
    </row>
    <row r="27" customFormat="false" ht="15" hidden="false" customHeight="true" outlineLevel="0" collapsed="false">
      <c r="B27" s="64" t="s">
        <v>366</v>
      </c>
      <c r="C27" s="74" t="n">
        <f aca="false">Profit!N22</f>
        <v>1380503.42465753</v>
      </c>
      <c r="D27" s="74" t="n">
        <f aca="false">Profit!AA22</f>
        <v>1770218.51369863</v>
      </c>
      <c r="E27" s="74" t="n">
        <f aca="false">Profit!AN22</f>
        <v>2200457.39849315</v>
      </c>
      <c r="F27" s="74" t="n">
        <f aca="false">Profit!BA22</f>
        <v>2674692.39498699</v>
      </c>
      <c r="G27" s="74" t="n">
        <f aca="false">Profit!BN22</f>
        <v>3196652.13265589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64" t="s">
        <v>352</v>
      </c>
      <c r="C5" s="74" t="n">
        <f aca="false">Annual_Summary!C8</f>
        <v>10800000</v>
      </c>
      <c r="D5" s="74" t="n">
        <f aca="false">Annual_Summary!D8</f>
        <v>12285000</v>
      </c>
      <c r="E5" s="74" t="n">
        <f aca="false">Annual_Summary!E8</f>
        <v>13891500</v>
      </c>
      <c r="F5" s="74" t="n">
        <f aca="false">Annual_Summary!F8</f>
        <v>15627937.5</v>
      </c>
      <c r="G5" s="74" t="n">
        <f aca="false">Annual_Summary!G8</f>
        <v>17503290</v>
      </c>
    </row>
    <row r="6" customFormat="false" ht="16.5" hidden="false" customHeight="true" outlineLevel="0" collapsed="false">
      <c r="B6" s="73" t="s">
        <v>379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Raw materials</v>
      </c>
      <c r="C7" s="67" t="n">
        <f aca="false">Annual_Summary!C10</f>
        <v>6480000</v>
      </c>
      <c r="D7" s="67" t="n">
        <f aca="false">Annual_Summary!D10</f>
        <v>7300800</v>
      </c>
      <c r="E7" s="67" t="n">
        <f aca="false">Annual_Summary!E10</f>
        <v>8176896</v>
      </c>
      <c r="F7" s="67" t="n">
        <f aca="false">Annual_Summary!F10</f>
        <v>9111398.4</v>
      </c>
      <c r="G7" s="67" t="n">
        <f aca="false">Annual_Summary!G10</f>
        <v>10107577.9584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360000</v>
      </c>
      <c r="D8" s="67" t="n">
        <f aca="false">Annual_Summary!D11</f>
        <v>405600</v>
      </c>
      <c r="E8" s="67" t="n">
        <f aca="false">Annual_Summary!E11</f>
        <v>454272</v>
      </c>
      <c r="F8" s="67" t="n">
        <f aca="false">Annual_Summary!F11</f>
        <v>506188.8</v>
      </c>
      <c r="G8" s="67" t="n">
        <f aca="false">Annual_Summary!G11</f>
        <v>561532.1088</v>
      </c>
    </row>
    <row r="9" customFormat="false" ht="15" hidden="false" customHeight="true" outlineLevel="0" collapsed="false">
      <c r="B9" s="71" t="s">
        <v>342</v>
      </c>
      <c r="C9" s="67" t="n">
        <f aca="false">Annual_Summary!C12</f>
        <v>720000</v>
      </c>
      <c r="D9" s="67" t="n">
        <f aca="false">Annual_Summary!D12</f>
        <v>756000</v>
      </c>
      <c r="E9" s="67" t="n">
        <f aca="false">Annual_Summary!E12</f>
        <v>793800</v>
      </c>
      <c r="F9" s="67" t="n">
        <f aca="false">Annual_Summary!F12</f>
        <v>833490</v>
      </c>
      <c r="G9" s="67" t="n">
        <f aca="false">Annual_Summary!G12</f>
        <v>875164.5</v>
      </c>
    </row>
    <row r="10" customFormat="false" ht="15" hidden="false" customHeight="true" outlineLevel="0" collapsed="false">
      <c r="B10" s="71" t="s">
        <v>343</v>
      </c>
      <c r="C10" s="67" t="n">
        <f aca="false">Annual_Summary!C13</f>
        <v>360000</v>
      </c>
      <c r="D10" s="67" t="n">
        <f aca="false">Annual_Summary!D13</f>
        <v>405600</v>
      </c>
      <c r="E10" s="67" t="n">
        <f aca="false">Annual_Summary!E13</f>
        <v>454272</v>
      </c>
      <c r="F10" s="67" t="n">
        <f aca="false">Annual_Summary!F13</f>
        <v>506188.8</v>
      </c>
      <c r="G10" s="67" t="n">
        <f aca="false">Annual_Summary!G13</f>
        <v>561532.1088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Factory overheads</v>
      </c>
      <c r="C11" s="67" t="n">
        <f aca="false">Annual_Summary!C14</f>
        <v>360000</v>
      </c>
      <c r="D11" s="67" t="n">
        <f aca="false">Annual_Summary!D14</f>
        <v>378000</v>
      </c>
      <c r="E11" s="67" t="n">
        <f aca="false">Annual_Summary!E14</f>
        <v>396900</v>
      </c>
      <c r="F11" s="67" t="n">
        <f aca="false">Annual_Summary!F14</f>
        <v>416745</v>
      </c>
      <c r="G11" s="67" t="n">
        <f aca="false">Annual_Summary!G14</f>
        <v>437582.25</v>
      </c>
    </row>
    <row r="12" customFormat="false" ht="15" hidden="false" customHeight="true" outlineLevel="0" collapsed="false">
      <c r="B12" s="71" t="s">
        <v>344</v>
      </c>
      <c r="C12" s="67" t="n">
        <f aca="false">Annual_Summary!C15</f>
        <v>60000</v>
      </c>
      <c r="D12" s="67" t="n">
        <f aca="false">Annual_Summary!D15</f>
        <v>62400</v>
      </c>
      <c r="E12" s="67" t="n">
        <f aca="false">Annual_Summary!E15</f>
        <v>64896</v>
      </c>
      <c r="F12" s="67" t="n">
        <f aca="false">Annual_Summary!F15</f>
        <v>67491.84</v>
      </c>
      <c r="G12" s="67" t="n">
        <f aca="false">Annual_Summary!G15</f>
        <v>70191.5136</v>
      </c>
    </row>
    <row r="13" customFormat="false" ht="15" hidden="false" customHeight="true" outlineLevel="0" collapsed="false">
      <c r="B13" s="71" t="s">
        <v>346</v>
      </c>
      <c r="C13" s="67" t="n">
        <f aca="false">Annual_Summary!C18</f>
        <v>105000</v>
      </c>
      <c r="D13" s="67" t="n">
        <f aca="false">Annual_Summary!D18</f>
        <v>105000</v>
      </c>
      <c r="E13" s="67" t="n">
        <f aca="false">Annual_Summary!E18</f>
        <v>105000</v>
      </c>
      <c r="F13" s="67" t="n">
        <f aca="false">Annual_Summary!F18</f>
        <v>105000</v>
      </c>
      <c r="G13" s="67" t="n">
        <f aca="false">Annual_Summary!G18</f>
        <v>105000</v>
      </c>
    </row>
    <row r="14" customFormat="false" ht="15" hidden="false" customHeight="true" outlineLevel="0" collapsed="false">
      <c r="B14" s="64" t="s">
        <v>379</v>
      </c>
      <c r="C14" s="66" t="n">
        <f aca="false">Annual_Summary!C10+Annual_Summary!C11+Annual_Summary!C12+Annual_Summary!C13+Annual_Summary!C14+Annual_Summary!C15+Annual_Summary!C18</f>
        <v>8445000</v>
      </c>
      <c r="D14" s="66" t="n">
        <f aca="false">Annual_Summary!D10+Annual_Summary!D11+Annual_Summary!D12+Annual_Summary!D13+Annual_Summary!D14+Annual_Summary!D15+Annual_Summary!D18</f>
        <v>9413400</v>
      </c>
      <c r="E14" s="66" t="n">
        <f aca="false">Annual_Summary!E10+Annual_Summary!E11+Annual_Summary!E12+Annual_Summary!E13+Annual_Summary!E14+Annual_Summary!E15+Annual_Summary!E18</f>
        <v>10446036</v>
      </c>
      <c r="F14" s="66" t="n">
        <f aca="false">Annual_Summary!F10+Annual_Summary!F11+Annual_Summary!F12+Annual_Summary!F13+Annual_Summary!F14+Annual_Summary!F15+Annual_Summary!F18</f>
        <v>11546502.84</v>
      </c>
      <c r="G14" s="66" t="n">
        <f aca="false">Annual_Summary!G10+Annual_Summary!G11+Annual_Summary!G12+Annual_Summary!G13+Annual_Summary!G14+Annual_Summary!G15+Annual_Summary!G18</f>
        <v>12718580.4396</v>
      </c>
    </row>
    <row r="15" customFormat="false" ht="15" hidden="false" customHeight="true" outlineLevel="0" collapsed="false">
      <c r="B15" s="64" t="s">
        <v>380</v>
      </c>
      <c r="C15" s="66" t="n">
        <f aca="false">Annual_Summary!C8-C14</f>
        <v>2355000</v>
      </c>
      <c r="D15" s="66" t="n">
        <f aca="false">Annual_Summary!D8-D14</f>
        <v>2871600</v>
      </c>
      <c r="E15" s="66" t="n">
        <f aca="false">Annual_Summary!E8-E14</f>
        <v>3445464</v>
      </c>
      <c r="F15" s="66" t="n">
        <f aca="false">Annual_Summary!F8-F14</f>
        <v>4081434.66</v>
      </c>
      <c r="G15" s="66" t="n">
        <f aca="false">Annual_Summary!G8-G14</f>
        <v>4784709.5604</v>
      </c>
    </row>
    <row r="16" customFormat="false" ht="15" hidden="false" customHeight="true" outlineLevel="0" collapsed="false">
      <c r="B16" s="71" t="s">
        <v>356</v>
      </c>
      <c r="C16" s="67" t="n">
        <f aca="false">Annual_Summary!C16</f>
        <v>180000</v>
      </c>
      <c r="D16" s="67" t="n">
        <f aca="false">Annual_Summary!D16</f>
        <v>189000</v>
      </c>
      <c r="E16" s="67" t="n">
        <f aca="false">Annual_Summary!E16</f>
        <v>198450</v>
      </c>
      <c r="F16" s="67" t="n">
        <f aca="false">Annual_Summary!F16</f>
        <v>208372.5</v>
      </c>
      <c r="G16" s="67" t="n">
        <f aca="false">Annual_Summary!G16</f>
        <v>218791.125</v>
      </c>
    </row>
    <row r="17" customFormat="false" ht="15" hidden="false" customHeight="true" outlineLevel="0" collapsed="false">
      <c r="B17" s="71" t="s">
        <v>357</v>
      </c>
      <c r="C17" s="67" t="n">
        <f aca="false">Annual_Summary!C17</f>
        <v>216000</v>
      </c>
      <c r="D17" s="67" t="n">
        <f aca="false">Annual_Summary!D17</f>
        <v>245700</v>
      </c>
      <c r="E17" s="67" t="n">
        <f aca="false">Annual_Summary!E17</f>
        <v>277830</v>
      </c>
      <c r="F17" s="67" t="n">
        <f aca="false">Annual_Summary!F17</f>
        <v>312558.75</v>
      </c>
      <c r="G17" s="67" t="n">
        <f aca="false">Annual_Summary!G17</f>
        <v>350065.8</v>
      </c>
    </row>
    <row r="18" customFormat="false" ht="15" hidden="false" customHeight="true" outlineLevel="0" collapsed="false">
      <c r="B18" s="64" t="s">
        <v>381</v>
      </c>
      <c r="C18" s="66" t="n">
        <f aca="false">C15-Annual_Summary!C16-Annual_Summary!C17</f>
        <v>1959000</v>
      </c>
      <c r="D18" s="66" t="n">
        <f aca="false">D15-Annual_Summary!D16-Annual_Summary!D17</f>
        <v>2436900</v>
      </c>
      <c r="E18" s="66" t="n">
        <f aca="false">E15-Annual_Summary!E16-Annual_Summary!E17</f>
        <v>2969184</v>
      </c>
      <c r="F18" s="66" t="n">
        <f aca="false">F15-Annual_Summary!F16-Annual_Summary!F17</f>
        <v>3560503.41</v>
      </c>
      <c r="G18" s="66" t="n">
        <f aca="false">G15-Annual_Summary!G16-Annual_Summary!G17</f>
        <v>4215852.6354</v>
      </c>
    </row>
    <row r="19" customFormat="false" ht="15" hidden="false" customHeight="true" outlineLevel="0" collapsed="false">
      <c r="B19" s="71" t="s">
        <v>361</v>
      </c>
      <c r="C19" s="67" t="n">
        <f aca="false">Annual_Summary!C19</f>
        <v>210000</v>
      </c>
      <c r="D19" s="67" t="n">
        <f aca="false">Annual_Summary!D19</f>
        <v>163333.333333333</v>
      </c>
      <c r="E19" s="67" t="n">
        <f aca="false">Annual_Summary!E19</f>
        <v>116666.666666667</v>
      </c>
      <c r="F19" s="67" t="n">
        <f aca="false">Annual_Summary!F19</f>
        <v>70000</v>
      </c>
      <c r="G19" s="67" t="n">
        <f aca="false">Annual_Summary!G19</f>
        <v>23333.3333333333</v>
      </c>
    </row>
    <row r="20" customFormat="false" ht="15" hidden="false" customHeight="true" outlineLevel="0" collapsed="false">
      <c r="B20" s="71" t="s">
        <v>362</v>
      </c>
      <c r="C20" s="67" t="n">
        <f aca="false">Annual_Summary!C20</f>
        <v>48328.7671232877</v>
      </c>
      <c r="D20" s="67" t="n">
        <f aca="false">Annual_Summary!D20</f>
        <v>53275.3150684932</v>
      </c>
      <c r="E20" s="67" t="n">
        <f aca="false">Annual_Summary!E20</f>
        <v>58574.1353424657</v>
      </c>
      <c r="F20" s="67" t="n">
        <f aca="false">Annual_Summary!F20</f>
        <v>64246.8833506849</v>
      </c>
      <c r="G20" s="67" t="n">
        <f aca="false">Annual_Summary!G20</f>
        <v>70316.4585254794</v>
      </c>
    </row>
    <row r="21" customFormat="false" ht="15" hidden="false" customHeight="true" outlineLevel="0" collapsed="false">
      <c r="B21" s="64" t="s">
        <v>375</v>
      </c>
      <c r="C21" s="66" t="n">
        <f aca="false">C18-Annual_Summary!C19-Annual_Summary!C20</f>
        <v>1700671.23287671</v>
      </c>
      <c r="D21" s="66" t="n">
        <f aca="false">D18-Annual_Summary!D19-Annual_Summary!D20</f>
        <v>2220291.35159817</v>
      </c>
      <c r="E21" s="66" t="n">
        <f aca="false">E18-Annual_Summary!E19-Annual_Summary!E20</f>
        <v>2793943.19799087</v>
      </c>
      <c r="F21" s="66" t="n">
        <f aca="false">F18-Annual_Summary!F19-Annual_Summary!F20</f>
        <v>3426256.52664932</v>
      </c>
      <c r="G21" s="66" t="n">
        <f aca="false">G18-Annual_Summary!G19-Annual_Summary!G20</f>
        <v>4122202.84354119</v>
      </c>
    </row>
    <row r="22" customFormat="false" ht="15" hidden="false" customHeight="true" outlineLevel="0" collapsed="false">
      <c r="B22" s="71" t="s">
        <v>382</v>
      </c>
      <c r="C22" s="67" t="n">
        <f aca="false">Annual_Summary!C25</f>
        <v>425167.808219178</v>
      </c>
      <c r="D22" s="67" t="n">
        <f aca="false">Annual_Summary!D25</f>
        <v>555072.837899543</v>
      </c>
      <c r="E22" s="67" t="n">
        <f aca="false">Annual_Summary!E25</f>
        <v>698485.799497717</v>
      </c>
      <c r="F22" s="67" t="n">
        <f aca="false">Annual_Summary!F25</f>
        <v>856564.131662329</v>
      </c>
      <c r="G22" s="67" t="n">
        <f aca="false">Annual_Summary!G25</f>
        <v>1030550.7108853</v>
      </c>
    </row>
    <row r="23" customFormat="false" ht="15" hidden="false" customHeight="true" outlineLevel="0" collapsed="false">
      <c r="B23" s="64" t="s">
        <v>383</v>
      </c>
      <c r="C23" s="66" t="n">
        <f aca="false">C21-Annual_Summary!C25</f>
        <v>1275503.42465753</v>
      </c>
      <c r="D23" s="66" t="n">
        <f aca="false">D21-Annual_Summary!D25</f>
        <v>1665218.51369863</v>
      </c>
      <c r="E23" s="66" t="n">
        <f aca="false">E21-Annual_Summary!E25</f>
        <v>2095457.39849315</v>
      </c>
      <c r="F23" s="66" t="n">
        <f aca="false">F21-Annual_Summary!F25</f>
        <v>2569692.39498699</v>
      </c>
      <c r="G23" s="66" t="n">
        <f aca="false">G21-Annual_Summary!G25</f>
        <v>3091652.13265589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384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385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386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387</v>
      </c>
      <c r="C6" s="67" t="n">
        <f aca="false">Assumptions!$C$9</f>
        <v>500000</v>
      </c>
      <c r="D6" s="67" t="n">
        <f aca="false">Assumptions!$C$9</f>
        <v>500000</v>
      </c>
      <c r="E6" s="67" t="n">
        <f aca="false">Assumptions!$C$9</f>
        <v>500000</v>
      </c>
      <c r="F6" s="67" t="n">
        <f aca="false">Assumptions!$C$9</f>
        <v>500000</v>
      </c>
      <c r="G6" s="67" t="n">
        <f aca="false">Assumptions!$C$9</f>
        <v>500000</v>
      </c>
    </row>
    <row r="7" customFormat="false" ht="15" hidden="false" customHeight="true" outlineLevel="0" collapsed="false">
      <c r="B7" s="71" t="s">
        <v>388</v>
      </c>
      <c r="C7" s="67" t="n">
        <f aca="false">Annual_Summary!C26</f>
        <v>1275503.42465753</v>
      </c>
      <c r="D7" s="67" t="n">
        <f aca="false">C7+Annual_Summary!D26</f>
        <v>2940721.93835616</v>
      </c>
      <c r="E7" s="67" t="n">
        <f aca="false">D7+Annual_Summary!E26</f>
        <v>5036179.33684931</v>
      </c>
      <c r="F7" s="67" t="n">
        <f aca="false">E7+Annual_Summary!F26</f>
        <v>7605871.7318363</v>
      </c>
      <c r="G7" s="67" t="n">
        <f aca="false">F7+Annual_Summary!G26</f>
        <v>10697523.8644922</v>
      </c>
    </row>
    <row r="8" customFormat="false" ht="15" hidden="false" customHeight="true" outlineLevel="0" collapsed="false">
      <c r="B8" s="64" t="s">
        <v>389</v>
      </c>
      <c r="C8" s="66" t="n">
        <f aca="false">C6+C7</f>
        <v>1775503.42465753</v>
      </c>
      <c r="D8" s="66" t="n">
        <f aca="false">D6+D7</f>
        <v>3440721.93835616</v>
      </c>
      <c r="E8" s="66" t="n">
        <f aca="false">E6+E7</f>
        <v>5536179.33684931</v>
      </c>
      <c r="F8" s="66" t="n">
        <f aca="false">F6+F7</f>
        <v>8105871.7318363</v>
      </c>
      <c r="G8" s="66" t="n">
        <f aca="false">G6+G7</f>
        <v>11197523.8644922</v>
      </c>
    </row>
    <row r="9" customFormat="false" ht="15" hidden="false" customHeight="true" outlineLevel="0" collapsed="false">
      <c r="B9" s="71" t="s">
        <v>390</v>
      </c>
      <c r="C9" s="67" t="n">
        <f aca="false">Repayment!C8</f>
        <v>1555555.55555556</v>
      </c>
      <c r="D9" s="67" t="n">
        <f aca="false">Repayment!D8</f>
        <v>1111111.11111111</v>
      </c>
      <c r="E9" s="67" t="n">
        <f aca="false">Repayment!E8</f>
        <v>666666.666666667</v>
      </c>
      <c r="F9" s="67" t="n">
        <f aca="false">Repayment!F8</f>
        <v>222222.222222222</v>
      </c>
      <c r="G9" s="67" t="n">
        <f aca="false">Repayment!G8</f>
        <v>0</v>
      </c>
    </row>
    <row r="10" customFormat="false" ht="15" hidden="false" customHeight="true" outlineLevel="0" collapsed="false">
      <c r="B10" s="71" t="s">
        <v>391</v>
      </c>
      <c r="C10" s="67" t="n">
        <f aca="false">Form_V_MPBF!C11</f>
        <v>402739.726027397</v>
      </c>
      <c r="D10" s="67" t="n">
        <f aca="false">Form_V_MPBF!D11</f>
        <v>443960.95890411</v>
      </c>
      <c r="E10" s="67" t="n">
        <f aca="false">Form_V_MPBF!E11</f>
        <v>488117.794520548</v>
      </c>
      <c r="F10" s="67" t="n">
        <f aca="false">Form_V_MPBF!F11</f>
        <v>535390.694589041</v>
      </c>
      <c r="G10" s="67" t="n">
        <f aca="false">Form_V_MPBF!G11</f>
        <v>585970.487712329</v>
      </c>
    </row>
    <row r="11" customFormat="false" ht="15" hidden="false" customHeight="true" outlineLevel="0" collapsed="false">
      <c r="B11" s="71" t="s">
        <v>392</v>
      </c>
      <c r="C11" s="67" t="n">
        <f aca="false">Form_IV_CA_CL!C16</f>
        <v>266301.369863014</v>
      </c>
      <c r="D11" s="67" t="n">
        <f aca="false">Form_IV_CA_CL!D16</f>
        <v>300032.876712329</v>
      </c>
      <c r="E11" s="67" t="n">
        <f aca="false">Form_IV_CA_CL!E16</f>
        <v>336036.821917808</v>
      </c>
      <c r="F11" s="67" t="n">
        <f aca="false">Form_IV_CA_CL!F16</f>
        <v>374441.030136986</v>
      </c>
      <c r="G11" s="67" t="n">
        <f aca="false">Form_IV_CA_CL!G16</f>
        <v>415379.91609863</v>
      </c>
    </row>
    <row r="12" customFormat="false" ht="15" hidden="false" customHeight="true" outlineLevel="0" collapsed="false">
      <c r="B12" s="71" t="s">
        <v>393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394</v>
      </c>
      <c r="C13" s="66" t="n">
        <f aca="false">SUM(C8:C12)</f>
        <v>4000100.0761035</v>
      </c>
      <c r="D13" s="66" t="n">
        <f aca="false">SUM(D8:D12)</f>
        <v>5295826.88508371</v>
      </c>
      <c r="E13" s="66" t="n">
        <f aca="false">SUM(E8:E12)</f>
        <v>7027000.61995434</v>
      </c>
      <c r="F13" s="66" t="n">
        <f aca="false">SUM(F8:F12)</f>
        <v>9237925.67878455</v>
      </c>
      <c r="G13" s="66" t="n">
        <f aca="false">SUM(G8:G12)</f>
        <v>12198874.2683032</v>
      </c>
    </row>
    <row r="14" customFormat="false" ht="16.5" hidden="false" customHeight="true" outlineLevel="0" collapsed="false">
      <c r="B14" s="73" t="s">
        <v>395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396</v>
      </c>
      <c r="C15" s="70" t="n">
        <f aca="false">Assumptions!$C$42+Assumptions!$C$43+Assumptions!$C$45+Assumptions!$C$47</f>
        <v>800000</v>
      </c>
      <c r="D15" s="70" t="n">
        <f aca="false">Assumptions!$C$42+Assumptions!$C$43+Assumptions!$C$45+Assumptions!$C$47</f>
        <v>800000</v>
      </c>
      <c r="E15" s="70" t="n">
        <f aca="false">Assumptions!$C$42+Assumptions!$C$43+Assumptions!$C$45+Assumptions!$C$47</f>
        <v>800000</v>
      </c>
      <c r="F15" s="70" t="n">
        <f aca="false">Assumptions!$C$42+Assumptions!$C$43+Assumptions!$C$45+Assumptions!$C$47</f>
        <v>800000</v>
      </c>
      <c r="G15" s="70" t="n">
        <f aca="false">Assumptions!$C$42+Assumptions!$C$43+Assumptions!$C$45+Assumptions!$C$47</f>
        <v>800000</v>
      </c>
    </row>
    <row r="16" customFormat="false" ht="15" hidden="false" customHeight="true" outlineLevel="0" collapsed="false">
      <c r="B16" s="71" t="s">
        <v>397</v>
      </c>
      <c r="C16" s="67" t="n">
        <f aca="false">Annual_Summary!C18</f>
        <v>105000</v>
      </c>
      <c r="D16" s="67" t="n">
        <f aca="false">C16+Annual_Summary!D18</f>
        <v>210000</v>
      </c>
      <c r="E16" s="67" t="n">
        <f aca="false">D16+Annual_Summary!E18</f>
        <v>315000</v>
      </c>
      <c r="F16" s="67" t="n">
        <f aca="false">E16+Annual_Summary!F18</f>
        <v>420000</v>
      </c>
      <c r="G16" s="67" t="n">
        <f aca="false">F16+Annual_Summary!G18</f>
        <v>525000</v>
      </c>
    </row>
    <row r="17" customFormat="false" ht="15" hidden="false" customHeight="true" outlineLevel="0" collapsed="false">
      <c r="B17" s="64" t="s">
        <v>398</v>
      </c>
      <c r="C17" s="66" t="n">
        <f aca="false">C15-C16</f>
        <v>695000</v>
      </c>
      <c r="D17" s="66" t="n">
        <f aca="false">D15-D16</f>
        <v>590000</v>
      </c>
      <c r="E17" s="66" t="n">
        <f aca="false">E15-E16</f>
        <v>485000</v>
      </c>
      <c r="F17" s="66" t="n">
        <f aca="false">F15-F16</f>
        <v>380000</v>
      </c>
      <c r="G17" s="66" t="n">
        <f aca="false">G15-G16</f>
        <v>275000</v>
      </c>
    </row>
    <row r="18" customFormat="false" ht="15" hidden="false" customHeight="true" outlineLevel="0" collapsed="false">
      <c r="B18" s="71" t="s">
        <v>399</v>
      </c>
      <c r="C18" s="67" t="n">
        <f aca="false">Form_IV_CA_CL!C10+Form_IV_CA_CL!C11</f>
        <v>694109.589041096</v>
      </c>
      <c r="D18" s="67" t="n">
        <f aca="false">Form_IV_CA_CL!D10+Form_IV_CA_CL!D11</f>
        <v>773704.109589041</v>
      </c>
      <c r="E18" s="67" t="n">
        <f aca="false">Form_IV_CA_CL!E10+Form_IV_CA_CL!E11</f>
        <v>858578.301369863</v>
      </c>
      <c r="F18" s="67" t="n">
        <f aca="false">Form_IV_CA_CL!F10+Form_IV_CA_CL!F11</f>
        <v>949027.630684932</v>
      </c>
      <c r="G18" s="67" t="n">
        <f aca="false">Form_IV_CA_CL!G10+Form_IV_CA_CL!G11</f>
        <v>1045362.77585753</v>
      </c>
    </row>
    <row r="19" customFormat="false" ht="15" hidden="false" customHeight="true" outlineLevel="0" collapsed="false">
      <c r="B19" s="71" t="s">
        <v>400</v>
      </c>
      <c r="C19" s="67" t="n">
        <f aca="false">Form_IV_CA_CL!C12</f>
        <v>147945.205479452</v>
      </c>
      <c r="D19" s="67" t="n">
        <f aca="false">Form_IV_CA_CL!D12</f>
        <v>168287.671232877</v>
      </c>
      <c r="E19" s="67" t="n">
        <f aca="false">Form_IV_CA_CL!E12</f>
        <v>190294.520547945</v>
      </c>
      <c r="F19" s="67" t="n">
        <f aca="false">Form_IV_CA_CL!F12</f>
        <v>214081.335616438</v>
      </c>
      <c r="G19" s="67" t="n">
        <f aca="false">Form_IV_CA_CL!G12</f>
        <v>239771.095890411</v>
      </c>
    </row>
    <row r="20" customFormat="false" ht="15" hidden="false" customHeight="true" outlineLevel="0" collapsed="false">
      <c r="B20" s="71" t="s">
        <v>401</v>
      </c>
      <c r="C20" s="70" t="n">
        <f aca="false">C13-(C17+C18+C19)</f>
        <v>2463045.28158295</v>
      </c>
      <c r="D20" s="70" t="n">
        <f aca="false">D13-(D17+D18+D19)</f>
        <v>3763835.1042618</v>
      </c>
      <c r="E20" s="70" t="n">
        <f aca="false">E13-(E17+E18+E19)</f>
        <v>5493127.79803653</v>
      </c>
      <c r="F20" s="70" t="n">
        <f aca="false">F13-(F17+F18+F19)</f>
        <v>7694816.71248318</v>
      </c>
      <c r="G20" s="70" t="n">
        <f aca="false">G13-(G17+G18+G19)</f>
        <v>10638740.3965552</v>
      </c>
    </row>
    <row r="21" customFormat="false" ht="15" hidden="false" customHeight="true" outlineLevel="0" collapsed="false">
      <c r="B21" s="64" t="s">
        <v>402</v>
      </c>
      <c r="C21" s="66" t="n">
        <f aca="false">C17+C18+C19+C20</f>
        <v>4000100.0761035</v>
      </c>
      <c r="D21" s="66" t="n">
        <f aca="false">D17+D18+D19+D20</f>
        <v>5295826.88508371</v>
      </c>
      <c r="E21" s="66" t="n">
        <f aca="false">E17+E18+E19+E20</f>
        <v>7027000.61995434</v>
      </c>
      <c r="F21" s="66" t="n">
        <f aca="false">F17+F18+F19+F20</f>
        <v>9237925.67878455</v>
      </c>
      <c r="G21" s="66" t="n">
        <f aca="false">G17+G18+G19+G20</f>
        <v>12198874.2683032</v>
      </c>
    </row>
    <row r="22" customFormat="false" ht="15" hidden="false" customHeight="true" outlineLevel="0" collapsed="false">
      <c r="B22" s="7" t="s">
        <v>403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404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405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406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379</v>
      </c>
      <c r="C6" s="67" t="n">
        <f aca="false">Annual_Summary!C10+Annual_Summary!C11+Annual_Summary!C12+Annual_Summary!C13+Annual_Summary!C14+Annual_Summary!C15+Annual_Summary!C18</f>
        <v>8445000</v>
      </c>
      <c r="D6" s="67" t="n">
        <f aca="false">Annual_Summary!D10+Annual_Summary!D11+Annual_Summary!D12+Annual_Summary!D13+Annual_Summary!D14+Annual_Summary!D15+Annual_Summary!D18</f>
        <v>9413400</v>
      </c>
      <c r="E6" s="67" t="n">
        <f aca="false">Annual_Summary!E10+Annual_Summary!E11+Annual_Summary!E12+Annual_Summary!E13+Annual_Summary!E14+Annual_Summary!E15+Annual_Summary!E18</f>
        <v>10446036</v>
      </c>
      <c r="F6" s="67" t="n">
        <f aca="false">Annual_Summary!F10+Annual_Summary!F11+Annual_Summary!F12+Annual_Summary!F13+Annual_Summary!F14+Annual_Summary!F15+Annual_Summary!F18</f>
        <v>11546502.84</v>
      </c>
      <c r="G6" s="67" t="n">
        <f aca="false">Annual_Summary!G10+Annual_Summary!G11+Annual_Summary!G12+Annual_Summary!G13+Annual_Summary!G14+Annual_Summary!G15+Annual_Summary!G18</f>
        <v>12718580.4396</v>
      </c>
    </row>
    <row r="7" customFormat="false" ht="15" hidden="false" customHeight="true" outlineLevel="0" collapsed="false">
      <c r="B7" s="7" t="s">
        <v>407</v>
      </c>
      <c r="C7" s="67" t="n">
        <f aca="false">Annual_Summary!C10</f>
        <v>6480000</v>
      </c>
      <c r="D7" s="67" t="n">
        <f aca="false">Annual_Summary!D10</f>
        <v>7300800</v>
      </c>
      <c r="E7" s="67" t="n">
        <f aca="false">Annual_Summary!E10</f>
        <v>8176896</v>
      </c>
      <c r="F7" s="67" t="n">
        <f aca="false">Annual_Summary!F10</f>
        <v>9111398.4</v>
      </c>
      <c r="G7" s="67" t="n">
        <f aca="false">Annual_Summary!G10</f>
        <v>10107577.9584</v>
      </c>
    </row>
    <row r="8" customFormat="false" ht="15" hidden="false" customHeight="true" outlineLevel="0" collapsed="false">
      <c r="B8" s="7" t="s">
        <v>352</v>
      </c>
      <c r="C8" s="67" t="n">
        <f aca="false">Annual_Summary!C8</f>
        <v>10800000</v>
      </c>
      <c r="D8" s="67" t="n">
        <f aca="false">Annual_Summary!D8</f>
        <v>12285000</v>
      </c>
      <c r="E8" s="67" t="n">
        <f aca="false">Annual_Summary!E8</f>
        <v>13891500</v>
      </c>
      <c r="F8" s="67" t="n">
        <f aca="false">Annual_Summary!F8</f>
        <v>15627937.5</v>
      </c>
      <c r="G8" s="67" t="n">
        <f aca="false">Annual_Summary!G8</f>
        <v>17503290</v>
      </c>
    </row>
    <row r="9" customFormat="false" ht="16.5" hidden="false" customHeight="true" outlineLevel="0" collapsed="false">
      <c r="B9" s="73" t="s">
        <v>408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409</v>
      </c>
      <c r="C10" s="70" t="n">
        <f aca="false">C7*Assumptions!$C$50/365</f>
        <v>0</v>
      </c>
      <c r="D10" s="70" t="n">
        <f aca="false">D7*Assumptions!$C$50/365</f>
        <v>0</v>
      </c>
      <c r="E10" s="70" t="n">
        <f aca="false">E7*Assumptions!$C$50/365</f>
        <v>0</v>
      </c>
      <c r="F10" s="70" t="n">
        <f aca="false">F7*Assumptions!$C$50/365</f>
        <v>0</v>
      </c>
      <c r="G10" s="70" t="n">
        <f aca="false">G7*Assumptions!$C$50/365</f>
        <v>0</v>
      </c>
    </row>
    <row r="11" customFormat="false" ht="15" hidden="false" customHeight="true" outlineLevel="0" collapsed="false">
      <c r="B11" s="71" t="s">
        <v>410</v>
      </c>
      <c r="C11" s="70" t="n">
        <f aca="false">C6*Assumptions!$C$51/365</f>
        <v>694109.589041096</v>
      </c>
      <c r="D11" s="70" t="n">
        <f aca="false">D6*Assumptions!$C$51/365</f>
        <v>773704.109589041</v>
      </c>
      <c r="E11" s="70" t="n">
        <f aca="false">E6*Assumptions!$C$51/365</f>
        <v>858578.301369863</v>
      </c>
      <c r="F11" s="70" t="n">
        <f aca="false">F6*Assumptions!$C$51/365</f>
        <v>949027.630684932</v>
      </c>
      <c r="G11" s="70" t="n">
        <f aca="false">G6*Assumptions!$C$51/365</f>
        <v>1045362.77585753</v>
      </c>
    </row>
    <row r="12" customFormat="false" ht="15" hidden="false" customHeight="true" outlineLevel="0" collapsed="false">
      <c r="B12" s="71" t="s">
        <v>400</v>
      </c>
      <c r="C12" s="70" t="n">
        <f aca="false">C8*Assumptions!$C$52/365</f>
        <v>147945.205479452</v>
      </c>
      <c r="D12" s="70" t="n">
        <f aca="false">D8*Assumptions!$C$52/365</f>
        <v>168287.671232877</v>
      </c>
      <c r="E12" s="70" t="n">
        <f aca="false">E8*Assumptions!$C$52/365</f>
        <v>190294.520547945</v>
      </c>
      <c r="F12" s="70" t="n">
        <f aca="false">F8*Assumptions!$C$52/365</f>
        <v>214081.335616438</v>
      </c>
      <c r="G12" s="70" t="n">
        <f aca="false">G8*Assumptions!$C$52/365</f>
        <v>239771.095890411</v>
      </c>
    </row>
    <row r="13" customFormat="false" ht="15" hidden="false" customHeight="true" outlineLevel="0" collapsed="false">
      <c r="B13" s="71" t="s">
        <v>411</v>
      </c>
      <c r="C13" s="67" t="n">
        <f aca="false">Assumptions!$C$54</f>
        <v>50000</v>
      </c>
      <c r="D13" s="67" t="n">
        <f aca="false">Assumptions!$C$54</f>
        <v>50000</v>
      </c>
      <c r="E13" s="67" t="n">
        <f aca="false">Assumptions!$C$54</f>
        <v>50000</v>
      </c>
      <c r="F13" s="67" t="n">
        <f aca="false">Assumptions!$C$54</f>
        <v>50000</v>
      </c>
      <c r="G13" s="67" t="n">
        <f aca="false">Assumptions!$C$54</f>
        <v>50000</v>
      </c>
    </row>
    <row r="14" customFormat="false" ht="15" hidden="false" customHeight="true" outlineLevel="0" collapsed="false">
      <c r="B14" s="64" t="s">
        <v>412</v>
      </c>
      <c r="C14" s="66" t="n">
        <f aca="false">SUM(C10:C13)</f>
        <v>892054.794520548</v>
      </c>
      <c r="D14" s="66" t="n">
        <f aca="false">SUM(D10:D13)</f>
        <v>991991.780821918</v>
      </c>
      <c r="E14" s="66" t="n">
        <f aca="false">SUM(E10:E13)</f>
        <v>1098872.82191781</v>
      </c>
      <c r="F14" s="66" t="n">
        <f aca="false">SUM(F10:F13)</f>
        <v>1213108.96630137</v>
      </c>
      <c r="G14" s="66" t="n">
        <f aca="false">SUM(G10:G13)</f>
        <v>1335133.87174795</v>
      </c>
    </row>
    <row r="15" customFormat="false" ht="16.5" hidden="false" customHeight="true" outlineLevel="0" collapsed="false">
      <c r="B15" s="73" t="s">
        <v>413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414</v>
      </c>
      <c r="C16" s="70" t="n">
        <f aca="false">C7*Assumptions!$C$53/365</f>
        <v>266301.369863014</v>
      </c>
      <c r="D16" s="70" t="n">
        <f aca="false">D7*Assumptions!$C$53/365</f>
        <v>300032.876712329</v>
      </c>
      <c r="E16" s="70" t="n">
        <f aca="false">E7*Assumptions!$C$53/365</f>
        <v>336036.821917808</v>
      </c>
      <c r="F16" s="70" t="n">
        <f aca="false">F7*Assumptions!$C$53/365</f>
        <v>374441.030136986</v>
      </c>
      <c r="G16" s="70" t="n">
        <f aca="false">G7*Assumptions!$C$53/365</f>
        <v>415379.91609863</v>
      </c>
    </row>
    <row r="17" customFormat="false" ht="15" hidden="false" customHeight="true" outlineLevel="0" collapsed="false">
      <c r="B17" s="71" t="s">
        <v>393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415</v>
      </c>
      <c r="C18" s="66" t="n">
        <f aca="false">C16+C17</f>
        <v>266301.369863014</v>
      </c>
      <c r="D18" s="66" t="n">
        <f aca="false">D16+D17</f>
        <v>300032.876712329</v>
      </c>
      <c r="E18" s="66" t="n">
        <f aca="false">E16+E17</f>
        <v>336036.821917808</v>
      </c>
      <c r="F18" s="66" t="n">
        <f aca="false">F16+F17</f>
        <v>374441.030136986</v>
      </c>
      <c r="G18" s="66" t="n">
        <f aca="false">G16+G17</f>
        <v>415379.91609863</v>
      </c>
    </row>
    <row r="19" customFormat="false" ht="15" hidden="false" customHeight="true" outlineLevel="0" collapsed="false">
      <c r="B19" s="64" t="s">
        <v>416</v>
      </c>
      <c r="C19" s="66" t="n">
        <f aca="false">C14-C18</f>
        <v>625753.424657534</v>
      </c>
      <c r="D19" s="66" t="n">
        <f aca="false">D14-D18</f>
        <v>691958.904109589</v>
      </c>
      <c r="E19" s="66" t="n">
        <f aca="false">E14-E18</f>
        <v>762836</v>
      </c>
      <c r="F19" s="66" t="n">
        <f aca="false">F14-F18</f>
        <v>838667.936164384</v>
      </c>
      <c r="G19" s="66" t="n">
        <f aca="false">G14-G18</f>
        <v>919753.955649315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417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418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64" t="s">
        <v>412</v>
      </c>
      <c r="C5" s="74" t="n">
        <f aca="false">Form_IV_CA_CL!C14</f>
        <v>892054.794520548</v>
      </c>
      <c r="D5" s="74" t="n">
        <f aca="false">Form_IV_CA_CL!D14</f>
        <v>991991.780821918</v>
      </c>
      <c r="E5" s="74" t="n">
        <f aca="false">Form_IV_CA_CL!E14</f>
        <v>1098872.82191781</v>
      </c>
      <c r="F5" s="74" t="n">
        <f aca="false">Form_IV_CA_CL!F14</f>
        <v>1213108.96630137</v>
      </c>
      <c r="G5" s="74" t="n">
        <f aca="false">Form_IV_CA_CL!G14</f>
        <v>1335133.87174795</v>
      </c>
    </row>
    <row r="6" customFormat="false" ht="15" hidden="false" customHeight="true" outlineLevel="0" collapsed="false">
      <c r="B6" s="7" t="s">
        <v>419</v>
      </c>
      <c r="C6" s="67" t="n">
        <f aca="false">Form_IV_CA_CL!C18</f>
        <v>266301.369863014</v>
      </c>
      <c r="D6" s="67" t="n">
        <f aca="false">Form_IV_CA_CL!D18</f>
        <v>300032.876712329</v>
      </c>
      <c r="E6" s="67" t="n">
        <f aca="false">Form_IV_CA_CL!E18</f>
        <v>336036.821917808</v>
      </c>
      <c r="F6" s="67" t="n">
        <f aca="false">Form_IV_CA_CL!F18</f>
        <v>374441.030136986</v>
      </c>
      <c r="G6" s="67" t="n">
        <f aca="false">Form_IV_CA_CL!G18</f>
        <v>415379.91609863</v>
      </c>
    </row>
    <row r="7" customFormat="false" ht="15" hidden="false" customHeight="true" outlineLevel="0" collapsed="false">
      <c r="B7" s="64" t="s">
        <v>420</v>
      </c>
      <c r="C7" s="66" t="n">
        <f aca="false">Form_IV_CA_CL!C19</f>
        <v>625753.424657534</v>
      </c>
      <c r="D7" s="66" t="n">
        <f aca="false">Form_IV_CA_CL!D19</f>
        <v>691958.904109589</v>
      </c>
      <c r="E7" s="66" t="n">
        <f aca="false">Form_IV_CA_CL!E19</f>
        <v>762836</v>
      </c>
      <c r="F7" s="66" t="n">
        <f aca="false">Form_IV_CA_CL!F19</f>
        <v>838667.936164384</v>
      </c>
      <c r="G7" s="66" t="n">
        <f aca="false">Form_IV_CA_CL!G19</f>
        <v>919753.955649315</v>
      </c>
    </row>
    <row r="8" customFormat="false" ht="15" hidden="false" customHeight="true" outlineLevel="0" collapsed="false">
      <c r="B8" s="7" t="s">
        <v>421</v>
      </c>
      <c r="C8" s="70" t="n">
        <f aca="false">Assumptions!$C$55*Form_IV_CA_CL!C14</f>
        <v>223013.698630137</v>
      </c>
      <c r="D8" s="70" t="n">
        <f aca="false">Assumptions!$C$55*Form_IV_CA_CL!D14</f>
        <v>247997.945205479</v>
      </c>
      <c r="E8" s="70" t="n">
        <f aca="false">Assumptions!$C$55*Form_IV_CA_CL!E14</f>
        <v>274718.205479452</v>
      </c>
      <c r="F8" s="70" t="n">
        <f aca="false">Assumptions!$C$55*Form_IV_CA_CL!F14</f>
        <v>303277.241575343</v>
      </c>
      <c r="G8" s="70" t="n">
        <f aca="false">Assumptions!$C$55*Form_IV_CA_CL!G14</f>
        <v>333783.467936986</v>
      </c>
    </row>
    <row r="9" customFormat="false" ht="15" hidden="false" customHeight="true" outlineLevel="0" collapsed="false">
      <c r="B9" s="7" t="s">
        <v>422</v>
      </c>
      <c r="C9" s="70" t="n">
        <f aca="false">MAX(0,Form_IV_CA_CL!C19*(1-Assumptions!$C$55))</f>
        <v>469315.068493151</v>
      </c>
      <c r="D9" s="70" t="n">
        <f aca="false">MAX(0,Form_IV_CA_CL!D19*(1-Assumptions!$C$55))</f>
        <v>518969.178082192</v>
      </c>
      <c r="E9" s="70" t="n">
        <f aca="false">MAX(0,Form_IV_CA_CL!E19*(1-Assumptions!$C$55))</f>
        <v>572127</v>
      </c>
      <c r="F9" s="70" t="n">
        <f aca="false">MAX(0,Form_IV_CA_CL!F19*(1-Assumptions!$C$55))</f>
        <v>629000.952123288</v>
      </c>
      <c r="G9" s="70" t="n">
        <f aca="false">MAX(0,Form_IV_CA_CL!G19*(1-Assumptions!$C$55))</f>
        <v>689815.466736986</v>
      </c>
    </row>
    <row r="10" customFormat="false" ht="15" hidden="false" customHeight="true" outlineLevel="0" collapsed="false">
      <c r="B10" s="7" t="s">
        <v>423</v>
      </c>
      <c r="C10" s="70" t="n">
        <f aca="false">MAX(0,Form_IV_CA_CL!C14*(1-Assumptions!$C$55)-Form_IV_CA_CL!C18)</f>
        <v>402739.726027397</v>
      </c>
      <c r="D10" s="70" t="n">
        <f aca="false">MAX(0,Form_IV_CA_CL!D14*(1-Assumptions!$C$55)-Form_IV_CA_CL!D18)</f>
        <v>443960.95890411</v>
      </c>
      <c r="E10" s="70" t="n">
        <f aca="false">MAX(0,Form_IV_CA_CL!E14*(1-Assumptions!$C$55)-Form_IV_CA_CL!E18)</f>
        <v>488117.794520548</v>
      </c>
      <c r="F10" s="70" t="n">
        <f aca="false">MAX(0,Form_IV_CA_CL!F14*(1-Assumptions!$C$55)-Form_IV_CA_CL!F18)</f>
        <v>535390.694589041</v>
      </c>
      <c r="G10" s="70" t="n">
        <f aca="false">MAX(0,Form_IV_CA_CL!G14*(1-Assumptions!$C$55)-Form_IV_CA_CL!G18)</f>
        <v>585970.487712329</v>
      </c>
    </row>
    <row r="11" customFormat="false" ht="15" hidden="false" customHeight="true" outlineLevel="0" collapsed="false">
      <c r="B11" s="64" t="s">
        <v>424</v>
      </c>
      <c r="C11" s="66" t="n">
        <f aca="false">C10</f>
        <v>402739.726027397</v>
      </c>
      <c r="D11" s="66" t="n">
        <f aca="false">D10</f>
        <v>443960.95890411</v>
      </c>
      <c r="E11" s="66" t="n">
        <f aca="false">E10</f>
        <v>488117.794520548</v>
      </c>
      <c r="F11" s="66" t="n">
        <f aca="false">F10</f>
        <v>535390.694589041</v>
      </c>
      <c r="G11" s="66" t="n">
        <f aca="false">G10</f>
        <v>585970.487712329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425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426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427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428</v>
      </c>
      <c r="C6" s="67" t="n">
        <f aca="false">Annual_Summary!C27</f>
        <v>1380503.42465753</v>
      </c>
      <c r="D6" s="67" t="n">
        <f aca="false">Annual_Summary!D27</f>
        <v>1770218.51369863</v>
      </c>
      <c r="E6" s="67" t="n">
        <f aca="false">Annual_Summary!E27</f>
        <v>2200457.39849315</v>
      </c>
      <c r="F6" s="67" t="n">
        <f aca="false">Annual_Summary!F27</f>
        <v>2674692.39498699</v>
      </c>
      <c r="G6" s="67" t="n">
        <f aca="false">Annual_Summary!G27</f>
        <v>3196652.13265589</v>
      </c>
    </row>
    <row r="7" customFormat="false" ht="15" hidden="false" customHeight="true" outlineLevel="0" collapsed="false">
      <c r="B7" s="71" t="s">
        <v>429</v>
      </c>
      <c r="C7" s="70" t="n">
        <f aca="false">Assumptions!$C$9</f>
        <v>500000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430</v>
      </c>
      <c r="C8" s="70" t="n">
        <f aca="false">Assumptions!$C$8</f>
        <v>2000000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431</v>
      </c>
      <c r="C9" s="70" t="n">
        <f aca="false">Form_V_MPBF!C11</f>
        <v>402739.726027397</v>
      </c>
      <c r="D9" s="70" t="n">
        <f aca="false">(Form_V_MPBF!D11-Form_V_MPBF!C11)</f>
        <v>41221.2328767124</v>
      </c>
      <c r="E9" s="70" t="n">
        <f aca="false">(Form_V_MPBF!E11-Form_V_MPBF!D11)</f>
        <v>44156.8356164382</v>
      </c>
      <c r="F9" s="70" t="n">
        <f aca="false">(Form_V_MPBF!F11-Form_V_MPBF!E11)</f>
        <v>47272.9000684933</v>
      </c>
      <c r="G9" s="70" t="n">
        <f aca="false">(Form_V_MPBF!G11-Form_V_MPBF!F11)</f>
        <v>50579.7931232875</v>
      </c>
    </row>
    <row r="10" customFormat="false" ht="15" hidden="false" customHeight="true" outlineLevel="0" collapsed="false">
      <c r="B10" s="71" t="s">
        <v>432</v>
      </c>
      <c r="C10" s="70" t="n">
        <f aca="false">Form_IV_CA_CL!C16</f>
        <v>266301.369863014</v>
      </c>
      <c r="D10" s="70" t="n">
        <f aca="false">(Form_IV_CA_CL!D16-Form_IV_CA_CL!C16)</f>
        <v>33731.5068493151</v>
      </c>
      <c r="E10" s="70" t="n">
        <f aca="false">(Form_IV_CA_CL!E16-Form_IV_CA_CL!D16)</f>
        <v>36003.9452054795</v>
      </c>
      <c r="F10" s="70" t="n">
        <f aca="false">(Form_IV_CA_CL!F16-Form_IV_CA_CL!E16)</f>
        <v>38404.2082191781</v>
      </c>
      <c r="G10" s="70" t="n">
        <f aca="false">(Form_IV_CA_CL!G16-Form_IV_CA_CL!F16)</f>
        <v>40938.8859616439</v>
      </c>
    </row>
    <row r="11" customFormat="false" ht="15" hidden="false" customHeight="true" outlineLevel="0" collapsed="false">
      <c r="B11" s="64" t="s">
        <v>433</v>
      </c>
      <c r="C11" s="66" t="n">
        <f aca="false">SUM(C6:C10)</f>
        <v>4549544.52054795</v>
      </c>
      <c r="D11" s="66" t="n">
        <f aca="false">SUM(D6:D10)</f>
        <v>1845171.25342466</v>
      </c>
      <c r="E11" s="66" t="n">
        <f aca="false">SUM(E6:E10)</f>
        <v>2280618.17931507</v>
      </c>
      <c r="F11" s="66" t="n">
        <f aca="false">SUM(F6:F10)</f>
        <v>2760369.50327466</v>
      </c>
      <c r="G11" s="66" t="n">
        <f aca="false">SUM(G6:G10)</f>
        <v>3288170.81174082</v>
      </c>
    </row>
    <row r="12" customFormat="false" ht="16.5" hidden="false" customHeight="true" outlineLevel="0" collapsed="false">
      <c r="B12" s="73" t="s">
        <v>434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435</v>
      </c>
      <c r="C13" s="70" t="n">
        <f aca="false">Form_III_BalanceSheet!C15</f>
        <v>800000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436</v>
      </c>
      <c r="C14" s="67" t="n">
        <f aca="false">Repayment!C7</f>
        <v>444444.444444444</v>
      </c>
      <c r="D14" s="67" t="n">
        <f aca="false">Repayment!D7</f>
        <v>444444.444444444</v>
      </c>
      <c r="E14" s="67" t="n">
        <f aca="false">Repayment!E7</f>
        <v>444444.444444444</v>
      </c>
      <c r="F14" s="67" t="n">
        <f aca="false">Repayment!F7</f>
        <v>444444.444444444</v>
      </c>
      <c r="G14" s="67" t="n">
        <f aca="false">Repayment!G7</f>
        <v>222222.222222222</v>
      </c>
    </row>
    <row r="15" customFormat="false" ht="15" hidden="false" customHeight="true" outlineLevel="0" collapsed="false">
      <c r="B15" s="71" t="s">
        <v>437</v>
      </c>
      <c r="C15" s="70" t="n">
        <f aca="false">(Form_III_BalanceSheet!C18+Form_III_BalanceSheet!C19+Form_III_BalanceSheet!C20)</f>
        <v>3305100.0761035</v>
      </c>
      <c r="D15" s="70" t="n">
        <f aca="false">((Form_III_BalanceSheet!D18+Form_III_BalanceSheet!D19+Form_III_BalanceSheet!D20)-(Form_III_BalanceSheet!C18+Form_III_BalanceSheet!C19+Form_III_BalanceSheet!C20))</f>
        <v>1400726.80898021</v>
      </c>
      <c r="E15" s="70" t="n">
        <f aca="false">((Form_III_BalanceSheet!E18+Form_III_BalanceSheet!E19+Form_III_BalanceSheet!E20)-(Form_III_BalanceSheet!D18+Form_III_BalanceSheet!D19+Form_III_BalanceSheet!D20))</f>
        <v>1836173.73487062</v>
      </c>
      <c r="F15" s="70" t="n">
        <f aca="false">((Form_III_BalanceSheet!F18+Form_III_BalanceSheet!F19+Form_III_BalanceSheet!F20)-(Form_III_BalanceSheet!E18+Form_III_BalanceSheet!E19+Form_III_BalanceSheet!E20))</f>
        <v>2315925.05883021</v>
      </c>
      <c r="G15" s="70" t="n">
        <f aca="false">((Form_III_BalanceSheet!G18+Form_III_BalanceSheet!G19+Form_III_BalanceSheet!G20)-(Form_III_BalanceSheet!F18+Form_III_BalanceSheet!F19+Form_III_BalanceSheet!F20))</f>
        <v>3065948.5895186</v>
      </c>
    </row>
    <row r="16" customFormat="false" ht="15" hidden="false" customHeight="true" outlineLevel="0" collapsed="false">
      <c r="B16" s="64" t="s">
        <v>438</v>
      </c>
      <c r="C16" s="66" t="n">
        <f aca="false">SUM(C13:C15)</f>
        <v>4549544.52054795</v>
      </c>
      <c r="D16" s="66" t="n">
        <f aca="false">SUM(D13:D15)</f>
        <v>1845171.25342466</v>
      </c>
      <c r="E16" s="66" t="n">
        <f aca="false">SUM(E13:E15)</f>
        <v>2280618.17931507</v>
      </c>
      <c r="F16" s="66" t="n">
        <f aca="false">SUM(F13:F15)</f>
        <v>2760369.50327466</v>
      </c>
      <c r="G16" s="66" t="n">
        <f aca="false">SUM(G13:G15)</f>
        <v>3288170.81174082</v>
      </c>
    </row>
    <row r="17" customFormat="false" ht="15" hidden="false" customHeight="true" outlineLevel="0" collapsed="false">
      <c r="B17" s="64" t="s">
        <v>439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5" hidden="false" customHeight="true" outlineLevel="0" collapsed="false">
      <c r="B5" s="7" t="s">
        <v>442</v>
      </c>
      <c r="C5" s="70" t="n">
        <f aca="false">Assumptions!$C$8</f>
        <v>2000000</v>
      </c>
      <c r="D5" s="70" t="n">
        <f aca="false">C8</f>
        <v>1555555.55555556</v>
      </c>
      <c r="E5" s="70" t="n">
        <f aca="false">D8</f>
        <v>1111111.11111111</v>
      </c>
      <c r="F5" s="70" t="n">
        <f aca="false">E8</f>
        <v>666666.666666667</v>
      </c>
      <c r="G5" s="70" t="n">
        <f aca="false">F8</f>
        <v>222222.222222222</v>
      </c>
    </row>
    <row r="6" customFormat="false" ht="15" hidden="false" customHeight="true" outlineLevel="0" collapsed="false">
      <c r="B6" s="7" t="s">
        <v>443</v>
      </c>
      <c r="C6" s="70" t="n">
        <f aca="false">C5*Assumptions!$C$10</f>
        <v>210000</v>
      </c>
      <c r="D6" s="70" t="n">
        <f aca="false">D5*Assumptions!$C$10</f>
        <v>163333.333333333</v>
      </c>
      <c r="E6" s="70" t="n">
        <f aca="false">E5*Assumptions!$C$10</f>
        <v>116666.666666667</v>
      </c>
      <c r="F6" s="70" t="n">
        <f aca="false">F5*Assumptions!$C$10</f>
        <v>70000</v>
      </c>
      <c r="G6" s="70" t="n">
        <f aca="false">G5*Assumptions!$C$10</f>
        <v>23333.3333333333</v>
      </c>
    </row>
    <row r="7" customFormat="false" ht="15" hidden="false" customHeight="true" outlineLevel="0" collapsed="false">
      <c r="B7" s="7" t="s">
        <v>444</v>
      </c>
      <c r="C7" s="70" t="n">
        <f aca="false">IF(1&lt;=Assumptions!$C$12/12,0,MIN(C5,IFERROR(Assumptions!$C$8/(Assumptions!$C$11/12-Assumptions!$C$12/12),0)))</f>
        <v>444444.444444444</v>
      </c>
      <c r="D7" s="70" t="n">
        <f aca="false">IF(2&lt;=Assumptions!$C$12/12,0,MIN(D5,IFERROR(Assumptions!$C$8/(Assumptions!$C$11/12-Assumptions!$C$12/12),0)))</f>
        <v>444444.444444444</v>
      </c>
      <c r="E7" s="70" t="n">
        <f aca="false">IF(3&lt;=Assumptions!$C$12/12,0,MIN(E5,IFERROR(Assumptions!$C$8/(Assumptions!$C$11/12-Assumptions!$C$12/12),0)))</f>
        <v>444444.444444444</v>
      </c>
      <c r="F7" s="70" t="n">
        <f aca="false">IF(4&lt;=Assumptions!$C$12/12,0,MIN(F5,IFERROR(Assumptions!$C$8/(Assumptions!$C$11/12-Assumptions!$C$12/12),0)))</f>
        <v>444444.444444444</v>
      </c>
      <c r="G7" s="70" t="n">
        <f aca="false">IF(5&lt;=Assumptions!$C$12/12,0,MIN(G5,IFERROR(Assumptions!$C$8/(Assumptions!$C$11/12-Assumptions!$C$12/12),0)))</f>
        <v>222222.222222222</v>
      </c>
    </row>
    <row r="8" customFormat="false" ht="15" hidden="false" customHeight="true" outlineLevel="0" collapsed="false">
      <c r="B8" s="64" t="s">
        <v>445</v>
      </c>
      <c r="C8" s="66" t="n">
        <f aca="false">C5-C7</f>
        <v>1555555.55555556</v>
      </c>
      <c r="D8" s="66" t="n">
        <f aca="false">D5-D7</f>
        <v>1111111.11111111</v>
      </c>
      <c r="E8" s="66" t="n">
        <f aca="false">E5-E7</f>
        <v>666666.666666667</v>
      </c>
      <c r="F8" s="66" t="n">
        <f aca="false">F5-F7</f>
        <v>222222.222222222</v>
      </c>
      <c r="G8" s="66" t="n">
        <f aca="false">G5-G7</f>
        <v>0</v>
      </c>
    </row>
    <row r="10" customFormat="false" ht="15" hidden="false" customHeight="true" outlineLevel="0" collapsed="false">
      <c r="B10" s="75" t="s">
        <v>446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  <c r="H4" s="76" t="s">
        <v>449</v>
      </c>
    </row>
    <row r="5" customFormat="false" ht="16.5" hidden="false" customHeight="true" outlineLevel="0" collapsed="false">
      <c r="B5" s="73" t="s">
        <v>450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383</v>
      </c>
      <c r="C6" s="67" t="n">
        <f aca="false">Annual_Summary!C26</f>
        <v>1275503.42465753</v>
      </c>
      <c r="D6" s="67" t="n">
        <f aca="false">Annual_Summary!D26</f>
        <v>1665218.51369863</v>
      </c>
      <c r="E6" s="67" t="n">
        <f aca="false">Annual_Summary!E26</f>
        <v>2095457.39849315</v>
      </c>
      <c r="F6" s="67" t="n">
        <f aca="false">Annual_Summary!F26</f>
        <v>2569692.39498699</v>
      </c>
      <c r="G6" s="67" t="n">
        <f aca="false">Annual_Summary!G26</f>
        <v>3091652.13265589</v>
      </c>
    </row>
    <row r="7" customFormat="false" ht="15" hidden="false" customHeight="true" outlineLevel="0" collapsed="false">
      <c r="B7" s="71" t="s">
        <v>451</v>
      </c>
      <c r="C7" s="67" t="n">
        <f aca="false">Annual_Summary!C18</f>
        <v>105000</v>
      </c>
      <c r="D7" s="67" t="n">
        <f aca="false">Annual_Summary!D18</f>
        <v>105000</v>
      </c>
      <c r="E7" s="67" t="n">
        <f aca="false">Annual_Summary!E18</f>
        <v>105000</v>
      </c>
      <c r="F7" s="67" t="n">
        <f aca="false">Annual_Summary!F18</f>
        <v>105000</v>
      </c>
      <c r="G7" s="67" t="n">
        <f aca="false">Annual_Summary!G18</f>
        <v>105000</v>
      </c>
    </row>
    <row r="8" customFormat="false" ht="15" hidden="false" customHeight="true" outlineLevel="0" collapsed="false">
      <c r="B8" s="71" t="s">
        <v>452</v>
      </c>
      <c r="C8" s="67" t="n">
        <f aca="false">Repayment!C6</f>
        <v>210000</v>
      </c>
      <c r="D8" s="67" t="n">
        <f aca="false">Repayment!D6</f>
        <v>163333.333333333</v>
      </c>
      <c r="E8" s="67" t="n">
        <f aca="false">Repayment!E6</f>
        <v>116666.666666667</v>
      </c>
      <c r="F8" s="67" t="n">
        <f aca="false">Repayment!F6</f>
        <v>70000</v>
      </c>
      <c r="G8" s="67" t="n">
        <f aca="false">Repayment!G6</f>
        <v>23333.3333333333</v>
      </c>
    </row>
    <row r="9" customFormat="false" ht="15" hidden="false" customHeight="true" outlineLevel="0" collapsed="false">
      <c r="B9" s="64" t="s">
        <v>453</v>
      </c>
      <c r="C9" s="66" t="n">
        <f aca="false">C6+C7+C8</f>
        <v>1590503.42465753</v>
      </c>
      <c r="D9" s="66" t="n">
        <f aca="false">D6+D7+D8</f>
        <v>1933551.84703196</v>
      </c>
      <c r="E9" s="66" t="n">
        <f aca="false">E6+E7+E8</f>
        <v>2317124.06515982</v>
      </c>
      <c r="F9" s="66" t="n">
        <f aca="false">F6+F7+F8</f>
        <v>2744692.39498699</v>
      </c>
      <c r="G9" s="66" t="n">
        <f aca="false">G6+G7+G8</f>
        <v>3219985.46598923</v>
      </c>
    </row>
    <row r="10" customFormat="false" ht="16.5" hidden="false" customHeight="true" outlineLevel="0" collapsed="false">
      <c r="B10" s="73" t="s">
        <v>454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444</v>
      </c>
      <c r="C11" s="67" t="n">
        <f aca="false">Repayment!C7</f>
        <v>444444.444444444</v>
      </c>
      <c r="D11" s="67" t="n">
        <f aca="false">Repayment!D7</f>
        <v>444444.444444444</v>
      </c>
      <c r="E11" s="67" t="n">
        <f aca="false">Repayment!E7</f>
        <v>444444.444444444</v>
      </c>
      <c r="F11" s="67" t="n">
        <f aca="false">Repayment!F7</f>
        <v>444444.444444444</v>
      </c>
      <c r="G11" s="67" t="n">
        <f aca="false">Repayment!G7</f>
        <v>222222.222222222</v>
      </c>
    </row>
    <row r="12" customFormat="false" ht="15" hidden="false" customHeight="true" outlineLevel="0" collapsed="false">
      <c r="B12" s="71" t="s">
        <v>455</v>
      </c>
      <c r="C12" s="67" t="n">
        <f aca="false">Repayment!C6</f>
        <v>210000</v>
      </c>
      <c r="D12" s="67" t="n">
        <f aca="false">Repayment!D6</f>
        <v>163333.333333333</v>
      </c>
      <c r="E12" s="67" t="n">
        <f aca="false">Repayment!E6</f>
        <v>116666.666666667</v>
      </c>
      <c r="F12" s="67" t="n">
        <f aca="false">Repayment!F6</f>
        <v>70000</v>
      </c>
      <c r="G12" s="67" t="n">
        <f aca="false">Repayment!G6</f>
        <v>23333.3333333333</v>
      </c>
    </row>
    <row r="13" customFormat="false" ht="15" hidden="false" customHeight="true" outlineLevel="0" collapsed="false">
      <c r="B13" s="64" t="s">
        <v>456</v>
      </c>
      <c r="C13" s="66" t="n">
        <f aca="false">C11+C12</f>
        <v>654444.444444445</v>
      </c>
      <c r="D13" s="66" t="n">
        <f aca="false">D11+D12</f>
        <v>607777.777777778</v>
      </c>
      <c r="E13" s="66" t="n">
        <f aca="false">E11+E12</f>
        <v>561111.111111111</v>
      </c>
      <c r="F13" s="66" t="n">
        <f aca="false">F11+F12</f>
        <v>514444.444444444</v>
      </c>
      <c r="G13" s="66" t="n">
        <f aca="false">G11+G12</f>
        <v>245555.555555555</v>
      </c>
    </row>
    <row r="14" customFormat="false" ht="15" hidden="false" customHeight="true" outlineLevel="0" collapsed="false">
      <c r="B14" s="64" t="s">
        <v>457</v>
      </c>
      <c r="C14" s="77" t="n">
        <f aca="false">IFERROR(C9/C13,0)</f>
        <v>2.4303108356397</v>
      </c>
      <c r="D14" s="77" t="n">
        <f aca="false">IFERROR(D9/D13,0)</f>
        <v>3.18134673186246</v>
      </c>
      <c r="E14" s="77" t="n">
        <f aca="false">IFERROR(E9/E13,0)</f>
        <v>4.12952803691849</v>
      </c>
      <c r="F14" s="77" t="n">
        <f aca="false">IFERROR(F9/F13,0)</f>
        <v>5.33525519543907</v>
      </c>
      <c r="G14" s="77" t="n">
        <f aca="false">IFERROR(G9/G13,0)</f>
        <v>13.1130629836665</v>
      </c>
      <c r="H14" s="77" t="n">
        <f aca="false">IFERROR(AVERAGE(C14:G14),0)</f>
        <v>5.63790075670525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280</v>
      </c>
      <c r="C4" s="59" t="s">
        <v>61</v>
      </c>
      <c r="D4" s="59" t="s">
        <v>369</v>
      </c>
      <c r="E4" s="59" t="s">
        <v>370</v>
      </c>
      <c r="F4" s="59" t="s">
        <v>371</v>
      </c>
      <c r="G4" s="59" t="s">
        <v>62</v>
      </c>
    </row>
    <row r="5" customFormat="false" ht="16.5" hidden="false" customHeight="true" outlineLevel="0" collapsed="false">
      <c r="B5" s="73" t="s">
        <v>460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4.9400553963054</v>
      </c>
      <c r="D6" s="77" t="n">
        <f aca="false">IFERROR((Form_III_BalanceSheet!D18+Form_III_BalanceSheet!D19+Form_III_BalanceSheet!D20)/(Form_III_BalanceSheet!D11+Form_III_BalanceSheet!D12+Form_III_BalanceSheet!D10),0)</f>
        <v>6.32508854214455</v>
      </c>
      <c r="E6" s="77" t="n">
        <f aca="false">IFERROR((Form_III_BalanceSheet!E18+Form_III_BalanceSheet!E19+Form_III_BalanceSheet!E20)/(Form_III_BalanceSheet!E11+Form_III_BalanceSheet!E12+Form_III_BalanceSheet!E10),0)</f>
        <v>7.93783167559756</v>
      </c>
      <c r="F6" s="77" t="n">
        <f aca="false">IFERROR((Form_III_BalanceSheet!F18+Form_III_BalanceSheet!F19+Form_III_BalanceSheet!F20)/(Form_III_BalanceSheet!F11+Form_III_BalanceSheet!F12+Form_III_BalanceSheet!F10),0)</f>
        <v>9.73578458307979</v>
      </c>
      <c r="G6" s="77" t="n">
        <f aca="false">IFERROR((Form_III_BalanceSheet!G18+Form_III_BalanceSheet!G19+Form_III_BalanceSheet!G20)/(Form_III_BalanceSheet!G11+Form_III_BalanceSheet!G12+Form_III_BalanceSheet!G10),0)</f>
        <v>11.9077939379892</v>
      </c>
    </row>
    <row r="7" customFormat="false" ht="15" hidden="false" customHeight="true" outlineLevel="0" collapsed="false">
      <c r="B7" s="7" t="s">
        <v>461</v>
      </c>
      <c r="C7" s="78" t="n">
        <f aca="false">IFERROR((Form_III_BalanceSheet!C9+Form_III_BalanceSheet!C10)/Form_III_BalanceSheet!C8,0)</f>
        <v>1.10295212861145</v>
      </c>
      <c r="D7" s="78" t="n">
        <f aca="false">IFERROR((Form_III_BalanceSheet!D9+Form_III_BalanceSheet!D10)/Form_III_BalanceSheet!D8,0)</f>
        <v>0.451960983152905</v>
      </c>
      <c r="E7" s="78" t="n">
        <f aca="false">IFERROR((Form_III_BalanceSheet!E9+Form_III_BalanceSheet!E10)/Form_III_BalanceSheet!E8,0)</f>
        <v>0.20858870186897</v>
      </c>
      <c r="F7" s="78" t="n">
        <f aca="false">IFERROR((Form_III_BalanceSheet!F9+Form_III_BalanceSheet!F10)/Form_III_BalanceSheet!F8,0)</f>
        <v>0.0934647058175979</v>
      </c>
      <c r="G7" s="78" t="n">
        <f aca="false">IFERROR((Form_III_BalanceSheet!G9+Form_III_BalanceSheet!G10)/Form_III_BalanceSheet!G8,0)</f>
        <v>0.052330362926974</v>
      </c>
    </row>
    <row r="8" customFormat="false" ht="15" hidden="false" customHeight="true" outlineLevel="0" collapsed="false">
      <c r="B8" s="7" t="s">
        <v>462</v>
      </c>
      <c r="C8" s="78" t="n">
        <f aca="false">IFERROR((Form_III_BalanceSheet!C9+Form_III_BalanceSheet!C10+Form_III_BalanceSheet!C11+Form_III_BalanceSheet!C12)/Form_III_BalanceSheet!C8,0)</f>
        <v>1.25293853030729</v>
      </c>
      <c r="D8" s="78" t="n">
        <f aca="false">IFERROR((Form_III_BalanceSheet!D9+Form_III_BalanceSheet!D10+Form_III_BalanceSheet!D11+Form_III_BalanceSheet!D12)/Form_III_BalanceSheet!D8,0)</f>
        <v>0.539161542247103</v>
      </c>
      <c r="E8" s="78" t="n">
        <f aca="false">IFERROR((Form_III_BalanceSheet!E9+Form_III_BalanceSheet!E10+Form_III_BalanceSheet!E11+Form_III_BalanceSheet!E12)/Form_III_BalanceSheet!E8,0)</f>
        <v>0.269287028543671</v>
      </c>
      <c r="F8" s="78" t="n">
        <f aca="false">IFERROR((Form_III_BalanceSheet!F9+Form_III_BalanceSheet!F10+Form_III_BalanceSheet!F11+Form_III_BalanceSheet!F12)/Form_III_BalanceSheet!F8,0)</f>
        <v>0.1396585073635</v>
      </c>
      <c r="G8" s="78" t="n">
        <f aca="false">IFERROR((Form_III_BalanceSheet!G9+Form_III_BalanceSheet!G10+Form_III_BalanceSheet!G11+Form_III_BalanceSheet!G12)/Form_III_BalanceSheet!G8,0)</f>
        <v>0.0894260566826102</v>
      </c>
    </row>
    <row r="9" customFormat="false" ht="16.5" hidden="false" customHeight="true" outlineLevel="0" collapsed="false">
      <c r="B9" s="73" t="s">
        <v>463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0.191111111111111</v>
      </c>
      <c r="D10" s="79" t="n">
        <f aca="false">IFERROR(Annual_Summary!D22/Annual_Summary!D8,0)</f>
        <v>0.206910866910867</v>
      </c>
      <c r="E10" s="79" t="n">
        <f aca="false">IFERROR(Annual_Summary!E22/Annual_Summary!E8,0)</f>
        <v>0.221299643666991</v>
      </c>
      <c r="F10" s="79" t="n">
        <f aca="false">IFERROR(Annual_Summary!F22/Annual_Summary!F8,0)</f>
        <v>0.23454812319284</v>
      </c>
      <c r="G10" s="79" t="n">
        <f aca="false">IFERROR(Annual_Summary!G22/Annual_Summary!G8,0)</f>
        <v>0.246859455302403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0.118102168949772</v>
      </c>
      <c r="D11" s="79" t="n">
        <f aca="false">IFERROR(Annual_Summary!D26/Annual_Summary!D8,0)</f>
        <v>0.135548922563991</v>
      </c>
      <c r="E11" s="79" t="n">
        <f aca="false">IFERROR(Annual_Summary!E26/Annual_Summary!E8,0)</f>
        <v>0.150844573911611</v>
      </c>
      <c r="F11" s="79" t="n">
        <f aca="false">IFERROR(Annual_Summary!F26/Annual_Summary!F8,0)</f>
        <v>0.164429400551863</v>
      </c>
      <c r="G11" s="79" t="n">
        <f aca="false">IFERROR(Annual_Summary!G26/Annual_Summary!G8,0)</f>
        <v>0.176632629217472</v>
      </c>
    </row>
    <row r="12" customFormat="false" ht="15" hidden="false" customHeight="true" outlineLevel="0" collapsed="false">
      <c r="B12" s="7" t="s">
        <v>464</v>
      </c>
      <c r="C12" s="79" t="n">
        <f aca="false">IFERROR(Annual_Summary!C23/(Form_III_BalanceSheet!C8+Form_III_BalanceSheet!C9),0)</f>
        <v>0.588101264984111</v>
      </c>
      <c r="D12" s="79" t="n">
        <f aca="false">IFERROR(Annual_Summary!D23/(Form_III_BalanceSheet!D8+Form_III_BalanceSheet!D9),0)</f>
        <v>0.535366735448525</v>
      </c>
      <c r="E12" s="79" t="n">
        <f aca="false">IFERROR(Annual_Summary!E23/(Form_III_BalanceSheet!E8+Form_III_BalanceSheet!E9),0)</f>
        <v>0.478680914908571</v>
      </c>
      <c r="F12" s="79" t="n">
        <f aca="false">IFERROR(Annual_Summary!F23/(Form_III_BalanceSheet!F8+Form_III_BalanceSheet!F9),0)</f>
        <v>0.427529207720437</v>
      </c>
      <c r="G12" s="79" t="n">
        <f aca="false">IFERROR(Annual_Summary!G23/(Form_III_BalanceSheet!G8+Form_III_BalanceSheet!G9),0)</f>
        <v>0.376498651524972</v>
      </c>
    </row>
    <row r="13" customFormat="false" ht="16.5" hidden="false" customHeight="true" outlineLevel="0" collapsed="false">
      <c r="B13" s="73" t="s">
        <v>465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466</v>
      </c>
      <c r="C14" s="78" t="n">
        <f aca="false">IFERROR(Annual_Summary!C23/(Annual_Summary!C19+Annual_Summary!C20),0)</f>
        <v>7.58335984727967</v>
      </c>
      <c r="D14" s="78" t="n">
        <f aca="false">IFERROR(Annual_Summary!D23/(Annual_Summary!D19+Annual_Summary!D20),0)</f>
        <v>11.2502433212147</v>
      </c>
      <c r="E14" s="78" t="n">
        <f aca="false">IFERROR(Annual_Summary!E23/(Annual_Summary!E19+Annual_Summary!E20),0)</f>
        <v>16.943451330731</v>
      </c>
      <c r="F14" s="78" t="n">
        <f aca="false">IFERROR(Annual_Summary!F23/(Annual_Summary!F19+Annual_Summary!F20),0)</f>
        <v>26.5220563869562</v>
      </c>
      <c r="G14" s="78" t="n">
        <f aca="false">IFERROR(Annual_Summary!G23/(Annual_Summary!G19+Annual_Summary!G20),0)</f>
        <v>45.0172130842091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2.4303108356397</v>
      </c>
      <c r="D15" s="80" t="n">
        <f aca="false">DSCR!D14</f>
        <v>3.18134673186246</v>
      </c>
      <c r="E15" s="80" t="n">
        <f aca="false">DSCR!E14</f>
        <v>4.12952803691849</v>
      </c>
      <c r="F15" s="80" t="n">
        <f aca="false">DSCR!F14</f>
        <v>5.33525519543907</v>
      </c>
      <c r="G15" s="80" t="n">
        <f aca="false">DSCR!G14</f>
        <v>13.1130629836665</v>
      </c>
    </row>
    <row r="16" customFormat="false" ht="15" hidden="false" customHeight="true" outlineLevel="0" collapsed="false">
      <c r="B16" s="7" t="s">
        <v>467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0.497437578937142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0.434651961500732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0.382994415480029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0.34003877190925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0.303985520700796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